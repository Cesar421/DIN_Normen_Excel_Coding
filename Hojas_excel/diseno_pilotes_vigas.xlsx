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 FERNANDO\Desktop\Programs\BetonPlännen\Hojas_excel\"/>
    </mc:Choice>
  </mc:AlternateContent>
  <xr:revisionPtr revIDLastSave="0" documentId="13_ncr:1_{AA36540B-0BF5-42F4-A30A-10B8F2E2FD9D}" xr6:coauthVersionLast="47" xr6:coauthVersionMax="47" xr10:uidLastSave="{00000000-0000-0000-0000-000000000000}"/>
  <bookViews>
    <workbookView xWindow="-108" yWindow="-108" windowWidth="23256" windowHeight="12456" firstSheet="2" activeTab="4" xr2:uid="{CF537D87-102C-4974-B79E-7C1F7FF410F2}"/>
  </bookViews>
  <sheets>
    <sheet name="Aceros_DIN" sheetId="7" r:id="rId1"/>
    <sheet name="Balken_DIN" sheetId="6" r:id="rId2"/>
    <sheet name="Balken_2025" sheetId="9" r:id="rId3"/>
    <sheet name="Pfahl_DIN" sheetId="3" r:id="rId4"/>
    <sheet name="Pfahl_2025" sheetId="12" r:id="rId5"/>
    <sheet name="Nomogramm" sheetId="4" r:id="rId6"/>
    <sheet name="Nomogramm_2025" sheetId="13" r:id="rId7"/>
    <sheet name="Viga_DIN" sheetId="5" r:id="rId8"/>
    <sheet name="Viga_2025" sheetId="8" r:id="rId9"/>
    <sheet name="Pilote_DIN" sheetId="1" r:id="rId10"/>
    <sheet name="Pilote_2025" sheetId="10" r:id="rId11"/>
    <sheet name="Nomograma" sheetId="2" r:id="rId12"/>
    <sheet name="Nomograma_2025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3" i="12" l="1"/>
  <c r="C76" i="12"/>
  <c r="C115" i="12" s="1"/>
  <c r="C69" i="12"/>
  <c r="C103" i="10"/>
  <c r="C76" i="10"/>
  <c r="C69" i="10"/>
  <c r="C97" i="9"/>
  <c r="C97" i="8"/>
  <c r="C50" i="9"/>
  <c r="C50" i="8"/>
  <c r="C78" i="9"/>
  <c r="C98" i="12"/>
  <c r="C98" i="10"/>
  <c r="C78" i="8"/>
  <c r="C79" i="8" s="1"/>
  <c r="C80" i="8" s="1"/>
  <c r="C106" i="12"/>
  <c r="C96" i="12"/>
  <c r="C89" i="12"/>
  <c r="C64" i="12"/>
  <c r="C63" i="12"/>
  <c r="C62" i="12"/>
  <c r="C61" i="12"/>
  <c r="C24" i="12"/>
  <c r="C95" i="12" s="1"/>
  <c r="C101" i="12"/>
  <c r="C99" i="12"/>
  <c r="C97" i="12"/>
  <c r="C100" i="12" s="1"/>
  <c r="C93" i="12"/>
  <c r="C92" i="12"/>
  <c r="C87" i="12"/>
  <c r="C85" i="12"/>
  <c r="C80" i="12"/>
  <c r="C84" i="12" s="1"/>
  <c r="A116" i="13"/>
  <c r="B116" i="13"/>
  <c r="J116" i="13" s="1" a="1"/>
  <c r="J116" i="13" s="1"/>
  <c r="C116" i="13"/>
  <c r="D116" i="13" s="1"/>
  <c r="E116" i="13" s="1"/>
  <c r="I116" i="13" a="1"/>
  <c r="I116" i="13"/>
  <c r="A117" i="13"/>
  <c r="A118" i="13" s="1"/>
  <c r="B117" i="13"/>
  <c r="B118" i="13"/>
  <c r="J118" i="13" s="1" a="1"/>
  <c r="J118" i="13" s="1"/>
  <c r="C118" i="13"/>
  <c r="D118" i="13"/>
  <c r="E118" i="13" s="1"/>
  <c r="I118" i="13" a="1"/>
  <c r="I118" i="13" s="1"/>
  <c r="A119" i="13"/>
  <c r="A120" i="13" s="1"/>
  <c r="B120" i="13"/>
  <c r="C120" i="13" s="1"/>
  <c r="D120" i="13" s="1"/>
  <c r="E120" i="13"/>
  <c r="A121" i="13"/>
  <c r="C5" i="13"/>
  <c r="C6" i="13"/>
  <c r="G6" i="13"/>
  <c r="C7" i="13"/>
  <c r="F7" i="13"/>
  <c r="G7" i="13"/>
  <c r="C8" i="13"/>
  <c r="F8" i="13"/>
  <c r="C9" i="13"/>
  <c r="C11" i="13"/>
  <c r="C12" i="13"/>
  <c r="C13" i="13"/>
  <c r="C14" i="13"/>
  <c r="B33" i="13"/>
  <c r="C33" i="13"/>
  <c r="D33" i="13" s="1"/>
  <c r="A34" i="13"/>
  <c r="C110" i="12"/>
  <c r="F73" i="12"/>
  <c r="C73" i="12"/>
  <c r="C75" i="12" s="1"/>
  <c r="C114" i="12" s="1"/>
  <c r="C71" i="12"/>
  <c r="C68" i="12"/>
  <c r="C55" i="12"/>
  <c r="C49" i="12"/>
  <c r="C44" i="12"/>
  <c r="C45" i="12" s="1"/>
  <c r="C40" i="12"/>
  <c r="T39" i="12"/>
  <c r="R39" i="12"/>
  <c r="Q39" i="12"/>
  <c r="Q38" i="12"/>
  <c r="U38" i="12" s="1"/>
  <c r="T37" i="12"/>
  <c r="R37" i="12"/>
  <c r="Q37" i="12"/>
  <c r="Q36" i="12"/>
  <c r="U36" i="12" s="1"/>
  <c r="C36" i="12"/>
  <c r="T35" i="12"/>
  <c r="R35" i="12"/>
  <c r="Q35" i="12"/>
  <c r="C35" i="12"/>
  <c r="Q34" i="12"/>
  <c r="U34" i="12" s="1"/>
  <c r="C34" i="12"/>
  <c r="T30" i="12" s="1"/>
  <c r="T33" i="12"/>
  <c r="R33" i="12"/>
  <c r="Q33" i="12"/>
  <c r="T32" i="12"/>
  <c r="Q32" i="12"/>
  <c r="R32" i="12" s="1"/>
  <c r="U31" i="12"/>
  <c r="T31" i="12"/>
  <c r="R31" i="12"/>
  <c r="Q31" i="12"/>
  <c r="U30" i="12"/>
  <c r="R30" i="12"/>
  <c r="Q30" i="12"/>
  <c r="U29" i="12"/>
  <c r="T29" i="12"/>
  <c r="S29" i="12"/>
  <c r="R29" i="12"/>
  <c r="Q29" i="12"/>
  <c r="U28" i="12"/>
  <c r="S28" i="12"/>
  <c r="Q28" i="12"/>
  <c r="T27" i="12"/>
  <c r="S27" i="12"/>
  <c r="R27" i="12"/>
  <c r="Q27" i="12"/>
  <c r="W26" i="12"/>
  <c r="V26" i="12"/>
  <c r="Q26" i="12"/>
  <c r="T26" i="12" s="1"/>
  <c r="W25" i="12"/>
  <c r="V25" i="12"/>
  <c r="U25" i="12"/>
  <c r="T25" i="12"/>
  <c r="R25" i="12"/>
  <c r="Q25" i="12"/>
  <c r="C25" i="12"/>
  <c r="W24" i="12"/>
  <c r="V24" i="12"/>
  <c r="Q24" i="12"/>
  <c r="U24" i="12" s="1"/>
  <c r="W23" i="12"/>
  <c r="V23" i="12"/>
  <c r="Q23" i="12"/>
  <c r="T23" i="12" s="1"/>
  <c r="W22" i="12"/>
  <c r="V22" i="12"/>
  <c r="Q22" i="12"/>
  <c r="T22" i="12" s="1"/>
  <c r="W21" i="12"/>
  <c r="V21" i="12"/>
  <c r="Q21" i="12"/>
  <c r="S21" i="12" s="1"/>
  <c r="W20" i="12"/>
  <c r="V20" i="12"/>
  <c r="S20" i="12"/>
  <c r="Q20" i="12"/>
  <c r="U20" i="12" s="1"/>
  <c r="W19" i="12"/>
  <c r="V19" i="12"/>
  <c r="Q19" i="12"/>
  <c r="U19" i="12" s="1"/>
  <c r="W18" i="12"/>
  <c r="V18" i="12"/>
  <c r="U18" i="12"/>
  <c r="S18" i="12"/>
  <c r="Q18" i="12"/>
  <c r="W17" i="12"/>
  <c r="V17" i="12"/>
  <c r="U17" i="12"/>
  <c r="T17" i="12"/>
  <c r="S17" i="12"/>
  <c r="R17" i="12"/>
  <c r="Q17" i="12"/>
  <c r="W16" i="12"/>
  <c r="V16" i="12"/>
  <c r="U16" i="12"/>
  <c r="R16" i="12"/>
  <c r="Q16" i="12"/>
  <c r="C16" i="12"/>
  <c r="C26" i="12" s="1"/>
  <c r="W15" i="12"/>
  <c r="V15" i="12"/>
  <c r="S15" i="12"/>
  <c r="Q15" i="12"/>
  <c r="U15" i="12" s="1"/>
  <c r="C15" i="12"/>
  <c r="W14" i="12"/>
  <c r="V14" i="12"/>
  <c r="T14" i="12"/>
  <c r="R14" i="12"/>
  <c r="Q14" i="12"/>
  <c r="S14" i="12" s="1"/>
  <c r="W13" i="12"/>
  <c r="V13" i="12"/>
  <c r="Q13" i="12"/>
  <c r="T13" i="12" s="1"/>
  <c r="W12" i="12"/>
  <c r="V12" i="12"/>
  <c r="Q12" i="12"/>
  <c r="U12" i="12" s="1"/>
  <c r="W11" i="12"/>
  <c r="V11" i="12"/>
  <c r="Q11" i="12"/>
  <c r="S11" i="12" s="1"/>
  <c r="S10" i="12"/>
  <c r="Q10" i="12"/>
  <c r="U10" i="12" s="1"/>
  <c r="Q9" i="12"/>
  <c r="S9" i="12" s="1"/>
  <c r="U8" i="12"/>
  <c r="S8" i="12"/>
  <c r="Q8" i="12"/>
  <c r="U7" i="12"/>
  <c r="T7" i="12"/>
  <c r="S7" i="12"/>
  <c r="R7" i="12"/>
  <c r="Q7" i="12"/>
  <c r="U6" i="12"/>
  <c r="R6" i="12"/>
  <c r="Q6" i="12"/>
  <c r="U5" i="12"/>
  <c r="T5" i="12"/>
  <c r="R5" i="12"/>
  <c r="Q5" i="12"/>
  <c r="T4" i="12"/>
  <c r="R4" i="12"/>
  <c r="Q4" i="12"/>
  <c r="T3" i="12"/>
  <c r="R3" i="12"/>
  <c r="Q3" i="12"/>
  <c r="C64" i="10"/>
  <c r="C63" i="10"/>
  <c r="C62" i="10"/>
  <c r="C61" i="10"/>
  <c r="A116" i="11"/>
  <c r="B116" i="11"/>
  <c r="C116" i="11" s="1"/>
  <c r="D116" i="11" s="1"/>
  <c r="E116" i="11" s="1"/>
  <c r="I116" i="11" a="1"/>
  <c r="I116" i="11" s="1"/>
  <c r="J116" i="11" a="1"/>
  <c r="J116" i="11"/>
  <c r="A117" i="11"/>
  <c r="B117" i="11" s="1"/>
  <c r="C5" i="11"/>
  <c r="C6" i="11"/>
  <c r="G6" i="11"/>
  <c r="C7" i="11"/>
  <c r="F7" i="11"/>
  <c r="G7" i="11" s="1"/>
  <c r="F8" i="11"/>
  <c r="C9" i="11"/>
  <c r="C10" i="11"/>
  <c r="C11" i="11"/>
  <c r="C12" i="11"/>
  <c r="C13" i="11"/>
  <c r="C14" i="11"/>
  <c r="C15" i="11"/>
  <c r="C16" i="11"/>
  <c r="B33" i="11"/>
  <c r="A34" i="11"/>
  <c r="C93" i="10"/>
  <c r="C92" i="10"/>
  <c r="C89" i="10"/>
  <c r="C88" i="10"/>
  <c r="C87" i="10"/>
  <c r="C86" i="10"/>
  <c r="C85" i="10"/>
  <c r="C84" i="10"/>
  <c r="C82" i="10"/>
  <c r="C24" i="10"/>
  <c r="C110" i="10"/>
  <c r="C106" i="10"/>
  <c r="C101" i="10"/>
  <c r="C80" i="10"/>
  <c r="C115" i="10"/>
  <c r="F73" i="10"/>
  <c r="C71" i="10"/>
  <c r="C68" i="10"/>
  <c r="C70" i="10" s="1"/>
  <c r="C55" i="10"/>
  <c r="C49" i="10"/>
  <c r="C44" i="10"/>
  <c r="C45" i="10" s="1"/>
  <c r="C40" i="10"/>
  <c r="C73" i="10" s="1"/>
  <c r="U39" i="10"/>
  <c r="T39" i="10"/>
  <c r="S39" i="10"/>
  <c r="R39" i="10"/>
  <c r="Q39" i="10"/>
  <c r="U38" i="10"/>
  <c r="R38" i="10"/>
  <c r="Q38" i="10"/>
  <c r="U37" i="10"/>
  <c r="T37" i="10"/>
  <c r="S37" i="10"/>
  <c r="R37" i="10"/>
  <c r="Q37" i="10"/>
  <c r="U36" i="10"/>
  <c r="R36" i="10"/>
  <c r="Q36" i="10"/>
  <c r="C36" i="10"/>
  <c r="U35" i="10"/>
  <c r="T35" i="10"/>
  <c r="S35" i="10"/>
  <c r="R35" i="10"/>
  <c r="Q35" i="10"/>
  <c r="C35" i="10"/>
  <c r="U34" i="10"/>
  <c r="R34" i="10"/>
  <c r="Q34" i="10"/>
  <c r="C34" i="10"/>
  <c r="T30" i="10" s="1"/>
  <c r="U33" i="10"/>
  <c r="T33" i="10"/>
  <c r="S33" i="10"/>
  <c r="R33" i="10"/>
  <c r="Q33" i="10"/>
  <c r="T32" i="10"/>
  <c r="Q32" i="10"/>
  <c r="Q31" i="10"/>
  <c r="R31" i="10" s="1"/>
  <c r="U30" i="10"/>
  <c r="R30" i="10"/>
  <c r="Q30" i="10"/>
  <c r="Q29" i="10"/>
  <c r="T29" i="10" s="1"/>
  <c r="U28" i="10"/>
  <c r="T28" i="10"/>
  <c r="S28" i="10"/>
  <c r="Q28" i="10"/>
  <c r="C28" i="10"/>
  <c r="S27" i="10"/>
  <c r="Q27" i="10"/>
  <c r="W26" i="10"/>
  <c r="V26" i="10"/>
  <c r="U26" i="10"/>
  <c r="T26" i="10"/>
  <c r="Q26" i="10"/>
  <c r="C26" i="10"/>
  <c r="W25" i="10"/>
  <c r="V25" i="10"/>
  <c r="Q25" i="10"/>
  <c r="R25" i="10" s="1"/>
  <c r="C25" i="10"/>
  <c r="C99" i="10" s="1"/>
  <c r="W24" i="10"/>
  <c r="V24" i="10"/>
  <c r="U24" i="10"/>
  <c r="R24" i="10"/>
  <c r="Q24" i="10"/>
  <c r="C46" i="10"/>
  <c r="C47" i="10" s="1"/>
  <c r="W23" i="10"/>
  <c r="V23" i="10"/>
  <c r="U23" i="10"/>
  <c r="T23" i="10"/>
  <c r="Q23" i="10"/>
  <c r="W22" i="10"/>
  <c r="V22" i="10"/>
  <c r="Q22" i="10"/>
  <c r="U22" i="10" s="1"/>
  <c r="W21" i="10"/>
  <c r="V21" i="10"/>
  <c r="S21" i="10"/>
  <c r="Q21" i="10"/>
  <c r="W20" i="10"/>
  <c r="V20" i="10"/>
  <c r="Q20" i="10"/>
  <c r="S20" i="10" s="1"/>
  <c r="W19" i="10"/>
  <c r="V19" i="10"/>
  <c r="U19" i="10"/>
  <c r="R19" i="10"/>
  <c r="Q19" i="10"/>
  <c r="W18" i="10"/>
  <c r="V18" i="10"/>
  <c r="U18" i="10"/>
  <c r="T18" i="10"/>
  <c r="S18" i="10"/>
  <c r="Q18" i="10"/>
  <c r="W17" i="10"/>
  <c r="V17" i="10"/>
  <c r="Q17" i="10"/>
  <c r="T17" i="10" s="1"/>
  <c r="W16" i="10"/>
  <c r="V16" i="10"/>
  <c r="U16" i="10"/>
  <c r="R16" i="10"/>
  <c r="Q16" i="10"/>
  <c r="C16" i="10"/>
  <c r="W15" i="10"/>
  <c r="V15" i="10"/>
  <c r="Q15" i="10"/>
  <c r="S15" i="10" s="1"/>
  <c r="C15" i="10"/>
  <c r="W14" i="10"/>
  <c r="V14" i="10"/>
  <c r="S14" i="10"/>
  <c r="Q14" i="10"/>
  <c r="W13" i="10"/>
  <c r="V13" i="10"/>
  <c r="U13" i="10"/>
  <c r="T13" i="10"/>
  <c r="Q13" i="10"/>
  <c r="W12" i="10"/>
  <c r="V12" i="10"/>
  <c r="Q12" i="10"/>
  <c r="R12" i="10" s="1"/>
  <c r="W11" i="10"/>
  <c r="V11" i="10"/>
  <c r="S11" i="10"/>
  <c r="Q11" i="10"/>
  <c r="Q10" i="10"/>
  <c r="S10" i="10" s="1"/>
  <c r="U9" i="10"/>
  <c r="R9" i="10"/>
  <c r="Q9" i="10"/>
  <c r="U8" i="10"/>
  <c r="T8" i="10"/>
  <c r="S8" i="10"/>
  <c r="Q8" i="10"/>
  <c r="Q7" i="10"/>
  <c r="T7" i="10" s="1"/>
  <c r="U6" i="10"/>
  <c r="R6" i="10"/>
  <c r="Q6" i="10"/>
  <c r="Q5" i="10"/>
  <c r="R5" i="10" s="1"/>
  <c r="Q4" i="10"/>
  <c r="T4" i="10" s="1"/>
  <c r="U3" i="10"/>
  <c r="T3" i="10"/>
  <c r="S3" i="10"/>
  <c r="R3" i="10"/>
  <c r="Q3" i="10"/>
  <c r="C26" i="9"/>
  <c r="C27" i="9" s="1"/>
  <c r="C25" i="9"/>
  <c r="C79" i="9"/>
  <c r="C73" i="9"/>
  <c r="C103" i="9"/>
  <c r="C94" i="9"/>
  <c r="C37" i="9"/>
  <c r="C36" i="9"/>
  <c r="C35" i="9"/>
  <c r="C33" i="9"/>
  <c r="V9" i="9" s="1"/>
  <c r="C17" i="9"/>
  <c r="C28" i="9" s="1"/>
  <c r="C30" i="9" s="1"/>
  <c r="C16" i="9"/>
  <c r="C104" i="9" s="1"/>
  <c r="W14" i="9"/>
  <c r="V14" i="9"/>
  <c r="W13" i="9"/>
  <c r="V13" i="9"/>
  <c r="V12" i="9"/>
  <c r="W10" i="9"/>
  <c r="V10" i="9"/>
  <c r="W7" i="9"/>
  <c r="U7" i="9"/>
  <c r="T7" i="9"/>
  <c r="S7" i="9"/>
  <c r="R7" i="9"/>
  <c r="U6" i="9"/>
  <c r="T6" i="9"/>
  <c r="S6" i="9"/>
  <c r="R6" i="9"/>
  <c r="U5" i="9"/>
  <c r="T5" i="9"/>
  <c r="S5" i="9"/>
  <c r="R5" i="9"/>
  <c r="U4" i="9"/>
  <c r="T4" i="9"/>
  <c r="S4" i="9"/>
  <c r="R4" i="9"/>
  <c r="U3" i="9"/>
  <c r="T3" i="9"/>
  <c r="S3" i="9"/>
  <c r="R3" i="9"/>
  <c r="C92" i="8"/>
  <c r="C89" i="8"/>
  <c r="C88" i="8"/>
  <c r="C87" i="8"/>
  <c r="C86" i="8"/>
  <c r="C85" i="8"/>
  <c r="C84" i="8"/>
  <c r="C83" i="8"/>
  <c r="C77" i="8"/>
  <c r="C76" i="8"/>
  <c r="C75" i="8"/>
  <c r="C73" i="8"/>
  <c r="C71" i="8"/>
  <c r="C70" i="8"/>
  <c r="C69" i="8"/>
  <c r="C68" i="8"/>
  <c r="C65" i="8"/>
  <c r="C27" i="8"/>
  <c r="C25" i="8"/>
  <c r="C103" i="8"/>
  <c r="C94" i="8"/>
  <c r="C39" i="8"/>
  <c r="C38" i="8"/>
  <c r="C40" i="8" s="1"/>
  <c r="C37" i="8"/>
  <c r="C36" i="8"/>
  <c r="C35" i="8"/>
  <c r="C51" i="8" s="1"/>
  <c r="C113" i="8" s="1"/>
  <c r="C33" i="8"/>
  <c r="W7" i="8" s="1"/>
  <c r="C17" i="8"/>
  <c r="C28" i="8" s="1"/>
  <c r="C30" i="8" s="1"/>
  <c r="C16" i="8"/>
  <c r="C26" i="8" s="1"/>
  <c r="W14" i="8"/>
  <c r="V14" i="8"/>
  <c r="W13" i="8"/>
  <c r="V13" i="8"/>
  <c r="W12" i="8"/>
  <c r="V11" i="8"/>
  <c r="W10" i="8"/>
  <c r="V10" i="8"/>
  <c r="W9" i="8"/>
  <c r="V9" i="8"/>
  <c r="W8" i="8"/>
  <c r="V8" i="8"/>
  <c r="U7" i="8"/>
  <c r="T7" i="8"/>
  <c r="S7" i="8"/>
  <c r="R7" i="8"/>
  <c r="W6" i="8"/>
  <c r="V6" i="8"/>
  <c r="U6" i="8"/>
  <c r="T6" i="8"/>
  <c r="S6" i="8"/>
  <c r="R6" i="8"/>
  <c r="U5" i="8"/>
  <c r="T5" i="8"/>
  <c r="S5" i="8"/>
  <c r="R5" i="8"/>
  <c r="Y4" i="8"/>
  <c r="X4" i="8"/>
  <c r="W4" i="8"/>
  <c r="V4" i="8"/>
  <c r="U4" i="8"/>
  <c r="T4" i="8"/>
  <c r="S4" i="8"/>
  <c r="R4" i="8"/>
  <c r="Y3" i="8"/>
  <c r="V3" i="8"/>
  <c r="U3" i="8"/>
  <c r="T3" i="8"/>
  <c r="S3" i="8"/>
  <c r="R3" i="8"/>
  <c r="C103" i="7"/>
  <c r="B103" i="7"/>
  <c r="E103" i="7" s="1"/>
  <c r="A103" i="7"/>
  <c r="C102" i="7"/>
  <c r="B102" i="7"/>
  <c r="E102" i="7" s="1"/>
  <c r="A102" i="7"/>
  <c r="C101" i="7"/>
  <c r="B101" i="7"/>
  <c r="E101" i="7" s="1"/>
  <c r="A101" i="7"/>
  <c r="C100" i="7"/>
  <c r="B100" i="7"/>
  <c r="E100" i="7" s="1"/>
  <c r="A100" i="7"/>
  <c r="C99" i="7"/>
  <c r="B99" i="7"/>
  <c r="E99" i="7" s="1"/>
  <c r="A99" i="7"/>
  <c r="C98" i="7"/>
  <c r="B98" i="7"/>
  <c r="E98" i="7" s="1"/>
  <c r="A98" i="7"/>
  <c r="C97" i="7"/>
  <c r="B97" i="7"/>
  <c r="E97" i="7" s="1"/>
  <c r="A97" i="7"/>
  <c r="C96" i="7"/>
  <c r="B96" i="7"/>
  <c r="E96" i="7" s="1"/>
  <c r="A96" i="7"/>
  <c r="C95" i="7"/>
  <c r="B95" i="7"/>
  <c r="E95" i="7" s="1"/>
  <c r="A95" i="7"/>
  <c r="C94" i="7"/>
  <c r="B94" i="7"/>
  <c r="E94" i="7" s="1"/>
  <c r="A94" i="7"/>
  <c r="F93" i="7"/>
  <c r="E93" i="7"/>
  <c r="D93" i="7"/>
  <c r="C93" i="7"/>
  <c r="B93" i="7"/>
  <c r="A93" i="7"/>
  <c r="C89" i="7"/>
  <c r="D85" i="7"/>
  <c r="B85" i="7"/>
  <c r="E85" i="7" s="1"/>
  <c r="F85" i="7" s="1"/>
  <c r="B84" i="7"/>
  <c r="E84" i="7" s="1"/>
  <c r="F84" i="7" s="1"/>
  <c r="E83" i="7"/>
  <c r="F83" i="7" s="1"/>
  <c r="B83" i="7"/>
  <c r="D83" i="7" s="1"/>
  <c r="D82" i="7"/>
  <c r="B82" i="7"/>
  <c r="E82" i="7" s="1"/>
  <c r="F82" i="7" s="1"/>
  <c r="E81" i="7"/>
  <c r="F81" i="7" s="1"/>
  <c r="D81" i="7"/>
  <c r="C81" i="7"/>
  <c r="B81" i="7"/>
  <c r="B80" i="7"/>
  <c r="C80" i="7" s="1"/>
  <c r="B79" i="7"/>
  <c r="C79" i="7" s="1"/>
  <c r="C78" i="7"/>
  <c r="B78" i="7"/>
  <c r="E78" i="7" s="1"/>
  <c r="F78" i="7" s="1"/>
  <c r="E77" i="7"/>
  <c r="F77" i="7" s="1"/>
  <c r="C77" i="7"/>
  <c r="B77" i="7"/>
  <c r="D77" i="7" s="1"/>
  <c r="E76" i="7"/>
  <c r="F76" i="7" s="1"/>
  <c r="D76" i="7"/>
  <c r="C76" i="7"/>
  <c r="B76" i="7"/>
  <c r="F75" i="7"/>
  <c r="E75" i="7"/>
  <c r="D75" i="7"/>
  <c r="C75" i="7"/>
  <c r="B75" i="7"/>
  <c r="C72" i="7"/>
  <c r="C71" i="7"/>
  <c r="C70" i="7"/>
  <c r="C69" i="7"/>
  <c r="C68" i="7"/>
  <c r="F63" i="7"/>
  <c r="H63" i="7" s="1"/>
  <c r="F62" i="7"/>
  <c r="H62" i="7" s="1"/>
  <c r="F61" i="7"/>
  <c r="H61" i="7" s="1"/>
  <c r="F60" i="7"/>
  <c r="G60" i="7" s="1"/>
  <c r="F59" i="7"/>
  <c r="H59" i="7" s="1"/>
  <c r="F58" i="7"/>
  <c r="H58" i="7" s="1"/>
  <c r="F57" i="7"/>
  <c r="G57" i="7" s="1"/>
  <c r="F56" i="7"/>
  <c r="H56" i="7" s="1"/>
  <c r="F55" i="7"/>
  <c r="H55" i="7" s="1"/>
  <c r="F54" i="7"/>
  <c r="H54" i="7" s="1"/>
  <c r="D63" i="7"/>
  <c r="D62" i="7"/>
  <c r="D61" i="7"/>
  <c r="D60" i="7"/>
  <c r="D59" i="7"/>
  <c r="D58" i="7"/>
  <c r="D57" i="7"/>
  <c r="D56" i="7"/>
  <c r="D55" i="7"/>
  <c r="D54" i="7"/>
  <c r="H53" i="7"/>
  <c r="G53" i="7"/>
  <c r="F53" i="7"/>
  <c r="D53" i="7"/>
  <c r="C16" i="3"/>
  <c r="C15" i="3"/>
  <c r="C16" i="1"/>
  <c r="C15" i="1"/>
  <c r="C25" i="1" s="1"/>
  <c r="C98" i="1" s="1"/>
  <c r="C17" i="6"/>
  <c r="C16" i="6"/>
  <c r="C104" i="6" s="1"/>
  <c r="C17" i="5"/>
  <c r="C16" i="5"/>
  <c r="F43" i="7"/>
  <c r="D43" i="7"/>
  <c r="E43" i="7" s="1"/>
  <c r="F42" i="7"/>
  <c r="D42" i="7"/>
  <c r="E42" i="7" s="1"/>
  <c r="F41" i="7"/>
  <c r="E41" i="7"/>
  <c r="D41" i="7"/>
  <c r="F40" i="7"/>
  <c r="D40" i="7"/>
  <c r="E40" i="7" s="1"/>
  <c r="F39" i="7"/>
  <c r="D39" i="7"/>
  <c r="E39" i="7" s="1"/>
  <c r="F38" i="7"/>
  <c r="D38" i="7"/>
  <c r="E38" i="7" s="1"/>
  <c r="F37" i="7"/>
  <c r="E37" i="7"/>
  <c r="D37" i="7"/>
  <c r="F36" i="7"/>
  <c r="D36" i="7"/>
  <c r="E36" i="7" s="1"/>
  <c r="F35" i="7"/>
  <c r="E35" i="7"/>
  <c r="D35" i="7"/>
  <c r="K30" i="7"/>
  <c r="J30" i="7"/>
  <c r="I30" i="7"/>
  <c r="H30" i="7"/>
  <c r="G30" i="7"/>
  <c r="F30" i="7"/>
  <c r="E30" i="7"/>
  <c r="D30" i="7"/>
  <c r="C30" i="7"/>
  <c r="B30" i="7"/>
  <c r="A30" i="7"/>
  <c r="K29" i="7"/>
  <c r="J29" i="7"/>
  <c r="I29" i="7"/>
  <c r="H29" i="7"/>
  <c r="G29" i="7"/>
  <c r="F29" i="7"/>
  <c r="E29" i="7"/>
  <c r="D29" i="7"/>
  <c r="C29" i="7"/>
  <c r="B29" i="7"/>
  <c r="A29" i="7"/>
  <c r="K28" i="7"/>
  <c r="J28" i="7"/>
  <c r="I28" i="7"/>
  <c r="H28" i="7"/>
  <c r="G28" i="7"/>
  <c r="F28" i="7"/>
  <c r="E28" i="7"/>
  <c r="D28" i="7"/>
  <c r="C28" i="7"/>
  <c r="B28" i="7"/>
  <c r="A28" i="7"/>
  <c r="K27" i="7"/>
  <c r="J27" i="7"/>
  <c r="I27" i="7"/>
  <c r="H27" i="7"/>
  <c r="G27" i="7"/>
  <c r="F27" i="7"/>
  <c r="E27" i="7"/>
  <c r="D27" i="7"/>
  <c r="C27" i="7"/>
  <c r="B27" i="7"/>
  <c r="A27" i="7"/>
  <c r="K26" i="7"/>
  <c r="J26" i="7"/>
  <c r="I26" i="7"/>
  <c r="H26" i="7"/>
  <c r="G26" i="7"/>
  <c r="F26" i="7"/>
  <c r="E26" i="7"/>
  <c r="D26" i="7"/>
  <c r="C26" i="7"/>
  <c r="B26" i="7"/>
  <c r="A26" i="7"/>
  <c r="K25" i="7"/>
  <c r="J25" i="7"/>
  <c r="I25" i="7"/>
  <c r="H25" i="7"/>
  <c r="G25" i="7"/>
  <c r="F25" i="7"/>
  <c r="E25" i="7"/>
  <c r="D25" i="7"/>
  <c r="C25" i="7"/>
  <c r="B25" i="7"/>
  <c r="A25" i="7"/>
  <c r="K24" i="7"/>
  <c r="J24" i="7"/>
  <c r="I24" i="7"/>
  <c r="H24" i="7"/>
  <c r="G24" i="7"/>
  <c r="F24" i="7"/>
  <c r="E24" i="7"/>
  <c r="D24" i="7"/>
  <c r="C24" i="7"/>
  <c r="B24" i="7"/>
  <c r="A24" i="7"/>
  <c r="K23" i="7"/>
  <c r="J23" i="7"/>
  <c r="I23" i="7"/>
  <c r="H23" i="7"/>
  <c r="G23" i="7"/>
  <c r="F23" i="7"/>
  <c r="E23" i="7"/>
  <c r="D23" i="7"/>
  <c r="C23" i="7"/>
  <c r="B23" i="7"/>
  <c r="A23" i="7"/>
  <c r="K22" i="7"/>
  <c r="J22" i="7"/>
  <c r="I22" i="7"/>
  <c r="H22" i="7"/>
  <c r="G22" i="7"/>
  <c r="F22" i="7"/>
  <c r="E22" i="7"/>
  <c r="D22" i="7"/>
  <c r="C22" i="7"/>
  <c r="B22" i="7"/>
  <c r="A22" i="7"/>
  <c r="K21" i="7"/>
  <c r="J21" i="7"/>
  <c r="I21" i="7"/>
  <c r="H21" i="7"/>
  <c r="G21" i="7"/>
  <c r="F21" i="7"/>
  <c r="E21" i="7"/>
  <c r="D21" i="7"/>
  <c r="C21" i="7"/>
  <c r="B21" i="7"/>
  <c r="A21" i="7"/>
  <c r="K20" i="7"/>
  <c r="J20" i="7"/>
  <c r="I20" i="7"/>
  <c r="H20" i="7"/>
  <c r="G20" i="7"/>
  <c r="F20" i="7"/>
  <c r="E20" i="7"/>
  <c r="D20" i="7"/>
  <c r="C20" i="7"/>
  <c r="B20" i="7"/>
  <c r="A20" i="7"/>
  <c r="E16" i="7"/>
  <c r="C16" i="7"/>
  <c r="F16" i="7" s="1"/>
  <c r="E15" i="7"/>
  <c r="C15" i="7"/>
  <c r="F15" i="7" s="1"/>
  <c r="E14" i="7"/>
  <c r="C14" i="7"/>
  <c r="F14" i="7" s="1"/>
  <c r="E13" i="7"/>
  <c r="C13" i="7"/>
  <c r="F13" i="7" s="1"/>
  <c r="E12" i="7"/>
  <c r="C12" i="7"/>
  <c r="D12" i="7" s="1"/>
  <c r="E11" i="7"/>
  <c r="C11" i="7"/>
  <c r="F11" i="7" s="1"/>
  <c r="E10" i="7"/>
  <c r="C10" i="7"/>
  <c r="F10" i="7" s="1"/>
  <c r="E9" i="7"/>
  <c r="C9" i="7"/>
  <c r="F9" i="7" s="1"/>
  <c r="E8" i="7"/>
  <c r="C8" i="7"/>
  <c r="F8" i="7" s="1"/>
  <c r="E7" i="7"/>
  <c r="C7" i="7"/>
  <c r="F7" i="7" s="1"/>
  <c r="A16" i="7"/>
  <c r="A15" i="7"/>
  <c r="A14" i="7"/>
  <c r="A13" i="7"/>
  <c r="A12" i="7"/>
  <c r="A11" i="7"/>
  <c r="A10" i="7"/>
  <c r="A9" i="7"/>
  <c r="A8" i="7"/>
  <c r="A7" i="7"/>
  <c r="F6" i="7"/>
  <c r="E6" i="7"/>
  <c r="D6" i="7"/>
  <c r="C6" i="7"/>
  <c r="A6" i="7"/>
  <c r="C33" i="5"/>
  <c r="Y3" i="5" s="1"/>
  <c r="Q39" i="3"/>
  <c r="U39" i="3" s="1"/>
  <c r="S38" i="3"/>
  <c r="R38" i="3"/>
  <c r="Q38" i="3"/>
  <c r="U38" i="3" s="1"/>
  <c r="U37" i="3"/>
  <c r="T37" i="3"/>
  <c r="Q37" i="3"/>
  <c r="S37" i="3" s="1"/>
  <c r="Q36" i="3"/>
  <c r="U36" i="3" s="1"/>
  <c r="U35" i="3"/>
  <c r="T35" i="3"/>
  <c r="S35" i="3"/>
  <c r="R35" i="3"/>
  <c r="Q35" i="3"/>
  <c r="Q34" i="3"/>
  <c r="U34" i="3" s="1"/>
  <c r="Q33" i="3"/>
  <c r="S33" i="3" s="1"/>
  <c r="U32" i="3"/>
  <c r="Q32" i="3"/>
  <c r="T32" i="3" s="1"/>
  <c r="Q31" i="3"/>
  <c r="U31" i="3" s="1"/>
  <c r="U30" i="3"/>
  <c r="T30" i="3"/>
  <c r="S30" i="3"/>
  <c r="Q30" i="3"/>
  <c r="R30" i="3" s="1"/>
  <c r="T29" i="3"/>
  <c r="S29" i="3"/>
  <c r="R29" i="3"/>
  <c r="Q29" i="3"/>
  <c r="U29" i="3" s="1"/>
  <c r="Q28" i="3"/>
  <c r="R28" i="3" s="1"/>
  <c r="R27" i="3"/>
  <c r="Q27" i="3"/>
  <c r="U27" i="3" s="1"/>
  <c r="W26" i="3"/>
  <c r="V26" i="3"/>
  <c r="Q26" i="3"/>
  <c r="R26" i="3" s="1"/>
  <c r="W25" i="3"/>
  <c r="V25" i="3"/>
  <c r="T25" i="3"/>
  <c r="S25" i="3"/>
  <c r="R25" i="3"/>
  <c r="Q25" i="3"/>
  <c r="U25" i="3" s="1"/>
  <c r="W24" i="3"/>
  <c r="V24" i="3"/>
  <c r="U24" i="3"/>
  <c r="T24" i="3"/>
  <c r="S24" i="3"/>
  <c r="Q24" i="3"/>
  <c r="R24" i="3" s="1"/>
  <c r="W23" i="3"/>
  <c r="V23" i="3"/>
  <c r="Q23" i="3"/>
  <c r="U23" i="3" s="1"/>
  <c r="W22" i="3"/>
  <c r="V22" i="3"/>
  <c r="U22" i="3"/>
  <c r="Q22" i="3"/>
  <c r="T22" i="3" s="1"/>
  <c r="W21" i="3"/>
  <c r="V21" i="3"/>
  <c r="Q21" i="3"/>
  <c r="S21" i="3" s="1"/>
  <c r="W20" i="3"/>
  <c r="V20" i="3"/>
  <c r="S20" i="3"/>
  <c r="Q20" i="3"/>
  <c r="U20" i="3" s="1"/>
  <c r="W19" i="3"/>
  <c r="V19" i="3"/>
  <c r="U19" i="3"/>
  <c r="T19" i="3"/>
  <c r="S19" i="3"/>
  <c r="R19" i="3"/>
  <c r="Q19" i="3"/>
  <c r="W18" i="3"/>
  <c r="V18" i="3"/>
  <c r="U18" i="3"/>
  <c r="Q18" i="3"/>
  <c r="T18" i="3" s="1"/>
  <c r="W17" i="3"/>
  <c r="V17" i="3"/>
  <c r="U17" i="3"/>
  <c r="T17" i="3"/>
  <c r="R17" i="3"/>
  <c r="Q17" i="3"/>
  <c r="S17" i="3" s="1"/>
  <c r="W16" i="3"/>
  <c r="V16" i="3"/>
  <c r="Q16" i="3"/>
  <c r="R16" i="3" s="1"/>
  <c r="W15" i="3"/>
  <c r="V15" i="3"/>
  <c r="R15" i="3"/>
  <c r="Q15" i="3"/>
  <c r="U15" i="3" s="1"/>
  <c r="W14" i="3"/>
  <c r="V14" i="3"/>
  <c r="Q14" i="3"/>
  <c r="S14" i="3" s="1"/>
  <c r="W13" i="3"/>
  <c r="V13" i="3"/>
  <c r="T13" i="3"/>
  <c r="S13" i="3"/>
  <c r="R13" i="3"/>
  <c r="Q13" i="3"/>
  <c r="U13" i="3" s="1"/>
  <c r="W12" i="3"/>
  <c r="V12" i="3"/>
  <c r="U12" i="3"/>
  <c r="T12" i="3"/>
  <c r="S12" i="3"/>
  <c r="Q12" i="3"/>
  <c r="R12" i="3" s="1"/>
  <c r="W11" i="3"/>
  <c r="V11" i="3"/>
  <c r="Q11" i="3"/>
  <c r="U11" i="3" s="1"/>
  <c r="W10" i="3"/>
  <c r="V10" i="3"/>
  <c r="U10" i="3"/>
  <c r="Q10" i="3"/>
  <c r="T10" i="3" s="1"/>
  <c r="W9" i="3"/>
  <c r="V9" i="3"/>
  <c r="Q9" i="3"/>
  <c r="S9" i="3" s="1"/>
  <c r="W8" i="3"/>
  <c r="V8" i="3"/>
  <c r="S8" i="3"/>
  <c r="R8" i="3"/>
  <c r="Q8" i="3"/>
  <c r="U8" i="3" s="1"/>
  <c r="W7" i="3"/>
  <c r="V7" i="3"/>
  <c r="U7" i="3"/>
  <c r="T7" i="3"/>
  <c r="S7" i="3"/>
  <c r="R7" i="3"/>
  <c r="Q7" i="3"/>
  <c r="W6" i="3"/>
  <c r="V6" i="3"/>
  <c r="Q6" i="3"/>
  <c r="U6" i="3" s="1"/>
  <c r="W5" i="3"/>
  <c r="V5" i="3"/>
  <c r="U5" i="3"/>
  <c r="T5" i="3"/>
  <c r="R5" i="3"/>
  <c r="Q5" i="3"/>
  <c r="S5" i="3" s="1"/>
  <c r="W4" i="3"/>
  <c r="V4" i="3"/>
  <c r="Q4" i="3"/>
  <c r="R4" i="3" s="1"/>
  <c r="W3" i="3"/>
  <c r="V3" i="3"/>
  <c r="R3" i="3"/>
  <c r="Q3" i="3"/>
  <c r="U3" i="3" s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Q4" i="1"/>
  <c r="Q5" i="1"/>
  <c r="Q6" i="1"/>
  <c r="Q7" i="1"/>
  <c r="R7" i="1"/>
  <c r="S7" i="1"/>
  <c r="T7" i="1"/>
  <c r="Q8" i="1"/>
  <c r="Q9" i="1"/>
  <c r="U9" i="1"/>
  <c r="Q10" i="1"/>
  <c r="R10" i="1" s="1"/>
  <c r="S10" i="1"/>
  <c r="T10" i="1"/>
  <c r="Q11" i="1"/>
  <c r="Q12" i="1"/>
  <c r="Q13" i="1"/>
  <c r="R13" i="1"/>
  <c r="Q14" i="1"/>
  <c r="R14" i="1"/>
  <c r="S14" i="1"/>
  <c r="Q15" i="1"/>
  <c r="Q16" i="1"/>
  <c r="R16" i="1"/>
  <c r="S16" i="1"/>
  <c r="T16" i="1"/>
  <c r="U16" i="1"/>
  <c r="Q17" i="1"/>
  <c r="Q18" i="1"/>
  <c r="Q19" i="1"/>
  <c r="S19" i="1"/>
  <c r="T19" i="1"/>
  <c r="U19" i="1"/>
  <c r="Q20" i="1"/>
  <c r="U20" i="1" s="1"/>
  <c r="Q21" i="1"/>
  <c r="Q22" i="1"/>
  <c r="S22" i="1"/>
  <c r="T22" i="1"/>
  <c r="U22" i="1"/>
  <c r="Q23" i="1"/>
  <c r="R23" i="1" s="1"/>
  <c r="Q24" i="1"/>
  <c r="Q25" i="1"/>
  <c r="Q26" i="1"/>
  <c r="R26" i="1"/>
  <c r="S26" i="1"/>
  <c r="T26" i="1"/>
  <c r="U26" i="1"/>
  <c r="Q27" i="1"/>
  <c r="Q28" i="1"/>
  <c r="T28" i="1"/>
  <c r="U28" i="1"/>
  <c r="Q29" i="1"/>
  <c r="R29" i="1"/>
  <c r="Q30" i="1"/>
  <c r="Q31" i="1"/>
  <c r="U31" i="1"/>
  <c r="Q32" i="1"/>
  <c r="U32" i="1" s="1"/>
  <c r="R32" i="1"/>
  <c r="S32" i="1"/>
  <c r="Q33" i="1"/>
  <c r="Q34" i="1"/>
  <c r="T34" i="1"/>
  <c r="U34" i="1"/>
  <c r="Q35" i="1"/>
  <c r="R35" i="1" s="1"/>
  <c r="Q36" i="1"/>
  <c r="Q37" i="1"/>
  <c r="Q38" i="1"/>
  <c r="S38" i="1"/>
  <c r="T38" i="1"/>
  <c r="U38" i="1"/>
  <c r="Q39" i="1"/>
  <c r="Q3" i="1"/>
  <c r="W14" i="6"/>
  <c r="V14" i="6"/>
  <c r="W13" i="6"/>
  <c r="V13" i="6"/>
  <c r="W12" i="6"/>
  <c r="V12" i="6"/>
  <c r="W11" i="6"/>
  <c r="V11" i="6"/>
  <c r="W10" i="6"/>
  <c r="V10" i="6"/>
  <c r="W9" i="6"/>
  <c r="V9" i="6"/>
  <c r="W8" i="6"/>
  <c r="V8" i="6"/>
  <c r="W7" i="6"/>
  <c r="V7" i="6"/>
  <c r="U7" i="6"/>
  <c r="T7" i="6"/>
  <c r="S7" i="6"/>
  <c r="R7" i="6"/>
  <c r="W6" i="6"/>
  <c r="V6" i="6"/>
  <c r="U6" i="6"/>
  <c r="T6" i="6"/>
  <c r="S6" i="6"/>
  <c r="R6" i="6"/>
  <c r="W5" i="6"/>
  <c r="V5" i="6"/>
  <c r="U5" i="6"/>
  <c r="T5" i="6"/>
  <c r="S5" i="6"/>
  <c r="R5" i="6"/>
  <c r="Y4" i="6"/>
  <c r="X4" i="6"/>
  <c r="W4" i="6"/>
  <c r="V4" i="6"/>
  <c r="U4" i="6"/>
  <c r="T4" i="6"/>
  <c r="S4" i="6"/>
  <c r="R4" i="6"/>
  <c r="Y3" i="6"/>
  <c r="X3" i="6"/>
  <c r="W3" i="6"/>
  <c r="V3" i="6"/>
  <c r="U3" i="6"/>
  <c r="T3" i="6"/>
  <c r="S3" i="6"/>
  <c r="R3" i="6"/>
  <c r="Y4" i="5"/>
  <c r="X4" i="5"/>
  <c r="X3" i="5"/>
  <c r="W14" i="5"/>
  <c r="V14" i="5"/>
  <c r="W13" i="5"/>
  <c r="V13" i="5"/>
  <c r="W12" i="5"/>
  <c r="V12" i="5"/>
  <c r="W11" i="5"/>
  <c r="V11" i="5"/>
  <c r="W10" i="5"/>
  <c r="V10" i="5"/>
  <c r="W9" i="5"/>
  <c r="V9" i="5"/>
  <c r="W8" i="5"/>
  <c r="V8" i="5"/>
  <c r="W7" i="5"/>
  <c r="V7" i="5"/>
  <c r="W6" i="5"/>
  <c r="V6" i="5"/>
  <c r="W5" i="5"/>
  <c r="V5" i="5"/>
  <c r="W4" i="5"/>
  <c r="V4" i="5"/>
  <c r="W3" i="5"/>
  <c r="V3" i="5"/>
  <c r="U7" i="5"/>
  <c r="T7" i="5"/>
  <c r="U6" i="5"/>
  <c r="T6" i="5"/>
  <c r="U5" i="5"/>
  <c r="T5" i="5"/>
  <c r="U4" i="5"/>
  <c r="T4" i="5"/>
  <c r="U3" i="5"/>
  <c r="T3" i="5"/>
  <c r="S7" i="5"/>
  <c r="R7" i="5"/>
  <c r="S6" i="5"/>
  <c r="R6" i="5"/>
  <c r="S5" i="5"/>
  <c r="R5" i="5"/>
  <c r="S4" i="5"/>
  <c r="R4" i="5"/>
  <c r="S3" i="5"/>
  <c r="R3" i="5"/>
  <c r="C54" i="6"/>
  <c r="C103" i="6"/>
  <c r="C94" i="6"/>
  <c r="C67" i="6"/>
  <c r="C37" i="6"/>
  <c r="C36" i="6"/>
  <c r="C35" i="6"/>
  <c r="C38" i="6" s="1"/>
  <c r="C33" i="6"/>
  <c r="C34" i="6" s="1"/>
  <c r="C28" i="6"/>
  <c r="C30" i="6" s="1"/>
  <c r="C26" i="6"/>
  <c r="C27" i="6" s="1"/>
  <c r="C25" i="6"/>
  <c r="C104" i="5"/>
  <c r="C103" i="5"/>
  <c r="C94" i="5"/>
  <c r="C67" i="5"/>
  <c r="C37" i="5"/>
  <c r="C36" i="5"/>
  <c r="C35" i="5"/>
  <c r="C34" i="5"/>
  <c r="C41" i="5" s="1"/>
  <c r="C28" i="5"/>
  <c r="C30" i="5" s="1"/>
  <c r="C26" i="5"/>
  <c r="C27" i="5" s="1"/>
  <c r="C25" i="5"/>
  <c r="C106" i="3"/>
  <c r="C76" i="3"/>
  <c r="C115" i="3" s="1"/>
  <c r="F73" i="3"/>
  <c r="C5" i="4"/>
  <c r="C6" i="4"/>
  <c r="C7" i="4"/>
  <c r="C8" i="4" s="1"/>
  <c r="C9" i="4"/>
  <c r="C12" i="4"/>
  <c r="C13" i="4"/>
  <c r="A35" i="4"/>
  <c r="A36" i="4" s="1"/>
  <c r="A34" i="4"/>
  <c r="B34" i="4" s="1"/>
  <c r="F7" i="4"/>
  <c r="G7" i="4" s="1"/>
  <c r="G6" i="4"/>
  <c r="B33" i="4"/>
  <c r="C101" i="3"/>
  <c r="C84" i="3"/>
  <c r="C80" i="3"/>
  <c r="C69" i="3"/>
  <c r="C55" i="3"/>
  <c r="C49" i="3"/>
  <c r="C45" i="3"/>
  <c r="C44" i="3"/>
  <c r="C40" i="3"/>
  <c r="C73" i="3" s="1"/>
  <c r="C36" i="3"/>
  <c r="C35" i="3"/>
  <c r="C34" i="3"/>
  <c r="C26" i="3"/>
  <c r="C28" i="3" s="1"/>
  <c r="C14" i="4" s="1"/>
  <c r="C24" i="3"/>
  <c r="C10" i="4" s="1"/>
  <c r="C80" i="1"/>
  <c r="C115" i="1"/>
  <c r="C110" i="1"/>
  <c r="C106" i="1"/>
  <c r="C101" i="1"/>
  <c r="C84" i="1"/>
  <c r="C76" i="1"/>
  <c r="F73" i="1"/>
  <c r="C73" i="1"/>
  <c r="A35" i="2"/>
  <c r="A34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F8" i="2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7" i="2"/>
  <c r="G6" i="2"/>
  <c r="C13" i="2"/>
  <c r="C12" i="2"/>
  <c r="C11" i="2"/>
  <c r="C5" i="2"/>
  <c r="B33" i="2" s="1"/>
  <c r="C55" i="1"/>
  <c r="C49" i="1"/>
  <c r="C44" i="1"/>
  <c r="C45" i="1" s="1"/>
  <c r="C40" i="1"/>
  <c r="C36" i="1"/>
  <c r="C6" i="2" s="1"/>
  <c r="C35" i="1"/>
  <c r="C68" i="1" s="1"/>
  <c r="C34" i="1"/>
  <c r="C26" i="1"/>
  <c r="C69" i="1" s="1"/>
  <c r="C38" i="9" l="1"/>
  <c r="W5" i="9"/>
  <c r="V11" i="9"/>
  <c r="W11" i="9"/>
  <c r="Y3" i="9"/>
  <c r="W12" i="9"/>
  <c r="C10" i="13"/>
  <c r="C59" i="12"/>
  <c r="C15" i="13" s="1"/>
  <c r="C102" i="12"/>
  <c r="C104" i="12" s="1"/>
  <c r="C105" i="12" s="1"/>
  <c r="C82" i="12"/>
  <c r="C86" i="12" s="1"/>
  <c r="C88" i="12" s="1"/>
  <c r="G118" i="13"/>
  <c r="F118" i="13"/>
  <c r="I117" i="13" a="1"/>
  <c r="I117" i="13" s="1"/>
  <c r="J117" i="13" a="1"/>
  <c r="J117" i="13" s="1"/>
  <c r="C117" i="13"/>
  <c r="D117" i="13" s="1"/>
  <c r="E117" i="13" s="1"/>
  <c r="G120" i="13"/>
  <c r="F120" i="13"/>
  <c r="A122" i="13"/>
  <c r="B121" i="13"/>
  <c r="G116" i="13"/>
  <c r="F116" i="13"/>
  <c r="J120" i="13" a="1"/>
  <c r="J120" i="13" s="1"/>
  <c r="I120" i="13" a="1"/>
  <c r="I120" i="13" s="1"/>
  <c r="B119" i="13"/>
  <c r="G8" i="13"/>
  <c r="F9" i="13"/>
  <c r="B34" i="13"/>
  <c r="A35" i="13"/>
  <c r="H7" i="13"/>
  <c r="I7" i="13" s="1"/>
  <c r="I6" i="13"/>
  <c r="H6" i="13"/>
  <c r="I8" i="13"/>
  <c r="H8" i="13"/>
  <c r="E33" i="13"/>
  <c r="C28" i="12"/>
  <c r="C70" i="12"/>
  <c r="C65" i="12"/>
  <c r="S3" i="12"/>
  <c r="T8" i="12"/>
  <c r="R10" i="12"/>
  <c r="U13" i="12"/>
  <c r="R15" i="12"/>
  <c r="T18" i="12"/>
  <c r="R20" i="12"/>
  <c r="U23" i="12"/>
  <c r="U26" i="12"/>
  <c r="T28" i="12"/>
  <c r="S33" i="12"/>
  <c r="S35" i="12"/>
  <c r="S37" i="12"/>
  <c r="S39" i="12"/>
  <c r="U3" i="12"/>
  <c r="S5" i="12"/>
  <c r="T10" i="12"/>
  <c r="R12" i="12"/>
  <c r="T15" i="12"/>
  <c r="T20" i="12"/>
  <c r="R22" i="12"/>
  <c r="S25" i="12"/>
  <c r="S31" i="12"/>
  <c r="U33" i="12"/>
  <c r="U35" i="12"/>
  <c r="U37" i="12"/>
  <c r="U39" i="12"/>
  <c r="S12" i="12"/>
  <c r="S22" i="12"/>
  <c r="T12" i="12"/>
  <c r="R9" i="12"/>
  <c r="R19" i="12"/>
  <c r="U22" i="12"/>
  <c r="R24" i="12"/>
  <c r="R34" i="12"/>
  <c r="R36" i="12"/>
  <c r="R38" i="12"/>
  <c r="S19" i="12"/>
  <c r="S24" i="12"/>
  <c r="S34" i="12"/>
  <c r="S36" i="12"/>
  <c r="S38" i="12"/>
  <c r="S4" i="12"/>
  <c r="T9" i="12"/>
  <c r="R11" i="12"/>
  <c r="U14" i="12"/>
  <c r="T19" i="12"/>
  <c r="R21" i="12"/>
  <c r="T24" i="12"/>
  <c r="U27" i="12"/>
  <c r="S32" i="12"/>
  <c r="T34" i="12"/>
  <c r="T36" i="12"/>
  <c r="T38" i="12"/>
  <c r="C46" i="12"/>
  <c r="C47" i="12" s="1"/>
  <c r="C48" i="12" s="1"/>
  <c r="U9" i="12"/>
  <c r="U4" i="12"/>
  <c r="S6" i="12"/>
  <c r="V9" i="12"/>
  <c r="T11" i="12"/>
  <c r="R13" i="12"/>
  <c r="S16" i="12"/>
  <c r="T21" i="12"/>
  <c r="R23" i="12"/>
  <c r="R26" i="12"/>
  <c r="S30" i="12"/>
  <c r="U32" i="12"/>
  <c r="C37" i="12"/>
  <c r="V7" i="12" s="1"/>
  <c r="V4" i="12"/>
  <c r="T6" i="12"/>
  <c r="R8" i="12"/>
  <c r="U11" i="12"/>
  <c r="S13" i="12"/>
  <c r="T16" i="12"/>
  <c r="R18" i="12"/>
  <c r="U21" i="12"/>
  <c r="S23" i="12"/>
  <c r="S26" i="12"/>
  <c r="R28" i="12"/>
  <c r="C117" i="11"/>
  <c r="D117" i="11" s="1"/>
  <c r="E117" i="11" s="1"/>
  <c r="I117" i="11" a="1"/>
  <c r="I117" i="11" s="1"/>
  <c r="J117" i="11" a="1"/>
  <c r="J117" i="11" s="1"/>
  <c r="F116" i="11"/>
  <c r="G116" i="11"/>
  <c r="A118" i="11"/>
  <c r="B34" i="11"/>
  <c r="A35" i="11"/>
  <c r="G8" i="11"/>
  <c r="F9" i="11"/>
  <c r="C33" i="11"/>
  <c r="D33" i="11" s="1"/>
  <c r="E33" i="11" s="1"/>
  <c r="C8" i="11"/>
  <c r="H6" i="11"/>
  <c r="H8" i="11"/>
  <c r="I8" i="11" s="1"/>
  <c r="C59" i="10"/>
  <c r="C65" i="10"/>
  <c r="C75" i="10"/>
  <c r="C114" i="10" s="1"/>
  <c r="C48" i="10"/>
  <c r="C54" i="10"/>
  <c r="C56" i="10" s="1"/>
  <c r="C72" i="10"/>
  <c r="C111" i="10" s="1"/>
  <c r="R10" i="10"/>
  <c r="R20" i="10"/>
  <c r="T20" i="10"/>
  <c r="R22" i="10"/>
  <c r="S25" i="10"/>
  <c r="T5" i="10"/>
  <c r="R7" i="10"/>
  <c r="U10" i="10"/>
  <c r="S12" i="10"/>
  <c r="U15" i="10"/>
  <c r="R17" i="10"/>
  <c r="U20" i="10"/>
  <c r="S22" i="10"/>
  <c r="T25" i="10"/>
  <c r="R29" i="10"/>
  <c r="T31" i="10"/>
  <c r="U5" i="10"/>
  <c r="S7" i="10"/>
  <c r="T12" i="10"/>
  <c r="R14" i="10"/>
  <c r="S17" i="10"/>
  <c r="T22" i="10"/>
  <c r="U25" i="10"/>
  <c r="R27" i="10"/>
  <c r="S29" i="10"/>
  <c r="U31" i="10"/>
  <c r="T15" i="10"/>
  <c r="U12" i="10"/>
  <c r="R4" i="10"/>
  <c r="W5" i="10"/>
  <c r="U7" i="10"/>
  <c r="S9" i="10"/>
  <c r="T14" i="10"/>
  <c r="U17" i="10"/>
  <c r="S19" i="10"/>
  <c r="S24" i="10"/>
  <c r="T27" i="10"/>
  <c r="U29" i="10"/>
  <c r="R32" i="10"/>
  <c r="S34" i="10"/>
  <c r="S36" i="10"/>
  <c r="S38" i="10"/>
  <c r="S4" i="10"/>
  <c r="V7" i="10"/>
  <c r="T9" i="10"/>
  <c r="R11" i="10"/>
  <c r="U14" i="10"/>
  <c r="T19" i="10"/>
  <c r="R21" i="10"/>
  <c r="T24" i="10"/>
  <c r="U27" i="10"/>
  <c r="S32" i="10"/>
  <c r="T34" i="10"/>
  <c r="T36" i="10"/>
  <c r="T38" i="10"/>
  <c r="S5" i="10"/>
  <c r="T10" i="10"/>
  <c r="S31" i="10"/>
  <c r="U4" i="10"/>
  <c r="S6" i="10"/>
  <c r="T11" i="10"/>
  <c r="R13" i="10"/>
  <c r="S16" i="10"/>
  <c r="T21" i="10"/>
  <c r="R23" i="10"/>
  <c r="R26" i="10"/>
  <c r="S30" i="10"/>
  <c r="U32" i="10"/>
  <c r="C37" i="10"/>
  <c r="V4" i="10" s="1"/>
  <c r="R15" i="10"/>
  <c r="T6" i="10"/>
  <c r="R8" i="10"/>
  <c r="U11" i="10"/>
  <c r="S13" i="10"/>
  <c r="T16" i="10"/>
  <c r="R18" i="10"/>
  <c r="U21" i="10"/>
  <c r="S23" i="10"/>
  <c r="S26" i="10"/>
  <c r="R28" i="10"/>
  <c r="C75" i="9"/>
  <c r="C40" i="9"/>
  <c r="C39" i="9"/>
  <c r="C83" i="9" s="1"/>
  <c r="C89" i="9" s="1"/>
  <c r="V8" i="9"/>
  <c r="V4" i="9"/>
  <c r="W4" i="9"/>
  <c r="W9" i="9"/>
  <c r="V6" i="9"/>
  <c r="Y4" i="9"/>
  <c r="W3" i="9"/>
  <c r="X4" i="9"/>
  <c r="W6" i="9"/>
  <c r="V3" i="9"/>
  <c r="X3" i="9"/>
  <c r="V5" i="9"/>
  <c r="V7" i="9"/>
  <c r="C34" i="9"/>
  <c r="C69" i="9" s="1"/>
  <c r="C51" i="9"/>
  <c r="C113" i="9" s="1"/>
  <c r="W8" i="9"/>
  <c r="W3" i="8"/>
  <c r="W11" i="8"/>
  <c r="X3" i="8"/>
  <c r="V12" i="8"/>
  <c r="C104" i="8"/>
  <c r="V5" i="8"/>
  <c r="V7" i="8"/>
  <c r="C34" i="8"/>
  <c r="W5" i="8"/>
  <c r="C71" i="5"/>
  <c r="C72" i="5" s="1"/>
  <c r="C73" i="5" s="1"/>
  <c r="D94" i="7"/>
  <c r="F94" i="7" s="1"/>
  <c r="D96" i="7"/>
  <c r="F96" i="7" s="1"/>
  <c r="D98" i="7"/>
  <c r="F98" i="7" s="1"/>
  <c r="D100" i="7"/>
  <c r="F100" i="7" s="1"/>
  <c r="D102" i="7"/>
  <c r="F102" i="7" s="1"/>
  <c r="D95" i="7"/>
  <c r="F95" i="7" s="1"/>
  <c r="D97" i="7"/>
  <c r="F97" i="7" s="1"/>
  <c r="D99" i="7"/>
  <c r="F99" i="7" s="1"/>
  <c r="D101" i="7"/>
  <c r="F101" i="7" s="1"/>
  <c r="D103" i="7"/>
  <c r="F103" i="7" s="1"/>
  <c r="D79" i="7"/>
  <c r="C84" i="7"/>
  <c r="E79" i="7"/>
  <c r="F79" i="7" s="1"/>
  <c r="D84" i="7"/>
  <c r="C82" i="7"/>
  <c r="D80" i="7"/>
  <c r="C85" i="7"/>
  <c r="E80" i="7"/>
  <c r="F80" i="7" s="1"/>
  <c r="D78" i="7"/>
  <c r="C83" i="7"/>
  <c r="G56" i="7"/>
  <c r="H60" i="7"/>
  <c r="G61" i="7"/>
  <c r="H57" i="7"/>
  <c r="G54" i="7"/>
  <c r="G58" i="7"/>
  <c r="G62" i="7"/>
  <c r="G55" i="7"/>
  <c r="G59" i="7"/>
  <c r="G63" i="7"/>
  <c r="C24" i="1"/>
  <c r="C10" i="2" s="1"/>
  <c r="C11" i="4"/>
  <c r="C110" i="3"/>
  <c r="C25" i="3"/>
  <c r="C98" i="3" s="1"/>
  <c r="C99" i="3" s="1"/>
  <c r="C81" i="3"/>
  <c r="C28" i="1"/>
  <c r="C14" i="2" s="1"/>
  <c r="C99" i="1"/>
  <c r="R3" i="1"/>
  <c r="R38" i="1"/>
  <c r="T31" i="1"/>
  <c r="S28" i="1"/>
  <c r="R22" i="1"/>
  <c r="R19" i="1"/>
  <c r="T13" i="1"/>
  <c r="T9" i="1"/>
  <c r="S6" i="1"/>
  <c r="S31" i="1"/>
  <c r="S34" i="1"/>
  <c r="S3" i="1"/>
  <c r="R34" i="1"/>
  <c r="R28" i="1"/>
  <c r="R25" i="1"/>
  <c r="U21" i="1"/>
  <c r="U15" i="1"/>
  <c r="U12" i="1"/>
  <c r="S9" i="1"/>
  <c r="U5" i="1"/>
  <c r="T3" i="1"/>
  <c r="R37" i="1"/>
  <c r="R31" i="1"/>
  <c r="T25" i="1"/>
  <c r="T21" i="1"/>
  <c r="S18" i="1"/>
  <c r="T15" i="1"/>
  <c r="T12" i="1"/>
  <c r="R9" i="1"/>
  <c r="T5" i="1"/>
  <c r="U3" i="1"/>
  <c r="T37" i="1"/>
  <c r="U33" i="1"/>
  <c r="U27" i="1"/>
  <c r="U24" i="1"/>
  <c r="S21" i="1"/>
  <c r="U17" i="1"/>
  <c r="S15" i="1"/>
  <c r="S12" i="1"/>
  <c r="R5" i="1"/>
  <c r="U39" i="1"/>
  <c r="U36" i="1"/>
  <c r="T33" i="1"/>
  <c r="S30" i="1"/>
  <c r="T27" i="1"/>
  <c r="T24" i="1"/>
  <c r="R21" i="1"/>
  <c r="T17" i="1"/>
  <c r="R15" i="1"/>
  <c r="R12" i="1"/>
  <c r="S8" i="1"/>
  <c r="U4" i="1"/>
  <c r="T39" i="1"/>
  <c r="T36" i="1"/>
  <c r="S33" i="1"/>
  <c r="U29" i="1"/>
  <c r="S27" i="1"/>
  <c r="S24" i="1"/>
  <c r="S17" i="1"/>
  <c r="R8" i="1"/>
  <c r="T4" i="1"/>
  <c r="S39" i="1"/>
  <c r="S36" i="1"/>
  <c r="R33" i="1"/>
  <c r="T29" i="1"/>
  <c r="R27" i="1"/>
  <c r="R24" i="1"/>
  <c r="S20" i="1"/>
  <c r="R17" i="1"/>
  <c r="U14" i="1"/>
  <c r="R11" i="1"/>
  <c r="U8" i="1"/>
  <c r="S4" i="1"/>
  <c r="R39" i="1"/>
  <c r="R36" i="1"/>
  <c r="S29" i="1"/>
  <c r="R20" i="1"/>
  <c r="T14" i="1"/>
  <c r="U10" i="1"/>
  <c r="U7" i="1"/>
  <c r="R4" i="1"/>
  <c r="V9" i="1"/>
  <c r="W8" i="1"/>
  <c r="D8" i="7"/>
  <c r="D14" i="7"/>
  <c r="D15" i="7"/>
  <c r="F12" i="7"/>
  <c r="D7" i="7"/>
  <c r="D10" i="7"/>
  <c r="D13" i="7"/>
  <c r="D16" i="7"/>
  <c r="D11" i="7"/>
  <c r="D9" i="7"/>
  <c r="C54" i="5"/>
  <c r="R33" i="3"/>
  <c r="S28" i="3"/>
  <c r="S4" i="3"/>
  <c r="T9" i="3"/>
  <c r="R11" i="3"/>
  <c r="U14" i="3"/>
  <c r="S16" i="3"/>
  <c r="T21" i="3"/>
  <c r="R23" i="3"/>
  <c r="U26" i="3"/>
  <c r="U28" i="3"/>
  <c r="R31" i="3"/>
  <c r="T33" i="3"/>
  <c r="T4" i="3"/>
  <c r="R6" i="3"/>
  <c r="U9" i="3"/>
  <c r="S11" i="3"/>
  <c r="T16" i="3"/>
  <c r="R18" i="3"/>
  <c r="U21" i="3"/>
  <c r="S23" i="3"/>
  <c r="S31" i="3"/>
  <c r="U33" i="3"/>
  <c r="R36" i="3"/>
  <c r="T38" i="3"/>
  <c r="R14" i="3"/>
  <c r="R9" i="3"/>
  <c r="S26" i="3"/>
  <c r="T26" i="3"/>
  <c r="U4" i="3"/>
  <c r="S6" i="3"/>
  <c r="T11" i="3"/>
  <c r="U16" i="3"/>
  <c r="S18" i="3"/>
  <c r="T23" i="3"/>
  <c r="T31" i="3"/>
  <c r="S36" i="3"/>
  <c r="T14" i="3"/>
  <c r="T28" i="3"/>
  <c r="T6" i="3"/>
  <c r="R20" i="3"/>
  <c r="R34" i="3"/>
  <c r="T36" i="3"/>
  <c r="R21" i="3"/>
  <c r="S34" i="3"/>
  <c r="R39" i="3"/>
  <c r="S3" i="3"/>
  <c r="T8" i="3"/>
  <c r="R10" i="3"/>
  <c r="S15" i="3"/>
  <c r="T20" i="3"/>
  <c r="R22" i="3"/>
  <c r="S27" i="3"/>
  <c r="R32" i="3"/>
  <c r="T34" i="3"/>
  <c r="S39" i="3"/>
  <c r="T3" i="3"/>
  <c r="S22" i="3"/>
  <c r="T27" i="3"/>
  <c r="S32" i="3"/>
  <c r="R37" i="3"/>
  <c r="T39" i="3"/>
  <c r="S10" i="3"/>
  <c r="T15" i="3"/>
  <c r="S37" i="1"/>
  <c r="T32" i="1"/>
  <c r="R30" i="1"/>
  <c r="S25" i="1"/>
  <c r="T20" i="1"/>
  <c r="R18" i="1"/>
  <c r="S13" i="1"/>
  <c r="T8" i="1"/>
  <c r="R6" i="1"/>
  <c r="S5" i="1"/>
  <c r="U30" i="1"/>
  <c r="T23" i="1"/>
  <c r="U18" i="1"/>
  <c r="U6" i="1"/>
  <c r="U37" i="1"/>
  <c r="S35" i="1"/>
  <c r="T30" i="1"/>
  <c r="U25" i="1"/>
  <c r="U13" i="1"/>
  <c r="S11" i="1"/>
  <c r="T6" i="1"/>
  <c r="U35" i="1"/>
  <c r="U23" i="1"/>
  <c r="U11" i="1"/>
  <c r="T35" i="1"/>
  <c r="T11" i="1"/>
  <c r="S23" i="1"/>
  <c r="T18" i="1"/>
  <c r="C78" i="6"/>
  <c r="C79" i="6" s="1"/>
  <c r="C78" i="5"/>
  <c r="C79" i="5" s="1"/>
  <c r="C38" i="5"/>
  <c r="C40" i="5" s="1"/>
  <c r="C97" i="5" s="1"/>
  <c r="C44" i="5"/>
  <c r="C45" i="5" s="1"/>
  <c r="C50" i="5"/>
  <c r="C66" i="5"/>
  <c r="C68" i="5" s="1"/>
  <c r="C65" i="5"/>
  <c r="C77" i="5"/>
  <c r="C75" i="5"/>
  <c r="C76" i="5" s="1"/>
  <c r="C109" i="5" s="1"/>
  <c r="C51" i="5"/>
  <c r="C113" i="5" s="1"/>
  <c r="C39" i="6"/>
  <c r="C40" i="6"/>
  <c r="C97" i="6" s="1"/>
  <c r="C65" i="6"/>
  <c r="C41" i="6"/>
  <c r="C51" i="6"/>
  <c r="C113" i="6" s="1"/>
  <c r="C66" i="6"/>
  <c r="C68" i="6" s="1"/>
  <c r="C44" i="6"/>
  <c r="C45" i="6" s="1"/>
  <c r="C50" i="6"/>
  <c r="C68" i="3"/>
  <c r="C70" i="3" s="1"/>
  <c r="C37" i="3"/>
  <c r="C52" i="3" s="1"/>
  <c r="C53" i="3" s="1"/>
  <c r="C9" i="2"/>
  <c r="C33" i="4"/>
  <c r="C34" i="4"/>
  <c r="B36" i="4"/>
  <c r="A37" i="4"/>
  <c r="B35" i="4"/>
  <c r="F8" i="4"/>
  <c r="C41" i="3"/>
  <c r="C71" i="3"/>
  <c r="C46" i="3"/>
  <c r="C47" i="3" s="1"/>
  <c r="C54" i="3" s="1"/>
  <c r="C56" i="3" s="1"/>
  <c r="C90" i="3"/>
  <c r="C59" i="3"/>
  <c r="C15" i="4" s="1"/>
  <c r="C46" i="1"/>
  <c r="C47" i="1" s="1"/>
  <c r="C48" i="1" s="1"/>
  <c r="C90" i="1"/>
  <c r="C71" i="1"/>
  <c r="C75" i="1" s="1"/>
  <c r="C114" i="1" s="1"/>
  <c r="C33" i="2"/>
  <c r="C37" i="1"/>
  <c r="C70" i="1"/>
  <c r="B34" i="2"/>
  <c r="C7" i="2"/>
  <c r="C59" i="1"/>
  <c r="C15" i="2" s="1"/>
  <c r="B35" i="2"/>
  <c r="A36" i="2"/>
  <c r="C72" i="12" l="1"/>
  <c r="C111" i="12" s="1"/>
  <c r="C65" i="9"/>
  <c r="C70" i="9" s="1"/>
  <c r="C88" i="9"/>
  <c r="C84" i="9"/>
  <c r="C85" i="9" s="1"/>
  <c r="C86" i="9"/>
  <c r="K116" i="13"/>
  <c r="L116" i="13" s="1"/>
  <c r="M116" i="13" s="1"/>
  <c r="H116" i="13"/>
  <c r="I121" i="13" a="1"/>
  <c r="I121" i="13" s="1"/>
  <c r="C121" i="13"/>
  <c r="D121" i="13" s="1"/>
  <c r="E121" i="13" s="1"/>
  <c r="J121" i="13" a="1"/>
  <c r="J121" i="13" s="1"/>
  <c r="B122" i="13"/>
  <c r="A123" i="13"/>
  <c r="K120" i="13"/>
  <c r="L120" i="13" s="1"/>
  <c r="M120" i="13" s="1"/>
  <c r="H120" i="13"/>
  <c r="F117" i="13"/>
  <c r="G117" i="13"/>
  <c r="C119" i="13"/>
  <c r="D119" i="13" s="1"/>
  <c r="E119" i="13" s="1"/>
  <c r="I119" i="13" a="1"/>
  <c r="I119" i="13" s="1"/>
  <c r="J119" i="13" a="1"/>
  <c r="J119" i="13" s="1"/>
  <c r="K118" i="13"/>
  <c r="L118" i="13" s="1"/>
  <c r="M118" i="13" s="1"/>
  <c r="H118" i="13"/>
  <c r="B35" i="13"/>
  <c r="A36" i="13"/>
  <c r="C34" i="13"/>
  <c r="D34" i="13" s="1"/>
  <c r="E34" i="13" s="1"/>
  <c r="G9" i="13"/>
  <c r="H9" i="13" s="1"/>
  <c r="I9" i="13" s="1"/>
  <c r="F10" i="13"/>
  <c r="F33" i="13"/>
  <c r="G33" i="13"/>
  <c r="V6" i="12"/>
  <c r="C54" i="12"/>
  <c r="C56" i="12" s="1"/>
  <c r="C74" i="12"/>
  <c r="C113" i="12" s="1"/>
  <c r="W7" i="12"/>
  <c r="W5" i="12"/>
  <c r="W10" i="12"/>
  <c r="V5" i="12"/>
  <c r="W8" i="12"/>
  <c r="V3" i="12"/>
  <c r="W6" i="12"/>
  <c r="C52" i="12"/>
  <c r="C53" i="12" s="1"/>
  <c r="W4" i="12"/>
  <c r="C41" i="12"/>
  <c r="C77" i="12" s="1"/>
  <c r="C116" i="12" s="1"/>
  <c r="V10" i="12"/>
  <c r="W3" i="12"/>
  <c r="V8" i="12"/>
  <c r="C38" i="12"/>
  <c r="W9" i="12"/>
  <c r="A119" i="11"/>
  <c r="B118" i="11"/>
  <c r="K116" i="11"/>
  <c r="L116" i="11" s="1"/>
  <c r="M116" i="11" s="1"/>
  <c r="H116" i="11"/>
  <c r="F117" i="11"/>
  <c r="G117" i="11"/>
  <c r="F33" i="11"/>
  <c r="G33" i="11"/>
  <c r="G9" i="11"/>
  <c r="F10" i="11"/>
  <c r="I6" i="11"/>
  <c r="B35" i="11"/>
  <c r="A36" i="11"/>
  <c r="C34" i="11"/>
  <c r="D34" i="11" s="1"/>
  <c r="E34" i="11" s="1"/>
  <c r="H9" i="11"/>
  <c r="I9" i="11" s="1"/>
  <c r="H7" i="11"/>
  <c r="I7" i="11" s="1"/>
  <c r="V9" i="10"/>
  <c r="W7" i="10"/>
  <c r="W10" i="10"/>
  <c r="V5" i="10"/>
  <c r="V8" i="10"/>
  <c r="C52" i="10"/>
  <c r="C53" i="10" s="1"/>
  <c r="W4" i="10"/>
  <c r="C41" i="10"/>
  <c r="C77" i="10" s="1"/>
  <c r="C116" i="10" s="1"/>
  <c r="W8" i="10"/>
  <c r="V3" i="10"/>
  <c r="W6" i="10"/>
  <c r="V6" i="10"/>
  <c r="W9" i="10"/>
  <c r="W3" i="10"/>
  <c r="C74" i="10"/>
  <c r="C113" i="10" s="1"/>
  <c r="V10" i="10"/>
  <c r="C109" i="10"/>
  <c r="C60" i="10"/>
  <c r="C38" i="10"/>
  <c r="C54" i="9"/>
  <c r="C41" i="9"/>
  <c r="C68" i="9" s="1"/>
  <c r="C44" i="9"/>
  <c r="C45" i="9" s="1"/>
  <c r="C54" i="8"/>
  <c r="C41" i="8"/>
  <c r="C44" i="8"/>
  <c r="C45" i="8" s="1"/>
  <c r="C81" i="1"/>
  <c r="C41" i="1"/>
  <c r="C77" i="1" s="1"/>
  <c r="C116" i="1" s="1"/>
  <c r="V3" i="1"/>
  <c r="W3" i="1"/>
  <c r="V4" i="1"/>
  <c r="V10" i="1"/>
  <c r="W4" i="1"/>
  <c r="W10" i="1"/>
  <c r="V5" i="1"/>
  <c r="W5" i="1"/>
  <c r="W6" i="1"/>
  <c r="V6" i="1"/>
  <c r="V7" i="1"/>
  <c r="W7" i="1"/>
  <c r="W9" i="1"/>
  <c r="V8" i="1"/>
  <c r="C60" i="6"/>
  <c r="C59" i="6"/>
  <c r="C58" i="6"/>
  <c r="C57" i="6"/>
  <c r="C56" i="6"/>
  <c r="C55" i="6" s="1"/>
  <c r="C62" i="6" s="1"/>
  <c r="C39" i="5"/>
  <c r="C88" i="5" s="1"/>
  <c r="C80" i="5"/>
  <c r="C47" i="5"/>
  <c r="C108" i="5" s="1"/>
  <c r="C59" i="5"/>
  <c r="C60" i="5"/>
  <c r="C58" i="5"/>
  <c r="C56" i="5"/>
  <c r="C55" i="5" s="1"/>
  <c r="C62" i="5" s="1"/>
  <c r="C57" i="5"/>
  <c r="C47" i="6"/>
  <c r="C108" i="6" s="1"/>
  <c r="C48" i="5"/>
  <c r="C69" i="5"/>
  <c r="C70" i="5" s="1"/>
  <c r="C71" i="6"/>
  <c r="C72" i="6" s="1"/>
  <c r="C73" i="6" s="1"/>
  <c r="C89" i="6" s="1"/>
  <c r="C107" i="6" s="1"/>
  <c r="C48" i="6"/>
  <c r="C69" i="6"/>
  <c r="C70" i="6" s="1"/>
  <c r="C84" i="6"/>
  <c r="C83" i="6"/>
  <c r="C77" i="3"/>
  <c r="C116" i="3" s="1"/>
  <c r="C75" i="3"/>
  <c r="C114" i="3" s="1"/>
  <c r="C38" i="3"/>
  <c r="C48" i="3"/>
  <c r="C54" i="1"/>
  <c r="C56" i="1" s="1"/>
  <c r="C60" i="1" s="1"/>
  <c r="C16" i="2" s="1"/>
  <c r="C36" i="4"/>
  <c r="D36" i="4" s="1"/>
  <c r="E36" i="4" s="1"/>
  <c r="B37" i="4"/>
  <c r="A38" i="4"/>
  <c r="C35" i="4"/>
  <c r="D35" i="4" s="1"/>
  <c r="E35" i="4" s="1"/>
  <c r="G8" i="4"/>
  <c r="H8" i="4" s="1"/>
  <c r="I8" i="4" s="1"/>
  <c r="F9" i="4"/>
  <c r="H6" i="4"/>
  <c r="D33" i="4"/>
  <c r="E33" i="4" s="1"/>
  <c r="D34" i="4"/>
  <c r="E34" i="4" s="1"/>
  <c r="C109" i="3"/>
  <c r="C60" i="3"/>
  <c r="C16" i="4" s="1"/>
  <c r="C86" i="3"/>
  <c r="C39" i="3"/>
  <c r="C91" i="3" s="1"/>
  <c r="C92" i="3" s="1"/>
  <c r="C93" i="3" s="1"/>
  <c r="C83" i="3"/>
  <c r="C82" i="3"/>
  <c r="C52" i="1"/>
  <c r="C53" i="1" s="1"/>
  <c r="C34" i="2"/>
  <c r="D34" i="2" s="1"/>
  <c r="E34" i="2" s="1"/>
  <c r="F34" i="2" s="1"/>
  <c r="C8" i="2"/>
  <c r="H14" i="2" s="1"/>
  <c r="I14" i="2" s="1"/>
  <c r="D33" i="2"/>
  <c r="E33" i="2" s="1"/>
  <c r="C38" i="1"/>
  <c r="A37" i="2"/>
  <c r="B36" i="2"/>
  <c r="C35" i="2"/>
  <c r="D35" i="2" s="1"/>
  <c r="E35" i="2" s="1"/>
  <c r="C87" i="9" l="1"/>
  <c r="C92" i="9"/>
  <c r="C93" i="9" s="1"/>
  <c r="C76" i="9"/>
  <c r="C77" i="9"/>
  <c r="C80" i="9" s="1"/>
  <c r="C71" i="9"/>
  <c r="H117" i="13"/>
  <c r="K117" i="13"/>
  <c r="L117" i="13" s="1"/>
  <c r="M117" i="13" s="1"/>
  <c r="A124" i="13"/>
  <c r="B123" i="13"/>
  <c r="J122" i="13" a="1"/>
  <c r="J122" i="13" s="1"/>
  <c r="C122" i="13"/>
  <c r="D122" i="13" s="1"/>
  <c r="E122" i="13" s="1"/>
  <c r="I122" i="13" a="1"/>
  <c r="I122" i="13" s="1"/>
  <c r="F121" i="13"/>
  <c r="G121" i="13"/>
  <c r="F119" i="13"/>
  <c r="G119" i="13"/>
  <c r="F11" i="13"/>
  <c r="G10" i="13"/>
  <c r="H10" i="13" s="1"/>
  <c r="I10" i="13" s="1"/>
  <c r="H33" i="13"/>
  <c r="F34" i="13"/>
  <c r="G34" i="13"/>
  <c r="B36" i="13"/>
  <c r="A37" i="13"/>
  <c r="C35" i="13"/>
  <c r="D35" i="13" s="1"/>
  <c r="E35" i="13" s="1"/>
  <c r="C39" i="12"/>
  <c r="C60" i="12"/>
  <c r="C16" i="13" s="1"/>
  <c r="C109" i="12"/>
  <c r="K117" i="11"/>
  <c r="L117" i="11" s="1"/>
  <c r="M117" i="11" s="1"/>
  <c r="H117" i="11"/>
  <c r="J118" i="11" a="1"/>
  <c r="J118" i="11" s="1"/>
  <c r="I118" i="11" a="1"/>
  <c r="I118" i="11" s="1"/>
  <c r="C118" i="11"/>
  <c r="D118" i="11" s="1"/>
  <c r="E118" i="11" s="1"/>
  <c r="A120" i="11"/>
  <c r="B119" i="11"/>
  <c r="B36" i="11"/>
  <c r="A37" i="11"/>
  <c r="F34" i="11"/>
  <c r="G34" i="11"/>
  <c r="C35" i="11"/>
  <c r="D35" i="11" s="1"/>
  <c r="E35" i="11" s="1"/>
  <c r="F11" i="11"/>
  <c r="G10" i="11"/>
  <c r="H10" i="11" s="1"/>
  <c r="H33" i="11"/>
  <c r="C39" i="10"/>
  <c r="C60" i="9"/>
  <c r="C47" i="9"/>
  <c r="C108" i="9" s="1"/>
  <c r="C59" i="9"/>
  <c r="C58" i="9"/>
  <c r="C57" i="9"/>
  <c r="C56" i="9"/>
  <c r="C55" i="9" s="1"/>
  <c r="C62" i="9" s="1"/>
  <c r="C48" i="9"/>
  <c r="C58" i="8"/>
  <c r="C60" i="8"/>
  <c r="C47" i="8"/>
  <c r="C108" i="8" s="1"/>
  <c r="C59" i="8"/>
  <c r="C57" i="8"/>
  <c r="C56" i="8"/>
  <c r="C55" i="8" s="1"/>
  <c r="C62" i="8" s="1"/>
  <c r="C48" i="8"/>
  <c r="C109" i="1"/>
  <c r="C89" i="5"/>
  <c r="C99" i="5" s="1"/>
  <c r="C84" i="5"/>
  <c r="C85" i="5" s="1"/>
  <c r="C83" i="5"/>
  <c r="C86" i="5"/>
  <c r="C87" i="5" s="1"/>
  <c r="C110" i="5" s="1"/>
  <c r="C49" i="6"/>
  <c r="C52" i="6" s="1"/>
  <c r="C61" i="6"/>
  <c r="C95" i="5"/>
  <c r="C96" i="5" s="1"/>
  <c r="C98" i="5" s="1"/>
  <c r="F98" i="5" s="1"/>
  <c r="C106" i="5" s="1"/>
  <c r="C49" i="5"/>
  <c r="C52" i="5" s="1"/>
  <c r="C61" i="5"/>
  <c r="C88" i="6"/>
  <c r="C85" i="6"/>
  <c r="C75" i="6"/>
  <c r="C77" i="6"/>
  <c r="C80" i="6" s="1"/>
  <c r="C99" i="6"/>
  <c r="C86" i="6"/>
  <c r="C87" i="6" s="1"/>
  <c r="G33" i="4"/>
  <c r="F33" i="4"/>
  <c r="I6" i="4"/>
  <c r="F10" i="4"/>
  <c r="G9" i="4"/>
  <c r="H9" i="4" s="1"/>
  <c r="I9" i="4" s="1"/>
  <c r="F36" i="4"/>
  <c r="G36" i="4"/>
  <c r="A39" i="4"/>
  <c r="B38" i="4"/>
  <c r="G35" i="4"/>
  <c r="F35" i="4"/>
  <c r="G34" i="4"/>
  <c r="F34" i="4"/>
  <c r="C37" i="4"/>
  <c r="D37" i="4" s="1"/>
  <c r="E37" i="4" s="1"/>
  <c r="H7" i="4"/>
  <c r="I7" i="4" s="1"/>
  <c r="C97" i="3"/>
  <c r="C100" i="3" s="1"/>
  <c r="C102" i="3" s="1"/>
  <c r="C95" i="3"/>
  <c r="C96" i="3" s="1"/>
  <c r="C87" i="3"/>
  <c r="C88" i="3" s="1"/>
  <c r="C89" i="3" s="1"/>
  <c r="H6" i="2"/>
  <c r="I6" i="2" s="1"/>
  <c r="G34" i="2"/>
  <c r="H34" i="2" s="1"/>
  <c r="H23" i="2"/>
  <c r="I23" i="2" s="1"/>
  <c r="H8" i="2"/>
  <c r="I8" i="2" s="1"/>
  <c r="H9" i="2"/>
  <c r="I9" i="2" s="1"/>
  <c r="C86" i="1"/>
  <c r="C39" i="1"/>
  <c r="C83" i="1"/>
  <c r="C82" i="1"/>
  <c r="H10" i="2"/>
  <c r="I10" i="2" s="1"/>
  <c r="H11" i="2"/>
  <c r="I11" i="2" s="1"/>
  <c r="H18" i="2"/>
  <c r="I18" i="2" s="1"/>
  <c r="H15" i="2"/>
  <c r="I15" i="2" s="1"/>
  <c r="H25" i="2"/>
  <c r="I25" i="2" s="1"/>
  <c r="H28" i="2"/>
  <c r="I28" i="2" s="1"/>
  <c r="H16" i="2"/>
  <c r="I16" i="2" s="1"/>
  <c r="H12" i="2"/>
  <c r="I12" i="2" s="1"/>
  <c r="H7" i="2"/>
  <c r="I7" i="2" s="1"/>
  <c r="H19" i="2"/>
  <c r="I19" i="2" s="1"/>
  <c r="H24" i="2"/>
  <c r="I24" i="2" s="1"/>
  <c r="H27" i="2"/>
  <c r="I27" i="2" s="1"/>
  <c r="H17" i="2"/>
  <c r="I17" i="2" s="1"/>
  <c r="H21" i="2"/>
  <c r="I21" i="2" s="1"/>
  <c r="H20" i="2"/>
  <c r="I20" i="2" s="1"/>
  <c r="H13" i="2"/>
  <c r="I13" i="2" s="1"/>
  <c r="H26" i="2"/>
  <c r="I26" i="2" s="1"/>
  <c r="H29" i="2"/>
  <c r="I29" i="2" s="1"/>
  <c r="F33" i="2"/>
  <c r="G33" i="2"/>
  <c r="H22" i="2"/>
  <c r="I22" i="2" s="1"/>
  <c r="F35" i="2"/>
  <c r="G35" i="2"/>
  <c r="C36" i="2"/>
  <c r="D36" i="2" s="1"/>
  <c r="E36" i="2" s="1"/>
  <c r="A38" i="2"/>
  <c r="B37" i="2"/>
  <c r="K119" i="13" l="1"/>
  <c r="L119" i="13" s="1"/>
  <c r="M119" i="13" s="1"/>
  <c r="H119" i="13"/>
  <c r="H121" i="13"/>
  <c r="K121" i="13"/>
  <c r="L121" i="13" s="1"/>
  <c r="M121" i="13" s="1"/>
  <c r="G122" i="13"/>
  <c r="F122" i="13"/>
  <c r="B124" i="13"/>
  <c r="A125" i="13"/>
  <c r="C123" i="13"/>
  <c r="D123" i="13" s="1"/>
  <c r="E123" i="13" s="1"/>
  <c r="J123" i="13" a="1"/>
  <c r="J123" i="13" s="1"/>
  <c r="I123" i="13" a="1"/>
  <c r="I123" i="13" s="1"/>
  <c r="B37" i="13"/>
  <c r="A38" i="13"/>
  <c r="C36" i="13"/>
  <c r="D36" i="13" s="1"/>
  <c r="E36" i="13" s="1"/>
  <c r="H34" i="13"/>
  <c r="F35" i="13"/>
  <c r="G35" i="13"/>
  <c r="G11" i="13"/>
  <c r="H11" i="13" s="1"/>
  <c r="I11" i="13" s="1"/>
  <c r="F12" i="13"/>
  <c r="G118" i="11"/>
  <c r="F118" i="11"/>
  <c r="J119" i="11" a="1"/>
  <c r="J119" i="11" s="1"/>
  <c r="C119" i="11"/>
  <c r="D119" i="11" s="1"/>
  <c r="E119" i="11" s="1"/>
  <c r="I119" i="11" a="1"/>
  <c r="I119" i="11" s="1"/>
  <c r="A121" i="11"/>
  <c r="B120" i="11"/>
  <c r="I10" i="11"/>
  <c r="G11" i="11"/>
  <c r="H11" i="11" s="1"/>
  <c r="F12" i="11"/>
  <c r="A38" i="11"/>
  <c r="B37" i="11"/>
  <c r="F35" i="11"/>
  <c r="G35" i="11"/>
  <c r="H34" i="11"/>
  <c r="C36" i="11"/>
  <c r="D36" i="11" s="1"/>
  <c r="E36" i="11" s="1"/>
  <c r="C95" i="10"/>
  <c r="C49" i="9"/>
  <c r="C52" i="9" s="1"/>
  <c r="C61" i="9"/>
  <c r="C109" i="9"/>
  <c r="C49" i="8"/>
  <c r="C52" i="8" s="1"/>
  <c r="C61" i="8"/>
  <c r="C109" i="8"/>
  <c r="C95" i="8"/>
  <c r="C96" i="8" s="1"/>
  <c r="C98" i="8" s="1"/>
  <c r="F98" i="8" s="1"/>
  <c r="C106" i="8" s="1"/>
  <c r="C95" i="6"/>
  <c r="C96" i="6" s="1"/>
  <c r="C98" i="6" s="1"/>
  <c r="F98" i="6" s="1"/>
  <c r="C106" i="6" s="1"/>
  <c r="C107" i="5"/>
  <c r="C100" i="5"/>
  <c r="C112" i="5" s="1"/>
  <c r="C92" i="5"/>
  <c r="C93" i="5" s="1"/>
  <c r="C111" i="5" s="1"/>
  <c r="C100" i="6"/>
  <c r="C105" i="6" s="1"/>
  <c r="C76" i="6"/>
  <c r="C109" i="6" s="1"/>
  <c r="C110" i="6"/>
  <c r="C92" i="6"/>
  <c r="H35" i="4"/>
  <c r="C38" i="4"/>
  <c r="D38" i="4" s="1"/>
  <c r="E38" i="4" s="1"/>
  <c r="B39" i="4"/>
  <c r="A40" i="4"/>
  <c r="H36" i="4"/>
  <c r="G37" i="4"/>
  <c r="F37" i="4"/>
  <c r="G10" i="4"/>
  <c r="H10" i="4" s="1"/>
  <c r="I10" i="4" s="1"/>
  <c r="F11" i="4"/>
  <c r="H33" i="4"/>
  <c r="H34" i="4"/>
  <c r="C117" i="3"/>
  <c r="C103" i="3"/>
  <c r="C104" i="3" s="1"/>
  <c r="I35" i="2" a="1"/>
  <c r="I35" i="2" s="1"/>
  <c r="K35" i="2" s="1"/>
  <c r="L35" i="2" s="1"/>
  <c r="M35" i="2" s="1"/>
  <c r="C91" i="1"/>
  <c r="C92" i="1" s="1"/>
  <c r="C93" i="1" s="1"/>
  <c r="C97" i="1" s="1"/>
  <c r="C100" i="1" s="1"/>
  <c r="C102" i="1" s="1"/>
  <c r="C87" i="1"/>
  <c r="C88" i="1" s="1"/>
  <c r="C89" i="1" s="1"/>
  <c r="J34" i="2" a="1"/>
  <c r="J34" i="2" s="1"/>
  <c r="I36" i="2" a="1"/>
  <c r="I36" i="2" s="1"/>
  <c r="H33" i="2"/>
  <c r="J33" i="2" a="1"/>
  <c r="J33" i="2" s="1"/>
  <c r="J36" i="2" a="1"/>
  <c r="J36" i="2" s="1"/>
  <c r="I33" i="2" a="1"/>
  <c r="I33" i="2" s="1"/>
  <c r="K33" i="2" s="1"/>
  <c r="L33" i="2" s="1"/>
  <c r="M33" i="2" s="1"/>
  <c r="J35" i="2" a="1"/>
  <c r="J35" i="2" s="1"/>
  <c r="I34" i="2" a="1"/>
  <c r="I34" i="2" s="1"/>
  <c r="K34" i="2" s="1"/>
  <c r="L34" i="2" s="1"/>
  <c r="M34" i="2" s="1"/>
  <c r="I37" i="2" a="1"/>
  <c r="I37" i="2" s="1"/>
  <c r="J37" i="2" a="1"/>
  <c r="J37" i="2" s="1"/>
  <c r="C37" i="2"/>
  <c r="D37" i="2" s="1"/>
  <c r="E37" i="2" s="1"/>
  <c r="A39" i="2"/>
  <c r="B38" i="2"/>
  <c r="G36" i="2"/>
  <c r="F36" i="2"/>
  <c r="H35" i="2"/>
  <c r="F123" i="13" l="1"/>
  <c r="G123" i="13"/>
  <c r="A126" i="13"/>
  <c r="B125" i="13"/>
  <c r="C124" i="13"/>
  <c r="D124" i="13" s="1"/>
  <c r="E124" i="13" s="1"/>
  <c r="I124" i="13" a="1"/>
  <c r="I124" i="13" s="1"/>
  <c r="J124" i="13" a="1"/>
  <c r="J124" i="13" s="1"/>
  <c r="K122" i="13"/>
  <c r="L122" i="13" s="1"/>
  <c r="M122" i="13" s="1"/>
  <c r="H122" i="13"/>
  <c r="G36" i="13"/>
  <c r="F36" i="13"/>
  <c r="F13" i="13"/>
  <c r="G12" i="13"/>
  <c r="H12" i="13" s="1"/>
  <c r="B38" i="13"/>
  <c r="A39" i="13"/>
  <c r="C37" i="13"/>
  <c r="D37" i="13" s="1"/>
  <c r="E37" i="13" s="1"/>
  <c r="H35" i="13"/>
  <c r="G119" i="11"/>
  <c r="F119" i="11"/>
  <c r="I120" i="11" a="1"/>
  <c r="I120" i="11" s="1"/>
  <c r="C120" i="11"/>
  <c r="D120" i="11" s="1"/>
  <c r="E120" i="11" s="1"/>
  <c r="J120" i="11" a="1"/>
  <c r="J120" i="11" s="1"/>
  <c r="B121" i="11"/>
  <c r="A122" i="11"/>
  <c r="K118" i="11"/>
  <c r="L118" i="11" s="1"/>
  <c r="M118" i="11" s="1"/>
  <c r="H118" i="11"/>
  <c r="H35" i="11"/>
  <c r="C37" i="11"/>
  <c r="D37" i="11" s="1"/>
  <c r="E37" i="11" s="1"/>
  <c r="B38" i="11"/>
  <c r="A39" i="11"/>
  <c r="F13" i="11"/>
  <c r="G12" i="11"/>
  <c r="H12" i="11" s="1"/>
  <c r="F36" i="11"/>
  <c r="G36" i="11"/>
  <c r="I11" i="11"/>
  <c r="C96" i="10"/>
  <c r="C117" i="10" s="1"/>
  <c r="C97" i="10"/>
  <c r="C100" i="10" s="1"/>
  <c r="C102" i="10" s="1"/>
  <c r="C95" i="9"/>
  <c r="C96" i="9" s="1"/>
  <c r="C98" i="9" s="1"/>
  <c r="F98" i="9" s="1"/>
  <c r="C106" i="9" s="1"/>
  <c r="C111" i="9"/>
  <c r="C110" i="9"/>
  <c r="C107" i="9"/>
  <c r="C99" i="9"/>
  <c r="C100" i="9" s="1"/>
  <c r="C110" i="8"/>
  <c r="C93" i="8"/>
  <c r="C111" i="8" s="1"/>
  <c r="C99" i="8"/>
  <c r="C100" i="8" s="1"/>
  <c r="C107" i="8"/>
  <c r="C114" i="5"/>
  <c r="F104" i="3"/>
  <c r="C112" i="3"/>
  <c r="C105" i="3"/>
  <c r="C105" i="5"/>
  <c r="C112" i="6"/>
  <c r="C93" i="6"/>
  <c r="C111" i="6" s="1"/>
  <c r="C114" i="6" s="1"/>
  <c r="B40" i="4"/>
  <c r="A41" i="4"/>
  <c r="C39" i="4"/>
  <c r="D39" i="4" s="1"/>
  <c r="E39" i="4" s="1"/>
  <c r="H37" i="4"/>
  <c r="G38" i="4"/>
  <c r="F38" i="4"/>
  <c r="G11" i="4"/>
  <c r="H11" i="4" s="1"/>
  <c r="F12" i="4"/>
  <c r="C118" i="3"/>
  <c r="C95" i="1"/>
  <c r="C103" i="1" s="1"/>
  <c r="C104" i="1" s="1"/>
  <c r="A40" i="2"/>
  <c r="B39" i="2"/>
  <c r="G37" i="2"/>
  <c r="F37" i="2"/>
  <c r="H36" i="2"/>
  <c r="K36" i="2"/>
  <c r="L36" i="2" s="1"/>
  <c r="M36" i="2" s="1"/>
  <c r="J38" i="2" a="1"/>
  <c r="J38" i="2" s="1"/>
  <c r="C38" i="2"/>
  <c r="D38" i="2" s="1"/>
  <c r="E38" i="2" s="1"/>
  <c r="I38" i="2" a="1"/>
  <c r="I38" i="2" s="1"/>
  <c r="G124" i="13" l="1"/>
  <c r="F124" i="13"/>
  <c r="I125" i="13" a="1"/>
  <c r="I125" i="13" s="1"/>
  <c r="J125" i="13" a="1"/>
  <c r="J125" i="13" s="1"/>
  <c r="C125" i="13"/>
  <c r="D125" i="13" s="1"/>
  <c r="E125" i="13" s="1"/>
  <c r="A127" i="13"/>
  <c r="B126" i="13"/>
  <c r="K123" i="13"/>
  <c r="L123" i="13" s="1"/>
  <c r="M123" i="13" s="1"/>
  <c r="H123" i="13"/>
  <c r="F37" i="13"/>
  <c r="G37" i="13"/>
  <c r="I12" i="13"/>
  <c r="B39" i="13"/>
  <c r="A40" i="13"/>
  <c r="G13" i="13"/>
  <c r="H13" i="13" s="1"/>
  <c r="F14" i="13"/>
  <c r="H36" i="13"/>
  <c r="C38" i="13"/>
  <c r="D38" i="13" s="1"/>
  <c r="E38" i="13" s="1"/>
  <c r="C117" i="12"/>
  <c r="B122" i="11"/>
  <c r="A123" i="11"/>
  <c r="F120" i="11"/>
  <c r="G120" i="11"/>
  <c r="J121" i="11" a="1"/>
  <c r="J121" i="11" s="1"/>
  <c r="C121" i="11"/>
  <c r="D121" i="11" s="1"/>
  <c r="E121" i="11" s="1"/>
  <c r="I121" i="11" a="1"/>
  <c r="I121" i="11" s="1"/>
  <c r="H119" i="11"/>
  <c r="K119" i="11"/>
  <c r="L119" i="11" s="1"/>
  <c r="M119" i="11" s="1"/>
  <c r="H36" i="11"/>
  <c r="C38" i="11"/>
  <c r="D38" i="11" s="1"/>
  <c r="E38" i="11" s="1"/>
  <c r="F37" i="11"/>
  <c r="G37" i="11"/>
  <c r="I12" i="11"/>
  <c r="G13" i="11"/>
  <c r="H13" i="11" s="1"/>
  <c r="I13" i="11" s="1"/>
  <c r="F14" i="11"/>
  <c r="B39" i="11"/>
  <c r="A40" i="11"/>
  <c r="C104" i="10"/>
  <c r="C105" i="9"/>
  <c r="C112" i="9"/>
  <c r="C114" i="9" s="1"/>
  <c r="C112" i="8"/>
  <c r="C105" i="8"/>
  <c r="C114" i="8"/>
  <c r="I11" i="4"/>
  <c r="H38" i="4"/>
  <c r="G39" i="4"/>
  <c r="F39" i="4"/>
  <c r="B41" i="4"/>
  <c r="A42" i="4"/>
  <c r="F13" i="4"/>
  <c r="G12" i="4"/>
  <c r="H12" i="4" s="1"/>
  <c r="I12" i="4" s="1"/>
  <c r="C40" i="4"/>
  <c r="D40" i="4" s="1"/>
  <c r="E40" i="4" s="1"/>
  <c r="C96" i="1"/>
  <c r="C117" i="1" s="1"/>
  <c r="C105" i="1"/>
  <c r="C118" i="1" s="1"/>
  <c r="F104" i="1"/>
  <c r="C112" i="1"/>
  <c r="K37" i="2"/>
  <c r="L37" i="2" s="1"/>
  <c r="M37" i="2" s="1"/>
  <c r="H37" i="2"/>
  <c r="C39" i="2"/>
  <c r="D39" i="2" s="1"/>
  <c r="E39" i="2" s="1"/>
  <c r="I39" i="2" a="1"/>
  <c r="I39" i="2" s="1"/>
  <c r="J39" i="2" a="1"/>
  <c r="J39" i="2" s="1"/>
  <c r="G38" i="2"/>
  <c r="F38" i="2"/>
  <c r="A41" i="2"/>
  <c r="B40" i="2"/>
  <c r="C126" i="13" l="1"/>
  <c r="D126" i="13" s="1"/>
  <c r="E126" i="13" s="1"/>
  <c r="I126" i="13" a="1"/>
  <c r="I126" i="13" s="1"/>
  <c r="J126" i="13" a="1"/>
  <c r="J126" i="13" s="1"/>
  <c r="A128" i="13"/>
  <c r="B127" i="13"/>
  <c r="G125" i="13"/>
  <c r="F125" i="13"/>
  <c r="K124" i="13"/>
  <c r="L124" i="13" s="1"/>
  <c r="M124" i="13" s="1"/>
  <c r="H124" i="13"/>
  <c r="G14" i="13"/>
  <c r="H14" i="13" s="1"/>
  <c r="F15" i="13"/>
  <c r="I13" i="13"/>
  <c r="B40" i="13"/>
  <c r="A41" i="13"/>
  <c r="C39" i="13"/>
  <c r="D39" i="13" s="1"/>
  <c r="E39" i="13" s="1"/>
  <c r="F38" i="13"/>
  <c r="G38" i="13"/>
  <c r="H37" i="13"/>
  <c r="C118" i="12"/>
  <c r="C119" i="12" s="1"/>
  <c r="F104" i="12"/>
  <c r="C112" i="12"/>
  <c r="G121" i="11"/>
  <c r="F121" i="11"/>
  <c r="K120" i="11"/>
  <c r="L120" i="11" s="1"/>
  <c r="M120" i="11" s="1"/>
  <c r="H120" i="11"/>
  <c r="A124" i="11"/>
  <c r="B123" i="11"/>
  <c r="C122" i="11"/>
  <c r="D122" i="11" s="1"/>
  <c r="E122" i="11" s="1"/>
  <c r="I122" i="11" a="1"/>
  <c r="I122" i="11" s="1"/>
  <c r="J122" i="11" a="1"/>
  <c r="J122" i="11" s="1"/>
  <c r="F38" i="11"/>
  <c r="G38" i="11"/>
  <c r="H37" i="11"/>
  <c r="C39" i="11"/>
  <c r="D39" i="11" s="1"/>
  <c r="E39" i="11" s="1"/>
  <c r="B40" i="11"/>
  <c r="A41" i="11"/>
  <c r="G14" i="11"/>
  <c r="H14" i="11" s="1"/>
  <c r="F15" i="11"/>
  <c r="C105" i="10"/>
  <c r="C118" i="10" s="1"/>
  <c r="C119" i="10" s="1"/>
  <c r="F104" i="10"/>
  <c r="C112" i="10"/>
  <c r="F14" i="4"/>
  <c r="G13" i="4"/>
  <c r="H13" i="4" s="1"/>
  <c r="A43" i="4"/>
  <c r="B42" i="4"/>
  <c r="C41" i="4"/>
  <c r="D41" i="4" s="1"/>
  <c r="E41" i="4" s="1"/>
  <c r="F40" i="4"/>
  <c r="G40" i="4"/>
  <c r="H39" i="4"/>
  <c r="I40" i="2" a="1"/>
  <c r="I40" i="2" s="1"/>
  <c r="J40" i="2" a="1"/>
  <c r="J40" i="2" s="1"/>
  <c r="C40" i="2"/>
  <c r="D40" i="2" s="1"/>
  <c r="E40" i="2" s="1"/>
  <c r="A42" i="2"/>
  <c r="B41" i="2"/>
  <c r="K38" i="2"/>
  <c r="L38" i="2" s="1"/>
  <c r="M38" i="2" s="1"/>
  <c r="H38" i="2"/>
  <c r="F39" i="2"/>
  <c r="G39" i="2"/>
  <c r="H125" i="13" l="1"/>
  <c r="K125" i="13"/>
  <c r="L125" i="13" s="1"/>
  <c r="M125" i="13" s="1"/>
  <c r="C127" i="13"/>
  <c r="D127" i="13" s="1"/>
  <c r="E127" i="13" s="1"/>
  <c r="I127" i="13" a="1"/>
  <c r="I127" i="13" s="1"/>
  <c r="J127" i="13" a="1"/>
  <c r="J127" i="13" s="1"/>
  <c r="A129" i="13"/>
  <c r="B128" i="13"/>
  <c r="G126" i="13"/>
  <c r="F126" i="13"/>
  <c r="B41" i="13"/>
  <c r="A42" i="13"/>
  <c r="C40" i="13"/>
  <c r="D40" i="13" s="1"/>
  <c r="E40" i="13" s="1"/>
  <c r="F16" i="13"/>
  <c r="G15" i="13"/>
  <c r="H15" i="13" s="1"/>
  <c r="H38" i="13"/>
  <c r="F39" i="13"/>
  <c r="G39" i="13"/>
  <c r="I14" i="13"/>
  <c r="G122" i="11"/>
  <c r="F122" i="11"/>
  <c r="C123" i="11"/>
  <c r="D123" i="11" s="1"/>
  <c r="E123" i="11" s="1"/>
  <c r="J123" i="11" a="1"/>
  <c r="J123" i="11" s="1"/>
  <c r="I123" i="11" a="1"/>
  <c r="I123" i="11" s="1"/>
  <c r="B124" i="11"/>
  <c r="A125" i="11"/>
  <c r="H121" i="11"/>
  <c r="K121" i="11"/>
  <c r="L121" i="11" s="1"/>
  <c r="M121" i="11" s="1"/>
  <c r="I14" i="11"/>
  <c r="F16" i="11"/>
  <c r="G15" i="11"/>
  <c r="H15" i="11" s="1"/>
  <c r="I15" i="11" s="1"/>
  <c r="A42" i="11"/>
  <c r="B41" i="11"/>
  <c r="C40" i="11"/>
  <c r="D40" i="11" s="1"/>
  <c r="E40" i="11" s="1"/>
  <c r="F39" i="11"/>
  <c r="G39" i="11"/>
  <c r="H38" i="11"/>
  <c r="H40" i="4"/>
  <c r="C42" i="4"/>
  <c r="D42" i="4" s="1"/>
  <c r="E42" i="4" s="1"/>
  <c r="B43" i="4"/>
  <c r="A44" i="4"/>
  <c r="F41" i="4"/>
  <c r="G41" i="4"/>
  <c r="I13" i="4"/>
  <c r="F15" i="4"/>
  <c r="G14" i="4"/>
  <c r="H14" i="4" s="1"/>
  <c r="J41" i="2" a="1"/>
  <c r="J41" i="2" s="1"/>
  <c r="I41" i="2" a="1"/>
  <c r="I41" i="2" s="1"/>
  <c r="C41" i="2"/>
  <c r="D41" i="2" s="1"/>
  <c r="E41" i="2" s="1"/>
  <c r="K39" i="2"/>
  <c r="L39" i="2" s="1"/>
  <c r="M39" i="2" s="1"/>
  <c r="H39" i="2"/>
  <c r="A43" i="2"/>
  <c r="B42" i="2"/>
  <c r="F40" i="2"/>
  <c r="G40" i="2"/>
  <c r="K126" i="13" l="1"/>
  <c r="L126" i="13" s="1"/>
  <c r="M126" i="13" s="1"/>
  <c r="H126" i="13"/>
  <c r="J128" i="13" a="1"/>
  <c r="J128" i="13" s="1"/>
  <c r="C128" i="13"/>
  <c r="D128" i="13" s="1"/>
  <c r="E128" i="13" s="1"/>
  <c r="I128" i="13" a="1"/>
  <c r="I128" i="13" s="1"/>
  <c r="A130" i="13"/>
  <c r="B129" i="13"/>
  <c r="F127" i="13"/>
  <c r="G127" i="13"/>
  <c r="I15" i="13"/>
  <c r="G16" i="13"/>
  <c r="H16" i="13" s="1"/>
  <c r="I16" i="13" s="1"/>
  <c r="F17" i="13"/>
  <c r="H39" i="13"/>
  <c r="F40" i="13"/>
  <c r="G40" i="13"/>
  <c r="B42" i="13"/>
  <c r="A43" i="13"/>
  <c r="C41" i="13"/>
  <c r="D41" i="13" s="1"/>
  <c r="E41" i="13" s="1"/>
  <c r="A126" i="11"/>
  <c r="B125" i="11"/>
  <c r="J124" i="11" a="1"/>
  <c r="J124" i="11" s="1"/>
  <c r="C124" i="11"/>
  <c r="D124" i="11" s="1"/>
  <c r="E124" i="11" s="1"/>
  <c r="I124" i="11" a="1"/>
  <c r="I124" i="11" s="1"/>
  <c r="F123" i="11"/>
  <c r="G123" i="11"/>
  <c r="K122" i="11"/>
  <c r="L122" i="11" s="1"/>
  <c r="M122" i="11" s="1"/>
  <c r="H122" i="11"/>
  <c r="G16" i="11"/>
  <c r="H16" i="11" s="1"/>
  <c r="F17" i="11"/>
  <c r="H39" i="11"/>
  <c r="C41" i="11"/>
  <c r="D41" i="11" s="1"/>
  <c r="E41" i="11" s="1"/>
  <c r="F40" i="11"/>
  <c r="G40" i="11"/>
  <c r="B42" i="11"/>
  <c r="A43" i="11"/>
  <c r="F16" i="4"/>
  <c r="G15" i="4"/>
  <c r="H15" i="4" s="1"/>
  <c r="I15" i="4" s="1"/>
  <c r="H41" i="4"/>
  <c r="B44" i="4"/>
  <c r="A45" i="4"/>
  <c r="C43" i="4"/>
  <c r="D43" i="4" s="1"/>
  <c r="E43" i="4" s="1"/>
  <c r="I14" i="4"/>
  <c r="F42" i="4"/>
  <c r="G42" i="4"/>
  <c r="A44" i="2"/>
  <c r="B43" i="2"/>
  <c r="H40" i="2"/>
  <c r="K40" i="2"/>
  <c r="L40" i="2" s="1"/>
  <c r="M40" i="2" s="1"/>
  <c r="I42" i="2" a="1"/>
  <c r="I42" i="2" s="1"/>
  <c r="C42" i="2"/>
  <c r="D42" i="2" s="1"/>
  <c r="E42" i="2" s="1"/>
  <c r="J42" i="2" a="1"/>
  <c r="J42" i="2" s="1"/>
  <c r="F41" i="2"/>
  <c r="G41" i="2"/>
  <c r="H127" i="13" l="1"/>
  <c r="K127" i="13"/>
  <c r="L127" i="13" s="1"/>
  <c r="M127" i="13" s="1"/>
  <c r="I129" i="13" a="1"/>
  <c r="I129" i="13" s="1"/>
  <c r="C129" i="13"/>
  <c r="D129" i="13" s="1"/>
  <c r="E129" i="13" s="1"/>
  <c r="J129" i="13" a="1"/>
  <c r="J129" i="13" s="1"/>
  <c r="A131" i="13"/>
  <c r="B130" i="13"/>
  <c r="G128" i="13"/>
  <c r="F128" i="13"/>
  <c r="F41" i="13"/>
  <c r="G41" i="13"/>
  <c r="G17" i="13"/>
  <c r="H17" i="13" s="1"/>
  <c r="F18" i="13"/>
  <c r="H40" i="13"/>
  <c r="B43" i="13"/>
  <c r="A44" i="13"/>
  <c r="C42" i="13"/>
  <c r="D42" i="13" s="1"/>
  <c r="E42" i="13" s="1"/>
  <c r="K123" i="11"/>
  <c r="L123" i="11" s="1"/>
  <c r="M123" i="11" s="1"/>
  <c r="H123" i="11"/>
  <c r="I125" i="11" a="1"/>
  <c r="I125" i="11" s="1"/>
  <c r="J125" i="11" a="1"/>
  <c r="J125" i="11" s="1"/>
  <c r="C125" i="11"/>
  <c r="D125" i="11" s="1"/>
  <c r="E125" i="11" s="1"/>
  <c r="F124" i="11"/>
  <c r="G124" i="11"/>
  <c r="B126" i="11"/>
  <c r="A127" i="11"/>
  <c r="F41" i="11"/>
  <c r="G41" i="11"/>
  <c r="B43" i="11"/>
  <c r="A44" i="11"/>
  <c r="C42" i="11"/>
  <c r="D42" i="11" s="1"/>
  <c r="E42" i="11" s="1"/>
  <c r="F18" i="11"/>
  <c r="G17" i="11"/>
  <c r="H17" i="11" s="1"/>
  <c r="H40" i="11"/>
  <c r="I16" i="11"/>
  <c r="H42" i="4"/>
  <c r="B45" i="4"/>
  <c r="A46" i="4"/>
  <c r="C44" i="4"/>
  <c r="D44" i="4" s="1"/>
  <c r="E44" i="4" s="1"/>
  <c r="G43" i="4"/>
  <c r="F43" i="4"/>
  <c r="F17" i="4"/>
  <c r="G16" i="4"/>
  <c r="H16" i="4" s="1"/>
  <c r="K41" i="2"/>
  <c r="L41" i="2" s="1"/>
  <c r="M41" i="2" s="1"/>
  <c r="H41" i="2"/>
  <c r="G42" i="2"/>
  <c r="F42" i="2"/>
  <c r="I43" i="2" a="1"/>
  <c r="I43" i="2" s="1"/>
  <c r="J43" i="2" a="1"/>
  <c r="J43" i="2" s="1"/>
  <c r="C43" i="2"/>
  <c r="D43" i="2" s="1"/>
  <c r="E43" i="2" s="1"/>
  <c r="B44" i="2"/>
  <c r="A45" i="2"/>
  <c r="K128" i="13" l="1"/>
  <c r="L128" i="13" s="1"/>
  <c r="M128" i="13" s="1"/>
  <c r="H128" i="13"/>
  <c r="J130" i="13" a="1"/>
  <c r="J130" i="13" s="1"/>
  <c r="C130" i="13"/>
  <c r="D130" i="13" s="1"/>
  <c r="E130" i="13" s="1"/>
  <c r="I130" i="13" a="1"/>
  <c r="I130" i="13" s="1"/>
  <c r="A132" i="13"/>
  <c r="B131" i="13"/>
  <c r="F129" i="13"/>
  <c r="G129" i="13"/>
  <c r="F42" i="13"/>
  <c r="G42" i="13"/>
  <c r="B44" i="13"/>
  <c r="A45" i="13"/>
  <c r="G18" i="13"/>
  <c r="H18" i="13" s="1"/>
  <c r="F19" i="13"/>
  <c r="I17" i="13"/>
  <c r="C43" i="13"/>
  <c r="D43" i="13" s="1"/>
  <c r="E43" i="13" s="1"/>
  <c r="H41" i="13"/>
  <c r="A128" i="11"/>
  <c r="B127" i="11"/>
  <c r="J126" i="11" a="1"/>
  <c r="J126" i="11" s="1"/>
  <c r="C126" i="11"/>
  <c r="D126" i="11" s="1"/>
  <c r="E126" i="11" s="1"/>
  <c r="I126" i="11" a="1"/>
  <c r="I126" i="11" s="1"/>
  <c r="K124" i="11"/>
  <c r="L124" i="11" s="1"/>
  <c r="M124" i="11" s="1"/>
  <c r="H124" i="11"/>
  <c r="F125" i="11"/>
  <c r="G125" i="11"/>
  <c r="I17" i="11"/>
  <c r="G18" i="11"/>
  <c r="H18" i="11" s="1"/>
  <c r="F19" i="11"/>
  <c r="F42" i="11"/>
  <c r="G42" i="11"/>
  <c r="B44" i="11"/>
  <c r="A45" i="11"/>
  <c r="C43" i="11"/>
  <c r="D43" i="11" s="1"/>
  <c r="E43" i="11" s="1"/>
  <c r="H41" i="11"/>
  <c r="F18" i="4"/>
  <c r="G17" i="4"/>
  <c r="H17" i="4" s="1"/>
  <c r="H43" i="4"/>
  <c r="A47" i="4"/>
  <c r="B46" i="4"/>
  <c r="F44" i="4"/>
  <c r="G44" i="4"/>
  <c r="C45" i="4"/>
  <c r="D45" i="4" s="1"/>
  <c r="E45" i="4" s="1"/>
  <c r="I16" i="4"/>
  <c r="A46" i="2"/>
  <c r="B45" i="2"/>
  <c r="C44" i="2"/>
  <c r="D44" i="2" s="1"/>
  <c r="E44" i="2" s="1"/>
  <c r="J44" i="2" a="1"/>
  <c r="J44" i="2" s="1"/>
  <c r="I44" i="2" a="1"/>
  <c r="I44" i="2" s="1"/>
  <c r="F43" i="2"/>
  <c r="G43" i="2"/>
  <c r="H42" i="2"/>
  <c r="K42" i="2"/>
  <c r="L42" i="2" s="1"/>
  <c r="M42" i="2" s="1"/>
  <c r="K129" i="13" l="1"/>
  <c r="L129" i="13" s="1"/>
  <c r="M129" i="13" s="1"/>
  <c r="H129" i="13"/>
  <c r="C131" i="13"/>
  <c r="D131" i="13" s="1"/>
  <c r="E131" i="13" s="1"/>
  <c r="I131" i="13" a="1"/>
  <c r="I131" i="13" s="1"/>
  <c r="J131" i="13" a="1"/>
  <c r="J131" i="13" s="1"/>
  <c r="A133" i="13"/>
  <c r="B132" i="13"/>
  <c r="G130" i="13"/>
  <c r="F130" i="13"/>
  <c r="G19" i="13"/>
  <c r="H19" i="13" s="1"/>
  <c r="F20" i="13"/>
  <c r="I18" i="13"/>
  <c r="A46" i="13"/>
  <c r="B45" i="13"/>
  <c r="F43" i="13"/>
  <c r="G43" i="13"/>
  <c r="C44" i="13"/>
  <c r="D44" i="13" s="1"/>
  <c r="E44" i="13" s="1"/>
  <c r="H42" i="13"/>
  <c r="K125" i="11"/>
  <c r="L125" i="11" s="1"/>
  <c r="M125" i="11" s="1"/>
  <c r="H125" i="11"/>
  <c r="G126" i="11"/>
  <c r="F126" i="11"/>
  <c r="I127" i="11" a="1"/>
  <c r="I127" i="11" s="1"/>
  <c r="C127" i="11"/>
  <c r="D127" i="11" s="1"/>
  <c r="E127" i="11" s="1"/>
  <c r="J127" i="11" a="1"/>
  <c r="J127" i="11" s="1"/>
  <c r="A129" i="11"/>
  <c r="B128" i="11"/>
  <c r="G19" i="11"/>
  <c r="H19" i="11" s="1"/>
  <c r="F20" i="11"/>
  <c r="F43" i="11"/>
  <c r="G43" i="11"/>
  <c r="I18" i="11"/>
  <c r="B45" i="11"/>
  <c r="A46" i="11"/>
  <c r="C44" i="11"/>
  <c r="D44" i="11" s="1"/>
  <c r="E44" i="11" s="1"/>
  <c r="H42" i="11"/>
  <c r="H44" i="4"/>
  <c r="C46" i="4"/>
  <c r="D46" i="4" s="1"/>
  <c r="E46" i="4" s="1"/>
  <c r="B47" i="4"/>
  <c r="A48" i="4"/>
  <c r="G45" i="4"/>
  <c r="F45" i="4"/>
  <c r="I17" i="4"/>
  <c r="F19" i="4"/>
  <c r="G18" i="4"/>
  <c r="H18" i="4" s="1"/>
  <c r="H43" i="2"/>
  <c r="K43" i="2"/>
  <c r="L43" i="2" s="1"/>
  <c r="M43" i="2" s="1"/>
  <c r="G44" i="2"/>
  <c r="F44" i="2"/>
  <c r="C45" i="2"/>
  <c r="D45" i="2" s="1"/>
  <c r="E45" i="2" s="1"/>
  <c r="J45" i="2" a="1"/>
  <c r="J45" i="2" s="1"/>
  <c r="I45" i="2" a="1"/>
  <c r="I45" i="2" s="1"/>
  <c r="K44" i="2"/>
  <c r="L44" i="2" s="1"/>
  <c r="M44" i="2" s="1"/>
  <c r="A47" i="2"/>
  <c r="B46" i="2"/>
  <c r="K130" i="13" l="1"/>
  <c r="L130" i="13" s="1"/>
  <c r="M130" i="13" s="1"/>
  <c r="H130" i="13"/>
  <c r="A134" i="13"/>
  <c r="B133" i="13"/>
  <c r="I132" i="13" a="1"/>
  <c r="I132" i="13" s="1"/>
  <c r="J132" i="13" a="1"/>
  <c r="J132" i="13" s="1"/>
  <c r="C132" i="13"/>
  <c r="D132" i="13" s="1"/>
  <c r="E132" i="13" s="1"/>
  <c r="F131" i="13"/>
  <c r="G131" i="13"/>
  <c r="F44" i="13"/>
  <c r="G44" i="13"/>
  <c r="H43" i="13"/>
  <c r="C45" i="13"/>
  <c r="D45" i="13" s="1"/>
  <c r="E45" i="13" s="1"/>
  <c r="F21" i="13"/>
  <c r="G20" i="13"/>
  <c r="H20" i="13" s="1"/>
  <c r="B46" i="13"/>
  <c r="A47" i="13"/>
  <c r="I19" i="13"/>
  <c r="B129" i="11"/>
  <c r="A130" i="11"/>
  <c r="F127" i="11"/>
  <c r="G127" i="11"/>
  <c r="H126" i="11"/>
  <c r="K126" i="11"/>
  <c r="L126" i="11" s="1"/>
  <c r="M126" i="11" s="1"/>
  <c r="J128" i="11" a="1"/>
  <c r="J128" i="11" s="1"/>
  <c r="I128" i="11" a="1"/>
  <c r="I128" i="11" s="1"/>
  <c r="C128" i="11"/>
  <c r="D128" i="11" s="1"/>
  <c r="E128" i="11" s="1"/>
  <c r="F44" i="11"/>
  <c r="G44" i="11"/>
  <c r="H43" i="11"/>
  <c r="F21" i="11"/>
  <c r="G20" i="11"/>
  <c r="H20" i="11" s="1"/>
  <c r="B46" i="11"/>
  <c r="A47" i="11"/>
  <c r="I19" i="11"/>
  <c r="C45" i="11"/>
  <c r="D45" i="11" s="1"/>
  <c r="E45" i="11" s="1"/>
  <c r="H45" i="4"/>
  <c r="G46" i="4"/>
  <c r="F46" i="4"/>
  <c r="A49" i="4"/>
  <c r="B48" i="4"/>
  <c r="C47" i="4"/>
  <c r="D47" i="4" s="1"/>
  <c r="E47" i="4" s="1"/>
  <c r="I18" i="4"/>
  <c r="F20" i="4"/>
  <c r="G19" i="4"/>
  <c r="H19" i="4" s="1"/>
  <c r="H44" i="2"/>
  <c r="C46" i="2"/>
  <c r="D46" i="2" s="1"/>
  <c r="E46" i="2" s="1"/>
  <c r="I46" i="2" a="1"/>
  <c r="I46" i="2" s="1"/>
  <c r="J46" i="2" a="1"/>
  <c r="J46" i="2" s="1"/>
  <c r="B47" i="2"/>
  <c r="A48" i="2"/>
  <c r="F45" i="2"/>
  <c r="G45" i="2"/>
  <c r="G132" i="13" l="1"/>
  <c r="F132" i="13"/>
  <c r="H131" i="13"/>
  <c r="K131" i="13"/>
  <c r="L131" i="13" s="1"/>
  <c r="M131" i="13" s="1"/>
  <c r="J133" i="13" a="1"/>
  <c r="J133" i="13" s="1"/>
  <c r="I133" i="13" a="1"/>
  <c r="I133" i="13" s="1"/>
  <c r="C133" i="13"/>
  <c r="D133" i="13" s="1"/>
  <c r="E133" i="13" s="1"/>
  <c r="B134" i="13"/>
  <c r="A135" i="13"/>
  <c r="B47" i="13"/>
  <c r="A48" i="13"/>
  <c r="I20" i="13"/>
  <c r="F22" i="13"/>
  <c r="G21" i="13"/>
  <c r="H21" i="13" s="1"/>
  <c r="C46" i="13"/>
  <c r="D46" i="13" s="1"/>
  <c r="E46" i="13" s="1"/>
  <c r="F45" i="13"/>
  <c r="G45" i="13"/>
  <c r="H44" i="13"/>
  <c r="G128" i="11"/>
  <c r="F128" i="11"/>
  <c r="A131" i="11"/>
  <c r="B130" i="11"/>
  <c r="H127" i="11"/>
  <c r="K127" i="11"/>
  <c r="L127" i="11" s="1"/>
  <c r="M127" i="11" s="1"/>
  <c r="I129" i="11" a="1"/>
  <c r="I129" i="11" s="1"/>
  <c r="C129" i="11"/>
  <c r="D129" i="11" s="1"/>
  <c r="E129" i="11" s="1"/>
  <c r="J129" i="11" a="1"/>
  <c r="J129" i="11" s="1"/>
  <c r="I20" i="11"/>
  <c r="B47" i="11"/>
  <c r="A48" i="11"/>
  <c r="C46" i="11"/>
  <c r="D46" i="11" s="1"/>
  <c r="E46" i="11" s="1"/>
  <c r="F22" i="11"/>
  <c r="G21" i="11"/>
  <c r="H21" i="11" s="1"/>
  <c r="F45" i="11"/>
  <c r="G45" i="11"/>
  <c r="H44" i="11"/>
  <c r="F47" i="4"/>
  <c r="G47" i="4"/>
  <c r="I19" i="4"/>
  <c r="C48" i="4"/>
  <c r="D48" i="4" s="1"/>
  <c r="E48" i="4" s="1"/>
  <c r="F21" i="4"/>
  <c r="G20" i="4"/>
  <c r="H20" i="4" s="1"/>
  <c r="A50" i="4"/>
  <c r="B49" i="4"/>
  <c r="H46" i="4"/>
  <c r="K45" i="2"/>
  <c r="L45" i="2" s="1"/>
  <c r="M45" i="2" s="1"/>
  <c r="H45" i="2"/>
  <c r="B48" i="2"/>
  <c r="A49" i="2"/>
  <c r="C47" i="2"/>
  <c r="D47" i="2" s="1"/>
  <c r="E47" i="2" s="1"/>
  <c r="I47" i="2" a="1"/>
  <c r="I47" i="2" s="1"/>
  <c r="J47" i="2" a="1"/>
  <c r="J47" i="2" s="1"/>
  <c r="F46" i="2"/>
  <c r="G46" i="2"/>
  <c r="G133" i="13" l="1"/>
  <c r="F133" i="13"/>
  <c r="A136" i="13"/>
  <c r="B135" i="13"/>
  <c r="J134" i="13" a="1"/>
  <c r="J134" i="13" s="1"/>
  <c r="C134" i="13"/>
  <c r="D134" i="13" s="1"/>
  <c r="E134" i="13" s="1"/>
  <c r="I134" i="13" a="1"/>
  <c r="I134" i="13" s="1"/>
  <c r="K132" i="13"/>
  <c r="L132" i="13" s="1"/>
  <c r="M132" i="13" s="1"/>
  <c r="H132" i="13"/>
  <c r="G22" i="13"/>
  <c r="H22" i="13" s="1"/>
  <c r="F23" i="13"/>
  <c r="B48" i="13"/>
  <c r="A49" i="13"/>
  <c r="F46" i="13"/>
  <c r="G46" i="13"/>
  <c r="C47" i="13"/>
  <c r="D47" i="13" s="1"/>
  <c r="E47" i="13" s="1"/>
  <c r="H45" i="13"/>
  <c r="I21" i="13"/>
  <c r="F129" i="11"/>
  <c r="G129" i="11"/>
  <c r="C130" i="11"/>
  <c r="D130" i="11" s="1"/>
  <c r="E130" i="11" s="1"/>
  <c r="J130" i="11" a="1"/>
  <c r="J130" i="11" s="1"/>
  <c r="I130" i="11" a="1"/>
  <c r="I130" i="11" s="1"/>
  <c r="K128" i="11"/>
  <c r="L128" i="11" s="1"/>
  <c r="M128" i="11" s="1"/>
  <c r="H128" i="11"/>
  <c r="A132" i="11"/>
  <c r="B131" i="11"/>
  <c r="H45" i="11"/>
  <c r="I21" i="11"/>
  <c r="G22" i="11"/>
  <c r="H22" i="11" s="1"/>
  <c r="F23" i="11"/>
  <c r="B48" i="11"/>
  <c r="A49" i="11"/>
  <c r="C47" i="11"/>
  <c r="D47" i="11" s="1"/>
  <c r="E47" i="11" s="1"/>
  <c r="F46" i="11"/>
  <c r="G46" i="11"/>
  <c r="F48" i="4"/>
  <c r="G48" i="4"/>
  <c r="A51" i="4"/>
  <c r="B50" i="4"/>
  <c r="I20" i="4"/>
  <c r="G21" i="4"/>
  <c r="H21" i="4" s="1"/>
  <c r="F22" i="4"/>
  <c r="C49" i="4"/>
  <c r="D49" i="4" s="1"/>
  <c r="E49" i="4" s="1"/>
  <c r="H47" i="4"/>
  <c r="F47" i="2"/>
  <c r="G47" i="2"/>
  <c r="A50" i="2"/>
  <c r="B49" i="2"/>
  <c r="C48" i="2"/>
  <c r="D48" i="2" s="1"/>
  <c r="E48" i="2" s="1"/>
  <c r="J48" i="2" a="1"/>
  <c r="J48" i="2" s="1"/>
  <c r="I48" i="2" a="1"/>
  <c r="I48" i="2" s="1"/>
  <c r="H46" i="2"/>
  <c r="K46" i="2"/>
  <c r="L46" i="2" s="1"/>
  <c r="M46" i="2" s="1"/>
  <c r="G134" i="13" l="1"/>
  <c r="F134" i="13"/>
  <c r="J135" i="13" a="1"/>
  <c r="J135" i="13" s="1"/>
  <c r="C135" i="13"/>
  <c r="D135" i="13" s="1"/>
  <c r="E135" i="13" s="1"/>
  <c r="I135" i="13" a="1"/>
  <c r="I135" i="13" s="1"/>
  <c r="A137" i="13"/>
  <c r="B136" i="13"/>
  <c r="K133" i="13"/>
  <c r="L133" i="13" s="1"/>
  <c r="M133" i="13" s="1"/>
  <c r="H133" i="13"/>
  <c r="H46" i="13"/>
  <c r="A50" i="13"/>
  <c r="B49" i="13"/>
  <c r="C48" i="13"/>
  <c r="D48" i="13" s="1"/>
  <c r="E48" i="13" s="1"/>
  <c r="F24" i="13"/>
  <c r="G23" i="13"/>
  <c r="H23" i="13" s="1"/>
  <c r="F47" i="13"/>
  <c r="G47" i="13"/>
  <c r="I22" i="13"/>
  <c r="J131" i="11" a="1"/>
  <c r="J131" i="11" s="1"/>
  <c r="C131" i="11"/>
  <c r="D131" i="11" s="1"/>
  <c r="E131" i="11" s="1"/>
  <c r="I131" i="11" a="1"/>
  <c r="I131" i="11" s="1"/>
  <c r="A133" i="11"/>
  <c r="B132" i="11"/>
  <c r="G130" i="11"/>
  <c r="F130" i="11"/>
  <c r="K129" i="11"/>
  <c r="L129" i="11" s="1"/>
  <c r="M129" i="11" s="1"/>
  <c r="H129" i="11"/>
  <c r="C48" i="11"/>
  <c r="D48" i="11" s="1"/>
  <c r="E48" i="11" s="1"/>
  <c r="F24" i="11"/>
  <c r="G23" i="11"/>
  <c r="H23" i="11" s="1"/>
  <c r="H46" i="11"/>
  <c r="B49" i="11"/>
  <c r="A50" i="11"/>
  <c r="I22" i="11"/>
  <c r="F47" i="11"/>
  <c r="G47" i="11"/>
  <c r="F23" i="4"/>
  <c r="G22" i="4"/>
  <c r="H22" i="4" s="1"/>
  <c r="I22" i="4" s="1"/>
  <c r="I21" i="4"/>
  <c r="B51" i="4"/>
  <c r="A52" i="4"/>
  <c r="C50" i="4"/>
  <c r="D50" i="4" s="1"/>
  <c r="E50" i="4" s="1"/>
  <c r="G49" i="4"/>
  <c r="F49" i="4"/>
  <c r="H48" i="4"/>
  <c r="F48" i="2"/>
  <c r="G48" i="2"/>
  <c r="C49" i="2"/>
  <c r="D49" i="2" s="1"/>
  <c r="E49" i="2" s="1"/>
  <c r="I49" i="2" a="1"/>
  <c r="I49" i="2" s="1"/>
  <c r="J49" i="2" a="1"/>
  <c r="J49" i="2" s="1"/>
  <c r="B50" i="2"/>
  <c r="A51" i="2"/>
  <c r="H47" i="2"/>
  <c r="K47" i="2"/>
  <c r="L47" i="2" s="1"/>
  <c r="M47" i="2" s="1"/>
  <c r="J136" i="13" l="1" a="1"/>
  <c r="J136" i="13" s="1"/>
  <c r="C136" i="13"/>
  <c r="D136" i="13" s="1"/>
  <c r="E136" i="13" s="1"/>
  <c r="I136" i="13" a="1"/>
  <c r="I136" i="13" s="1"/>
  <c r="A138" i="13"/>
  <c r="B137" i="13"/>
  <c r="F135" i="13"/>
  <c r="G135" i="13"/>
  <c r="K134" i="13"/>
  <c r="L134" i="13" s="1"/>
  <c r="M134" i="13" s="1"/>
  <c r="H134" i="13"/>
  <c r="H47" i="13"/>
  <c r="I23" i="13"/>
  <c r="G24" i="13"/>
  <c r="H24" i="13" s="1"/>
  <c r="F25" i="13"/>
  <c r="C49" i="13"/>
  <c r="D49" i="13" s="1"/>
  <c r="E49" i="13" s="1"/>
  <c r="B50" i="13"/>
  <c r="A51" i="13"/>
  <c r="F48" i="13"/>
  <c r="G48" i="13"/>
  <c r="K130" i="11"/>
  <c r="L130" i="11" s="1"/>
  <c r="M130" i="11" s="1"/>
  <c r="H130" i="11"/>
  <c r="I132" i="11" a="1"/>
  <c r="I132" i="11" s="1"/>
  <c r="C132" i="11"/>
  <c r="D132" i="11" s="1"/>
  <c r="E132" i="11" s="1"/>
  <c r="J132" i="11" a="1"/>
  <c r="J132" i="11" s="1"/>
  <c r="B133" i="11"/>
  <c r="A134" i="11"/>
  <c r="F131" i="11"/>
  <c r="G131" i="11"/>
  <c r="B50" i="11"/>
  <c r="A51" i="11"/>
  <c r="I23" i="11"/>
  <c r="G24" i="11"/>
  <c r="H24" i="11" s="1"/>
  <c r="F25" i="11"/>
  <c r="F48" i="11"/>
  <c r="G48" i="11"/>
  <c r="C49" i="11"/>
  <c r="D49" i="11" s="1"/>
  <c r="E49" i="11" s="1"/>
  <c r="H47" i="11"/>
  <c r="H49" i="4"/>
  <c r="G50" i="4"/>
  <c r="F50" i="4"/>
  <c r="B52" i="4"/>
  <c r="A53" i="4"/>
  <c r="C51" i="4"/>
  <c r="D51" i="4" s="1"/>
  <c r="E51" i="4" s="1"/>
  <c r="G23" i="4"/>
  <c r="H23" i="4" s="1"/>
  <c r="F24" i="4"/>
  <c r="A52" i="2"/>
  <c r="B51" i="2"/>
  <c r="C50" i="2"/>
  <c r="D50" i="2" s="1"/>
  <c r="E50" i="2" s="1"/>
  <c r="J50" i="2" a="1"/>
  <c r="J50" i="2" s="1"/>
  <c r="I50" i="2" a="1"/>
  <c r="I50" i="2" s="1"/>
  <c r="G49" i="2"/>
  <c r="F49" i="2"/>
  <c r="K48" i="2"/>
  <c r="L48" i="2" s="1"/>
  <c r="M48" i="2" s="1"/>
  <c r="H48" i="2"/>
  <c r="H135" i="13" l="1"/>
  <c r="K135" i="13"/>
  <c r="L135" i="13" s="1"/>
  <c r="M135" i="13" s="1"/>
  <c r="I137" i="13" a="1"/>
  <c r="I137" i="13" s="1"/>
  <c r="J137" i="13" a="1"/>
  <c r="J137" i="13" s="1"/>
  <c r="C137" i="13"/>
  <c r="D137" i="13" s="1"/>
  <c r="E137" i="13" s="1"/>
  <c r="A139" i="13"/>
  <c r="B138" i="13"/>
  <c r="G136" i="13"/>
  <c r="F136" i="13"/>
  <c r="I24" i="13"/>
  <c r="F26" i="13"/>
  <c r="G25" i="13"/>
  <c r="H25" i="13" s="1"/>
  <c r="H48" i="13"/>
  <c r="C50" i="13"/>
  <c r="D50" i="13" s="1"/>
  <c r="E50" i="13" s="1"/>
  <c r="F49" i="13"/>
  <c r="G49" i="13"/>
  <c r="B51" i="13"/>
  <c r="A52" i="13"/>
  <c r="K131" i="11"/>
  <c r="L131" i="11" s="1"/>
  <c r="M131" i="11" s="1"/>
  <c r="H131" i="11"/>
  <c r="A135" i="11"/>
  <c r="B134" i="11"/>
  <c r="J133" i="11" a="1"/>
  <c r="J133" i="11" s="1"/>
  <c r="C133" i="11"/>
  <c r="D133" i="11" s="1"/>
  <c r="E133" i="11" s="1"/>
  <c r="I133" i="11" a="1"/>
  <c r="I133" i="11" s="1"/>
  <c r="F132" i="11"/>
  <c r="G132" i="11"/>
  <c r="I24" i="11"/>
  <c r="F49" i="11"/>
  <c r="G49" i="11"/>
  <c r="B51" i="11"/>
  <c r="A52" i="11"/>
  <c r="H48" i="11"/>
  <c r="C50" i="11"/>
  <c r="D50" i="11" s="1"/>
  <c r="E50" i="11" s="1"/>
  <c r="F26" i="11"/>
  <c r="G25" i="11"/>
  <c r="H25" i="11" s="1"/>
  <c r="I25" i="11" s="1"/>
  <c r="F25" i="4"/>
  <c r="G24" i="4"/>
  <c r="H24" i="4" s="1"/>
  <c r="I23" i="4"/>
  <c r="G51" i="4"/>
  <c r="F51" i="4"/>
  <c r="B53" i="4"/>
  <c r="A54" i="4"/>
  <c r="C52" i="4"/>
  <c r="D52" i="4" s="1"/>
  <c r="E52" i="4" s="1"/>
  <c r="H50" i="4"/>
  <c r="K49" i="2"/>
  <c r="L49" i="2" s="1"/>
  <c r="M49" i="2" s="1"/>
  <c r="H49" i="2"/>
  <c r="F50" i="2"/>
  <c r="G50" i="2"/>
  <c r="C51" i="2"/>
  <c r="D51" i="2" s="1"/>
  <c r="E51" i="2" s="1"/>
  <c r="I51" i="2" a="1"/>
  <c r="I51" i="2" s="1"/>
  <c r="J51" i="2" a="1"/>
  <c r="J51" i="2" s="1"/>
  <c r="A53" i="2"/>
  <c r="B52" i="2"/>
  <c r="K136" i="13" l="1"/>
  <c r="L136" i="13" s="1"/>
  <c r="M136" i="13" s="1"/>
  <c r="H136" i="13"/>
  <c r="I138" i="13" a="1"/>
  <c r="I138" i="13" s="1"/>
  <c r="J138" i="13" a="1"/>
  <c r="J138" i="13" s="1"/>
  <c r="C138" i="13"/>
  <c r="D138" i="13" s="1"/>
  <c r="E138" i="13" s="1"/>
  <c r="A140" i="13"/>
  <c r="B139" i="13"/>
  <c r="F137" i="13"/>
  <c r="G137" i="13"/>
  <c r="B52" i="13"/>
  <c r="A53" i="13"/>
  <c r="C51" i="13"/>
  <c r="D51" i="13" s="1"/>
  <c r="E51" i="13" s="1"/>
  <c r="I25" i="13"/>
  <c r="G26" i="13"/>
  <c r="H26" i="13" s="1"/>
  <c r="F27" i="13"/>
  <c r="H49" i="13"/>
  <c r="F50" i="13"/>
  <c r="G50" i="13"/>
  <c r="K132" i="11"/>
  <c r="L132" i="11" s="1"/>
  <c r="M132" i="11" s="1"/>
  <c r="H132" i="11"/>
  <c r="G133" i="11"/>
  <c r="F133" i="11"/>
  <c r="I134" i="11" a="1"/>
  <c r="I134" i="11" s="1"/>
  <c r="C134" i="11"/>
  <c r="D134" i="11" s="1"/>
  <c r="E134" i="11" s="1"/>
  <c r="J134" i="11" a="1"/>
  <c r="J134" i="11" s="1"/>
  <c r="A136" i="11"/>
  <c r="B135" i="11"/>
  <c r="B52" i="11"/>
  <c r="A53" i="11"/>
  <c r="C51" i="11"/>
  <c r="D51" i="11" s="1"/>
  <c r="E51" i="11" s="1"/>
  <c r="H49" i="11"/>
  <c r="G26" i="11"/>
  <c r="H26" i="11" s="1"/>
  <c r="I26" i="11" s="1"/>
  <c r="F27" i="11"/>
  <c r="F50" i="11"/>
  <c r="G50" i="11"/>
  <c r="F52" i="4"/>
  <c r="G52" i="4"/>
  <c r="A55" i="4"/>
  <c r="B54" i="4"/>
  <c r="C53" i="4"/>
  <c r="D53" i="4" s="1"/>
  <c r="E53" i="4" s="1"/>
  <c r="H51" i="4"/>
  <c r="I24" i="4"/>
  <c r="F26" i="4"/>
  <c r="G25" i="4"/>
  <c r="H25" i="4" s="1"/>
  <c r="C52" i="2"/>
  <c r="D52" i="2" s="1"/>
  <c r="E52" i="2" s="1"/>
  <c r="I52" i="2" a="1"/>
  <c r="I52" i="2" s="1"/>
  <c r="J52" i="2" a="1"/>
  <c r="J52" i="2" s="1"/>
  <c r="A54" i="2"/>
  <c r="B53" i="2"/>
  <c r="F51" i="2"/>
  <c r="G51" i="2"/>
  <c r="K50" i="2"/>
  <c r="L50" i="2" s="1"/>
  <c r="M50" i="2" s="1"/>
  <c r="H50" i="2"/>
  <c r="K137" i="13" l="1"/>
  <c r="L137" i="13" s="1"/>
  <c r="M137" i="13" s="1"/>
  <c r="H137" i="13"/>
  <c r="C139" i="13"/>
  <c r="D139" i="13" s="1"/>
  <c r="E139" i="13" s="1"/>
  <c r="I139" i="13" a="1"/>
  <c r="I139" i="13" s="1"/>
  <c r="J139" i="13" a="1"/>
  <c r="J139" i="13" s="1"/>
  <c r="B140" i="13"/>
  <c r="A141" i="13"/>
  <c r="G138" i="13"/>
  <c r="F138" i="13"/>
  <c r="F28" i="13"/>
  <c r="G27" i="13"/>
  <c r="H27" i="13" s="1"/>
  <c r="I26" i="13"/>
  <c r="H50" i="13"/>
  <c r="G51" i="13"/>
  <c r="F51" i="13"/>
  <c r="A54" i="13"/>
  <c r="B53" i="13"/>
  <c r="C52" i="13"/>
  <c r="D52" i="13" s="1"/>
  <c r="E52" i="13" s="1"/>
  <c r="C135" i="11"/>
  <c r="D135" i="11" s="1"/>
  <c r="E135" i="11" s="1"/>
  <c r="J135" i="11" a="1"/>
  <c r="J135" i="11" s="1"/>
  <c r="I135" i="11" a="1"/>
  <c r="I135" i="11" s="1"/>
  <c r="B136" i="11"/>
  <c r="A137" i="11"/>
  <c r="H133" i="11"/>
  <c r="K133" i="11"/>
  <c r="L133" i="11" s="1"/>
  <c r="M133" i="11" s="1"/>
  <c r="G134" i="11"/>
  <c r="F134" i="11"/>
  <c r="F28" i="11"/>
  <c r="G27" i="11"/>
  <c r="H27" i="11" s="1"/>
  <c r="F51" i="11"/>
  <c r="G51" i="11"/>
  <c r="A54" i="11"/>
  <c r="B53" i="11"/>
  <c r="C52" i="11"/>
  <c r="D52" i="11" s="1"/>
  <c r="E52" i="11" s="1"/>
  <c r="H50" i="11"/>
  <c r="G53" i="4"/>
  <c r="F53" i="4"/>
  <c r="B55" i="4"/>
  <c r="A56" i="4"/>
  <c r="I25" i="4"/>
  <c r="C54" i="4"/>
  <c r="D54" i="4" s="1"/>
  <c r="E54" i="4" s="1"/>
  <c r="G26" i="4"/>
  <c r="H26" i="4" s="1"/>
  <c r="F27" i="4"/>
  <c r="H52" i="4"/>
  <c r="H51" i="2"/>
  <c r="K51" i="2"/>
  <c r="L51" i="2" s="1"/>
  <c r="M51" i="2" s="1"/>
  <c r="C53" i="2"/>
  <c r="D53" i="2" s="1"/>
  <c r="E53" i="2" s="1"/>
  <c r="I53" i="2" a="1"/>
  <c r="I53" i="2" s="1"/>
  <c r="J53" i="2" a="1"/>
  <c r="J53" i="2" s="1"/>
  <c r="A55" i="2"/>
  <c r="B54" i="2"/>
  <c r="G52" i="2"/>
  <c r="F52" i="2"/>
  <c r="K138" i="13" l="1"/>
  <c r="L138" i="13" s="1"/>
  <c r="M138" i="13" s="1"/>
  <c r="H138" i="13"/>
  <c r="A142" i="13"/>
  <c r="B141" i="13"/>
  <c r="C140" i="13"/>
  <c r="D140" i="13" s="1"/>
  <c r="E140" i="13" s="1"/>
  <c r="I140" i="13" a="1"/>
  <c r="I140" i="13" s="1"/>
  <c r="J140" i="13" a="1"/>
  <c r="J140" i="13" s="1"/>
  <c r="G139" i="13"/>
  <c r="F139" i="13"/>
  <c r="C53" i="13"/>
  <c r="D53" i="13" s="1"/>
  <c r="E53" i="13" s="1"/>
  <c r="B54" i="13"/>
  <c r="A55" i="13"/>
  <c r="I27" i="13"/>
  <c r="F52" i="13"/>
  <c r="G52" i="13"/>
  <c r="H51" i="13"/>
  <c r="G28" i="13"/>
  <c r="H28" i="13" s="1"/>
  <c r="F29" i="13"/>
  <c r="G29" i="13" s="1"/>
  <c r="H29" i="13" s="1"/>
  <c r="H134" i="11"/>
  <c r="K134" i="11"/>
  <c r="L134" i="11" s="1"/>
  <c r="M134" i="11" s="1"/>
  <c r="A138" i="11"/>
  <c r="B137" i="11"/>
  <c r="I136" i="11" a="1"/>
  <c r="I136" i="11" s="1"/>
  <c r="C136" i="11"/>
  <c r="D136" i="11" s="1"/>
  <c r="E136" i="11" s="1"/>
  <c r="J136" i="11" a="1"/>
  <c r="J136" i="11" s="1"/>
  <c r="G135" i="11"/>
  <c r="F135" i="11"/>
  <c r="C53" i="11"/>
  <c r="D53" i="11" s="1"/>
  <c r="E53" i="11" s="1"/>
  <c r="F52" i="11"/>
  <c r="G52" i="11"/>
  <c r="B54" i="11"/>
  <c r="A55" i="11"/>
  <c r="I27" i="11"/>
  <c r="G28" i="11"/>
  <c r="H28" i="11" s="1"/>
  <c r="F29" i="11"/>
  <c r="G29" i="11" s="1"/>
  <c r="H29" i="11" s="1"/>
  <c r="I49" i="11" s="1" a="1"/>
  <c r="I49" i="11" s="1"/>
  <c r="K49" i="11" s="1"/>
  <c r="L49" i="11" s="1"/>
  <c r="M49" i="11" s="1"/>
  <c r="H51" i="11"/>
  <c r="F54" i="4"/>
  <c r="G54" i="4"/>
  <c r="B56" i="4"/>
  <c r="A57" i="4"/>
  <c r="C55" i="4"/>
  <c r="D55" i="4" s="1"/>
  <c r="E55" i="4" s="1"/>
  <c r="F28" i="4"/>
  <c r="G27" i="4"/>
  <c r="H27" i="4" s="1"/>
  <c r="H53" i="4"/>
  <c r="I26" i="4"/>
  <c r="K52" i="2"/>
  <c r="L52" i="2" s="1"/>
  <c r="M52" i="2" s="1"/>
  <c r="H52" i="2"/>
  <c r="C54" i="2"/>
  <c r="D54" i="2" s="1"/>
  <c r="E54" i="2" s="1"/>
  <c r="J54" i="2" a="1"/>
  <c r="J54" i="2" s="1"/>
  <c r="I54" i="2" a="1"/>
  <c r="I54" i="2" s="1"/>
  <c r="A56" i="2"/>
  <c r="B55" i="2"/>
  <c r="F53" i="2"/>
  <c r="G53" i="2"/>
  <c r="H139" i="13" l="1"/>
  <c r="K139" i="13"/>
  <c r="L139" i="13" s="1"/>
  <c r="M139" i="13" s="1"/>
  <c r="G140" i="13"/>
  <c r="F140" i="13"/>
  <c r="I141" i="13" a="1"/>
  <c r="I141" i="13" s="1"/>
  <c r="J141" i="13" a="1"/>
  <c r="J141" i="13" s="1"/>
  <c r="C141" i="13"/>
  <c r="D141" i="13" s="1"/>
  <c r="E141" i="13" s="1"/>
  <c r="B142" i="13"/>
  <c r="A143" i="13"/>
  <c r="I28" i="13"/>
  <c r="I50" i="13" a="1"/>
  <c r="I50" i="13" s="1"/>
  <c r="K50" i="13" s="1"/>
  <c r="L50" i="13" s="1"/>
  <c r="M50" i="13" s="1"/>
  <c r="I51" i="13" a="1"/>
  <c r="I51" i="13" s="1"/>
  <c r="K51" i="13" s="1"/>
  <c r="L51" i="13" s="1"/>
  <c r="M51" i="13" s="1"/>
  <c r="I52" i="13" a="1"/>
  <c r="I52" i="13" s="1"/>
  <c r="J50" i="13" a="1"/>
  <c r="J50" i="13" s="1"/>
  <c r="I48" i="13" a="1"/>
  <c r="I48" i="13" s="1"/>
  <c r="K48" i="13" s="1"/>
  <c r="L48" i="13" s="1"/>
  <c r="M48" i="13" s="1"/>
  <c r="I29" i="13"/>
  <c r="J33" i="13" s="1" a="1"/>
  <c r="J33" i="13" s="1"/>
  <c r="I33" i="13" a="1"/>
  <c r="I33" i="13" s="1"/>
  <c r="K33" i="13" s="1"/>
  <c r="L33" i="13" s="1"/>
  <c r="I34" i="13" a="1"/>
  <c r="I34" i="13" s="1"/>
  <c r="K34" i="13" s="1"/>
  <c r="L34" i="13" s="1"/>
  <c r="M34" i="13" s="1"/>
  <c r="I36" i="13" a="1"/>
  <c r="I36" i="13" s="1"/>
  <c r="K36" i="13" s="1"/>
  <c r="L36" i="13" s="1"/>
  <c r="M36" i="13" s="1"/>
  <c r="I35" i="13" a="1"/>
  <c r="I35" i="13" s="1"/>
  <c r="K35" i="13" s="1"/>
  <c r="L35" i="13" s="1"/>
  <c r="M35" i="13" s="1"/>
  <c r="J36" i="13" a="1"/>
  <c r="J36" i="13" s="1"/>
  <c r="I38" i="13" a="1"/>
  <c r="I38" i="13" s="1"/>
  <c r="K38" i="13" s="1"/>
  <c r="L38" i="13" s="1"/>
  <c r="M38" i="13" s="1"/>
  <c r="J38" i="13" a="1"/>
  <c r="J38" i="13" s="1"/>
  <c r="I37" i="13" a="1"/>
  <c r="I37" i="13" s="1"/>
  <c r="K37" i="13" s="1"/>
  <c r="L37" i="13" s="1"/>
  <c r="M37" i="13" s="1"/>
  <c r="I39" i="13" a="1"/>
  <c r="I39" i="13" s="1"/>
  <c r="K39" i="13" s="1"/>
  <c r="L39" i="13" s="1"/>
  <c r="M39" i="13" s="1"/>
  <c r="I40" i="13" a="1"/>
  <c r="I40" i="13" s="1"/>
  <c r="K40" i="13" s="1"/>
  <c r="L40" i="13" s="1"/>
  <c r="M40" i="13" s="1"/>
  <c r="I42" i="13" a="1"/>
  <c r="I42" i="13" s="1"/>
  <c r="K42" i="13" s="1"/>
  <c r="L42" i="13" s="1"/>
  <c r="M42" i="13" s="1"/>
  <c r="I41" i="13" a="1"/>
  <c r="I41" i="13" s="1"/>
  <c r="K41" i="13" s="1"/>
  <c r="L41" i="13" s="1"/>
  <c r="M41" i="13" s="1"/>
  <c r="I43" i="13" a="1"/>
  <c r="I43" i="13" s="1"/>
  <c r="K43" i="13" s="1"/>
  <c r="L43" i="13" s="1"/>
  <c r="M43" i="13" s="1"/>
  <c r="I45" i="13" a="1"/>
  <c r="I45" i="13" s="1"/>
  <c r="K45" i="13" s="1"/>
  <c r="L45" i="13" s="1"/>
  <c r="M45" i="13" s="1"/>
  <c r="I46" i="13" a="1"/>
  <c r="I46" i="13" s="1"/>
  <c r="K46" i="13" s="1"/>
  <c r="L46" i="13" s="1"/>
  <c r="M46" i="13" s="1"/>
  <c r="I44" i="13" a="1"/>
  <c r="I44" i="13" s="1"/>
  <c r="K44" i="13" s="1"/>
  <c r="L44" i="13" s="1"/>
  <c r="M44" i="13" s="1"/>
  <c r="I47" i="13" a="1"/>
  <c r="I47" i="13" s="1"/>
  <c r="K47" i="13" s="1"/>
  <c r="L47" i="13" s="1"/>
  <c r="M47" i="13" s="1"/>
  <c r="B55" i="13"/>
  <c r="A56" i="13"/>
  <c r="H52" i="13"/>
  <c r="K52" i="13"/>
  <c r="L52" i="13" s="1"/>
  <c r="M52" i="13" s="1"/>
  <c r="C54" i="13"/>
  <c r="D54" i="13" s="1"/>
  <c r="E54" i="13" s="1"/>
  <c r="I54" i="13" a="1"/>
  <c r="I54" i="13" s="1"/>
  <c r="J54" i="13" a="1"/>
  <c r="J54" i="13" s="1"/>
  <c r="I49" i="13" a="1"/>
  <c r="I49" i="13" s="1"/>
  <c r="K49" i="13" s="1"/>
  <c r="L49" i="13" s="1"/>
  <c r="M49" i="13" s="1"/>
  <c r="F53" i="13"/>
  <c r="G53" i="13"/>
  <c r="J53" i="13" a="1"/>
  <c r="J53" i="13" s="1"/>
  <c r="I53" i="13" a="1"/>
  <c r="I53" i="13" s="1"/>
  <c r="H135" i="11"/>
  <c r="K135" i="11"/>
  <c r="L135" i="11" s="1"/>
  <c r="M135" i="11" s="1"/>
  <c r="F136" i="11"/>
  <c r="G136" i="11"/>
  <c r="C137" i="11"/>
  <c r="D137" i="11" s="1"/>
  <c r="E137" i="11" s="1"/>
  <c r="J137" i="11" a="1"/>
  <c r="J137" i="11" s="1"/>
  <c r="I137" i="11" a="1"/>
  <c r="I137" i="11" s="1"/>
  <c r="B138" i="11"/>
  <c r="A139" i="11"/>
  <c r="I29" i="11"/>
  <c r="I34" i="11" a="1"/>
  <c r="I34" i="11" s="1"/>
  <c r="K34" i="11" s="1"/>
  <c r="L34" i="11" s="1"/>
  <c r="M34" i="11" s="1"/>
  <c r="I33" i="11" a="1"/>
  <c r="I33" i="11" s="1"/>
  <c r="K33" i="11" s="1"/>
  <c r="L33" i="11" s="1"/>
  <c r="I35" i="11" a="1"/>
  <c r="I35" i="11" s="1"/>
  <c r="K35" i="11" s="1"/>
  <c r="L35" i="11" s="1"/>
  <c r="M35" i="11" s="1"/>
  <c r="J36" i="11" a="1"/>
  <c r="J36" i="11" s="1"/>
  <c r="I36" i="11" a="1"/>
  <c r="I36" i="11" s="1"/>
  <c r="K36" i="11" s="1"/>
  <c r="L36" i="11" s="1"/>
  <c r="M36" i="11" s="1"/>
  <c r="I37" i="11" a="1"/>
  <c r="I37" i="11" s="1"/>
  <c r="K37" i="11" s="1"/>
  <c r="L37" i="11" s="1"/>
  <c r="M37" i="11" s="1"/>
  <c r="I39" i="11" a="1"/>
  <c r="I39" i="11" s="1"/>
  <c r="K39" i="11" s="1"/>
  <c r="L39" i="11" s="1"/>
  <c r="M39" i="11" s="1"/>
  <c r="I38" i="11" a="1"/>
  <c r="I38" i="11" s="1"/>
  <c r="K38" i="11" s="1"/>
  <c r="L38" i="11" s="1"/>
  <c r="M38" i="11" s="1"/>
  <c r="I40" i="11" a="1"/>
  <c r="I40" i="11" s="1"/>
  <c r="K40" i="11" s="1"/>
  <c r="L40" i="11" s="1"/>
  <c r="M40" i="11" s="1"/>
  <c r="I42" i="11" a="1"/>
  <c r="I42" i="11" s="1"/>
  <c r="K42" i="11" s="1"/>
  <c r="L42" i="11" s="1"/>
  <c r="M42" i="11" s="1"/>
  <c r="I43" i="11" a="1"/>
  <c r="I43" i="11" s="1"/>
  <c r="K43" i="11" s="1"/>
  <c r="L43" i="11" s="1"/>
  <c r="M43" i="11" s="1"/>
  <c r="J42" i="11" a="1"/>
  <c r="J42" i="11" s="1"/>
  <c r="I41" i="11" a="1"/>
  <c r="I41" i="11" s="1"/>
  <c r="K41" i="11" s="1"/>
  <c r="L41" i="11" s="1"/>
  <c r="M41" i="11" s="1"/>
  <c r="I44" i="11" a="1"/>
  <c r="I44" i="11" s="1"/>
  <c r="K44" i="11" s="1"/>
  <c r="L44" i="11" s="1"/>
  <c r="M44" i="11" s="1"/>
  <c r="I46" i="11" a="1"/>
  <c r="I46" i="11" s="1"/>
  <c r="K46" i="11" s="1"/>
  <c r="L46" i="11" s="1"/>
  <c r="M46" i="11" s="1"/>
  <c r="I45" i="11" a="1"/>
  <c r="I45" i="11" s="1"/>
  <c r="K45" i="11" s="1"/>
  <c r="L45" i="11" s="1"/>
  <c r="M45" i="11" s="1"/>
  <c r="J46" i="11" a="1"/>
  <c r="J46" i="11" s="1"/>
  <c r="I47" i="11" a="1"/>
  <c r="I47" i="11" s="1"/>
  <c r="K47" i="11" s="1"/>
  <c r="L47" i="11" s="1"/>
  <c r="M47" i="11" s="1"/>
  <c r="J47" i="11" a="1"/>
  <c r="J47" i="11" s="1"/>
  <c r="I48" i="11" a="1"/>
  <c r="I48" i="11" s="1"/>
  <c r="K48" i="11" s="1"/>
  <c r="L48" i="11" s="1"/>
  <c r="M48" i="11" s="1"/>
  <c r="I50" i="11" a="1"/>
  <c r="I50" i="11" s="1"/>
  <c r="K50" i="11" s="1"/>
  <c r="L50" i="11" s="1"/>
  <c r="M50" i="11" s="1"/>
  <c r="I51" i="11" a="1"/>
  <c r="I51" i="11" s="1"/>
  <c r="K51" i="11" s="1"/>
  <c r="L51" i="11" s="1"/>
  <c r="M51" i="11" s="1"/>
  <c r="H52" i="11"/>
  <c r="B55" i="11"/>
  <c r="A56" i="11"/>
  <c r="C54" i="11"/>
  <c r="D54" i="11" s="1"/>
  <c r="E54" i="11" s="1"/>
  <c r="I54" i="11" a="1"/>
  <c r="I54" i="11" s="1"/>
  <c r="J54" i="11" a="1"/>
  <c r="J54" i="11" s="1"/>
  <c r="F53" i="11"/>
  <c r="G53" i="11"/>
  <c r="I28" i="11"/>
  <c r="J53" i="11" s="1" a="1"/>
  <c r="J53" i="11" s="1"/>
  <c r="J52" i="11" a="1"/>
  <c r="J52" i="11" s="1"/>
  <c r="I52" i="11" a="1"/>
  <c r="I52" i="11" s="1"/>
  <c r="K52" i="11" s="1"/>
  <c r="L52" i="11" s="1"/>
  <c r="M52" i="11" s="1"/>
  <c r="J50" i="11" a="1"/>
  <c r="J50" i="11" s="1"/>
  <c r="I53" i="11" a="1"/>
  <c r="I53" i="11" s="1"/>
  <c r="C56" i="4"/>
  <c r="D56" i="4" s="1"/>
  <c r="E56" i="4" s="1"/>
  <c r="H54" i="4"/>
  <c r="I27" i="4"/>
  <c r="A58" i="4"/>
  <c r="B57" i="4"/>
  <c r="G28" i="4"/>
  <c r="H28" i="4" s="1"/>
  <c r="F29" i="4"/>
  <c r="G29" i="4" s="1"/>
  <c r="H29" i="4" s="1"/>
  <c r="G55" i="4"/>
  <c r="F55" i="4"/>
  <c r="H53" i="2"/>
  <c r="K53" i="2"/>
  <c r="L53" i="2" s="1"/>
  <c r="M53" i="2" s="1"/>
  <c r="C55" i="2"/>
  <c r="D55" i="2" s="1"/>
  <c r="E55" i="2" s="1"/>
  <c r="I55" i="2" a="1"/>
  <c r="I55" i="2" s="1"/>
  <c r="J55" i="2" a="1"/>
  <c r="J55" i="2" s="1"/>
  <c r="B56" i="2"/>
  <c r="A57" i="2"/>
  <c r="F54" i="2"/>
  <c r="G54" i="2"/>
  <c r="A144" i="13" l="1"/>
  <c r="B143" i="13"/>
  <c r="G141" i="13"/>
  <c r="F141" i="13"/>
  <c r="I142" i="13" a="1"/>
  <c r="I142" i="13" s="1"/>
  <c r="C142" i="13"/>
  <c r="D142" i="13" s="1"/>
  <c r="E142" i="13" s="1"/>
  <c r="J142" i="13" a="1"/>
  <c r="J142" i="13" s="1"/>
  <c r="K140" i="13"/>
  <c r="L140" i="13" s="1"/>
  <c r="M140" i="13" s="1"/>
  <c r="H140" i="13"/>
  <c r="J52" i="13" a="1"/>
  <c r="J52" i="13" s="1"/>
  <c r="F54" i="13"/>
  <c r="G54" i="13"/>
  <c r="J43" i="13" a="1"/>
  <c r="J43" i="13" s="1"/>
  <c r="J37" i="13" a="1"/>
  <c r="J37" i="13" s="1"/>
  <c r="J48" i="13" a="1"/>
  <c r="J48" i="13" s="1"/>
  <c r="B56" i="13"/>
  <c r="A57" i="13"/>
  <c r="J42" i="13" a="1"/>
  <c r="J42" i="13" s="1"/>
  <c r="J55" i="13" a="1"/>
  <c r="J55" i="13" s="1"/>
  <c r="C55" i="13"/>
  <c r="D55" i="13" s="1"/>
  <c r="E55" i="13" s="1"/>
  <c r="I55" i="13" a="1"/>
  <c r="I55" i="13" s="1"/>
  <c r="J35" i="13" a="1"/>
  <c r="J35" i="13" s="1"/>
  <c r="J41" i="13" a="1"/>
  <c r="J41" i="13" s="1"/>
  <c r="J51" i="13" a="1"/>
  <c r="J51" i="13" s="1"/>
  <c r="J45" i="13" a="1"/>
  <c r="J45" i="13" s="1"/>
  <c r="J46" i="13" a="1"/>
  <c r="J46" i="13" s="1"/>
  <c r="J34" i="13" a="1"/>
  <c r="J34" i="13" s="1"/>
  <c r="J47" i="13" a="1"/>
  <c r="J47" i="13" s="1"/>
  <c r="H53" i="13"/>
  <c r="K53" i="13"/>
  <c r="L53" i="13" s="1"/>
  <c r="M53" i="13" s="1"/>
  <c r="J39" i="13" a="1"/>
  <c r="J39" i="13" s="1"/>
  <c r="M33" i="13"/>
  <c r="J49" i="13" a="1"/>
  <c r="J49" i="13" s="1"/>
  <c r="J44" i="13" a="1"/>
  <c r="J44" i="13" s="1"/>
  <c r="J40" i="13" a="1"/>
  <c r="J40" i="13" s="1"/>
  <c r="A140" i="11"/>
  <c r="B139" i="11"/>
  <c r="J138" i="11" a="1"/>
  <c r="J138" i="11" s="1"/>
  <c r="C138" i="11"/>
  <c r="D138" i="11" s="1"/>
  <c r="E138" i="11" s="1"/>
  <c r="I138" i="11" a="1"/>
  <c r="I138" i="11" s="1"/>
  <c r="K136" i="11"/>
  <c r="L136" i="11" s="1"/>
  <c r="M136" i="11" s="1"/>
  <c r="H136" i="11"/>
  <c r="F137" i="11"/>
  <c r="G137" i="11"/>
  <c r="J45" i="11" a="1"/>
  <c r="J45" i="11" s="1"/>
  <c r="J37" i="11" a="1"/>
  <c r="J37" i="11" s="1"/>
  <c r="J49" i="11" a="1"/>
  <c r="J49" i="11" s="1"/>
  <c r="H53" i="11"/>
  <c r="K53" i="11"/>
  <c r="L53" i="11" s="1"/>
  <c r="M53" i="11" s="1"/>
  <c r="J40" i="11" a="1"/>
  <c r="J40" i="11" s="1"/>
  <c r="J35" i="11" a="1"/>
  <c r="J35" i="11" s="1"/>
  <c r="J41" i="11" a="1"/>
  <c r="J41" i="11" s="1"/>
  <c r="J34" i="11" a="1"/>
  <c r="J34" i="11" s="1"/>
  <c r="F54" i="11"/>
  <c r="G54" i="11"/>
  <c r="B56" i="11"/>
  <c r="A57" i="11"/>
  <c r="M33" i="11"/>
  <c r="J39" i="11" a="1"/>
  <c r="J39" i="11" s="1"/>
  <c r="J48" i="11" a="1"/>
  <c r="J48" i="11" s="1"/>
  <c r="J33" i="11" a="1"/>
  <c r="J33" i="11" s="1"/>
  <c r="J44" i="11" a="1"/>
  <c r="J44" i="11" s="1"/>
  <c r="J38" i="11" a="1"/>
  <c r="J38" i="11" s="1"/>
  <c r="J55" i="11" a="1"/>
  <c r="J55" i="11" s="1"/>
  <c r="C55" i="11"/>
  <c r="D55" i="11" s="1"/>
  <c r="E55" i="11" s="1"/>
  <c r="I55" i="11" a="1"/>
  <c r="I55" i="11" s="1"/>
  <c r="J51" i="11" a="1"/>
  <c r="J51" i="11" s="1"/>
  <c r="J43" i="11" a="1"/>
  <c r="J43" i="11" s="1"/>
  <c r="I51" i="4" a="1"/>
  <c r="I51" i="4" s="1"/>
  <c r="K51" i="4" s="1"/>
  <c r="L51" i="4" s="1"/>
  <c r="M51" i="4" s="1"/>
  <c r="I54" i="4" a="1"/>
  <c r="I54" i="4" s="1"/>
  <c r="K54" i="4" s="1"/>
  <c r="L54" i="4" s="1"/>
  <c r="M54" i="4" s="1"/>
  <c r="I53" i="4" a="1"/>
  <c r="I53" i="4" s="1"/>
  <c r="K53" i="4" s="1"/>
  <c r="L53" i="4" s="1"/>
  <c r="M53" i="4" s="1"/>
  <c r="H55" i="4"/>
  <c r="I29" i="4"/>
  <c r="I35" i="4" a="1"/>
  <c r="I35" i="4" s="1"/>
  <c r="K35" i="4" s="1"/>
  <c r="L35" i="4" s="1"/>
  <c r="M35" i="4" s="1"/>
  <c r="I36" i="4" a="1"/>
  <c r="I36" i="4" s="1"/>
  <c r="K36" i="4" s="1"/>
  <c r="L36" i="4" s="1"/>
  <c r="M36" i="4" s="1"/>
  <c r="I33" i="4" a="1"/>
  <c r="I33" i="4" s="1"/>
  <c r="K33" i="4" s="1"/>
  <c r="L33" i="4" s="1"/>
  <c r="I34" i="4" a="1"/>
  <c r="I34" i="4" s="1"/>
  <c r="K34" i="4" s="1"/>
  <c r="L34" i="4" s="1"/>
  <c r="M34" i="4" s="1"/>
  <c r="I37" i="4" a="1"/>
  <c r="I37" i="4" s="1"/>
  <c r="K37" i="4" s="1"/>
  <c r="L37" i="4" s="1"/>
  <c r="M37" i="4" s="1"/>
  <c r="I39" i="4" a="1"/>
  <c r="I39" i="4" s="1"/>
  <c r="K39" i="4" s="1"/>
  <c r="L39" i="4" s="1"/>
  <c r="M39" i="4" s="1"/>
  <c r="I38" i="4" a="1"/>
  <c r="I38" i="4" s="1"/>
  <c r="K38" i="4" s="1"/>
  <c r="L38" i="4" s="1"/>
  <c r="M38" i="4" s="1"/>
  <c r="I41" i="4" a="1"/>
  <c r="I41" i="4" s="1"/>
  <c r="K41" i="4" s="1"/>
  <c r="L41" i="4" s="1"/>
  <c r="M41" i="4" s="1"/>
  <c r="I40" i="4" a="1"/>
  <c r="I40" i="4" s="1"/>
  <c r="K40" i="4" s="1"/>
  <c r="L40" i="4" s="1"/>
  <c r="M40" i="4" s="1"/>
  <c r="I42" i="4" a="1"/>
  <c r="I42" i="4" s="1"/>
  <c r="K42" i="4" s="1"/>
  <c r="L42" i="4" s="1"/>
  <c r="M42" i="4" s="1"/>
  <c r="I44" i="4" a="1"/>
  <c r="I44" i="4" s="1"/>
  <c r="K44" i="4" s="1"/>
  <c r="L44" i="4" s="1"/>
  <c r="M44" i="4" s="1"/>
  <c r="I43" i="4" a="1"/>
  <c r="I43" i="4" s="1"/>
  <c r="K43" i="4" s="1"/>
  <c r="L43" i="4" s="1"/>
  <c r="M43" i="4" s="1"/>
  <c r="J44" i="4" a="1"/>
  <c r="J44" i="4" s="1"/>
  <c r="I45" i="4" a="1"/>
  <c r="I45" i="4" s="1"/>
  <c r="K45" i="4" s="1"/>
  <c r="L45" i="4" s="1"/>
  <c r="M45" i="4" s="1"/>
  <c r="I46" i="4" a="1"/>
  <c r="I46" i="4" s="1"/>
  <c r="K46" i="4" s="1"/>
  <c r="L46" i="4" s="1"/>
  <c r="M46" i="4" s="1"/>
  <c r="J47" i="4" a="1"/>
  <c r="J47" i="4" s="1"/>
  <c r="I47" i="4" a="1"/>
  <c r="I47" i="4" s="1"/>
  <c r="K47" i="4" s="1"/>
  <c r="L47" i="4" s="1"/>
  <c r="M47" i="4" s="1"/>
  <c r="I49" i="4" a="1"/>
  <c r="I49" i="4" s="1"/>
  <c r="K49" i="4" s="1"/>
  <c r="L49" i="4" s="1"/>
  <c r="M49" i="4" s="1"/>
  <c r="I48" i="4" a="1"/>
  <c r="I48" i="4" s="1"/>
  <c r="K48" i="4" s="1"/>
  <c r="L48" i="4" s="1"/>
  <c r="M48" i="4" s="1"/>
  <c r="F56" i="4"/>
  <c r="G56" i="4"/>
  <c r="I56" i="4" a="1"/>
  <c r="I56" i="4" s="1"/>
  <c r="I52" i="4" a="1"/>
  <c r="I52" i="4" s="1"/>
  <c r="K52" i="4" s="1"/>
  <c r="L52" i="4" s="1"/>
  <c r="M52" i="4" s="1"/>
  <c r="C57" i="4"/>
  <c r="D57" i="4" s="1"/>
  <c r="E57" i="4" s="1"/>
  <c r="I57" i="4" a="1"/>
  <c r="I57" i="4" s="1"/>
  <c r="I28" i="4"/>
  <c r="J56" i="4" s="1" a="1"/>
  <c r="J56" i="4" s="1"/>
  <c r="J51" i="4" a="1"/>
  <c r="J51" i="4" s="1"/>
  <c r="I50" i="4" a="1"/>
  <c r="I50" i="4" s="1"/>
  <c r="K50" i="4" s="1"/>
  <c r="L50" i="4" s="1"/>
  <c r="M50" i="4" s="1"/>
  <c r="A59" i="4"/>
  <c r="B58" i="4"/>
  <c r="I55" i="4" a="1"/>
  <c r="I55" i="4" s="1"/>
  <c r="K55" i="4" s="1"/>
  <c r="L55" i="4" s="1"/>
  <c r="M55" i="4" s="1"/>
  <c r="H54" i="2"/>
  <c r="K54" i="2"/>
  <c r="L54" i="2" s="1"/>
  <c r="M54" i="2" s="1"/>
  <c r="A58" i="2"/>
  <c r="B57" i="2"/>
  <c r="C56" i="2"/>
  <c r="D56" i="2" s="1"/>
  <c r="E56" i="2" s="1"/>
  <c r="I56" i="2" a="1"/>
  <c r="I56" i="2" s="1"/>
  <c r="J56" i="2" a="1"/>
  <c r="J56" i="2" s="1"/>
  <c r="G55" i="2"/>
  <c r="F55" i="2"/>
  <c r="B144" i="13" l="1"/>
  <c r="A145" i="13"/>
  <c r="G142" i="13"/>
  <c r="F142" i="13"/>
  <c r="H141" i="13"/>
  <c r="K141" i="13"/>
  <c r="L141" i="13" s="1"/>
  <c r="M141" i="13" s="1"/>
  <c r="C143" i="13"/>
  <c r="D143" i="13" s="1"/>
  <c r="E143" i="13" s="1"/>
  <c r="I143" i="13" a="1"/>
  <c r="I143" i="13" s="1"/>
  <c r="J143" i="13" a="1"/>
  <c r="J143" i="13" s="1"/>
  <c r="F55" i="13"/>
  <c r="G55" i="13"/>
  <c r="A58" i="13"/>
  <c r="B57" i="13"/>
  <c r="I56" i="13" a="1"/>
  <c r="I56" i="13" s="1"/>
  <c r="J56" i="13" a="1"/>
  <c r="J56" i="13" s="1"/>
  <c r="C56" i="13"/>
  <c r="D56" i="13" s="1"/>
  <c r="E56" i="13" s="1"/>
  <c r="H54" i="13"/>
  <c r="K54" i="13"/>
  <c r="L54" i="13" s="1"/>
  <c r="K137" i="11"/>
  <c r="L137" i="11" s="1"/>
  <c r="M137" i="11" s="1"/>
  <c r="H137" i="11"/>
  <c r="G138" i="11"/>
  <c r="F138" i="11"/>
  <c r="I139" i="11" a="1"/>
  <c r="I139" i="11" s="1"/>
  <c r="C139" i="11"/>
  <c r="D139" i="11" s="1"/>
  <c r="E139" i="11" s="1"/>
  <c r="J139" i="11" a="1"/>
  <c r="J139" i="11" s="1"/>
  <c r="B140" i="11"/>
  <c r="A141" i="11"/>
  <c r="I56" i="11" a="1"/>
  <c r="I56" i="11" s="1"/>
  <c r="J56" i="11" a="1"/>
  <c r="J56" i="11" s="1"/>
  <c r="C56" i="11"/>
  <c r="D56" i="11" s="1"/>
  <c r="E56" i="11" s="1"/>
  <c r="F55" i="11"/>
  <c r="G55" i="11"/>
  <c r="H54" i="11"/>
  <c r="K54" i="11"/>
  <c r="L54" i="11" s="1"/>
  <c r="A58" i="11"/>
  <c r="B57" i="11"/>
  <c r="J54" i="4" a="1"/>
  <c r="J54" i="4" s="1"/>
  <c r="J52" i="4" a="1"/>
  <c r="J52" i="4" s="1"/>
  <c r="J50" i="4" a="1"/>
  <c r="J50" i="4" s="1"/>
  <c r="J42" i="4" a="1"/>
  <c r="J42" i="4" s="1"/>
  <c r="M33" i="4"/>
  <c r="J39" i="4" a="1"/>
  <c r="J39" i="4" s="1"/>
  <c r="J49" i="4" a="1"/>
  <c r="J49" i="4" s="1"/>
  <c r="J46" i="4" a="1"/>
  <c r="J46" i="4" s="1"/>
  <c r="J53" i="4" a="1"/>
  <c r="J53" i="4" s="1"/>
  <c r="H56" i="4"/>
  <c r="K56" i="4"/>
  <c r="L56" i="4" s="1"/>
  <c r="M56" i="4" s="1"/>
  <c r="J43" i="4" a="1"/>
  <c r="J43" i="4" s="1"/>
  <c r="J38" i="4" a="1"/>
  <c r="J38" i="4" s="1"/>
  <c r="J58" i="4" a="1"/>
  <c r="J58" i="4" s="1"/>
  <c r="I58" i="4" a="1"/>
  <c r="I58" i="4" s="1"/>
  <c r="C58" i="4"/>
  <c r="D58" i="4" s="1"/>
  <c r="E58" i="4" s="1"/>
  <c r="J45" i="4" a="1"/>
  <c r="J45" i="4" s="1"/>
  <c r="J37" i="4" a="1"/>
  <c r="J37" i="4" s="1"/>
  <c r="B59" i="4"/>
  <c r="A60" i="4"/>
  <c r="J34" i="4" a="1"/>
  <c r="J34" i="4" s="1"/>
  <c r="J48" i="4" a="1"/>
  <c r="J48" i="4" s="1"/>
  <c r="J41" i="4" a="1"/>
  <c r="J41" i="4" s="1"/>
  <c r="J35" i="4" a="1"/>
  <c r="J35" i="4" s="1"/>
  <c r="G57" i="4"/>
  <c r="F57" i="4"/>
  <c r="J36" i="4" a="1"/>
  <c r="J36" i="4" s="1"/>
  <c r="J55" i="4" a="1"/>
  <c r="J55" i="4" s="1"/>
  <c r="J40" i="4" a="1"/>
  <c r="J40" i="4" s="1"/>
  <c r="J57" i="4" a="1"/>
  <c r="J57" i="4" s="1"/>
  <c r="J33" i="4" a="1"/>
  <c r="J33" i="4" s="1"/>
  <c r="K55" i="2"/>
  <c r="L55" i="2" s="1"/>
  <c r="M55" i="2" s="1"/>
  <c r="H55" i="2"/>
  <c r="F56" i="2"/>
  <c r="K56" i="2" s="1"/>
  <c r="G56" i="2"/>
  <c r="H56" i="2" s="1"/>
  <c r="C57" i="2"/>
  <c r="D57" i="2" s="1"/>
  <c r="E57" i="2" s="1"/>
  <c r="J57" i="2" a="1"/>
  <c r="J57" i="2" s="1"/>
  <c r="I57" i="2" a="1"/>
  <c r="I57" i="2" s="1"/>
  <c r="B58" i="2"/>
  <c r="A59" i="2"/>
  <c r="F143" i="13" l="1"/>
  <c r="G143" i="13"/>
  <c r="K142" i="13"/>
  <c r="L142" i="13" s="1"/>
  <c r="M142" i="13" s="1"/>
  <c r="H142" i="13"/>
  <c r="A146" i="13"/>
  <c r="B145" i="13"/>
  <c r="C144" i="13"/>
  <c r="D144" i="13" s="1"/>
  <c r="E144" i="13" s="1"/>
  <c r="J144" i="13" a="1"/>
  <c r="J144" i="13" s="1"/>
  <c r="I144" i="13" a="1"/>
  <c r="I144" i="13" s="1"/>
  <c r="M54" i="13"/>
  <c r="F56" i="13"/>
  <c r="G56" i="13"/>
  <c r="B58" i="13"/>
  <c r="A59" i="13"/>
  <c r="H55" i="13"/>
  <c r="K55" i="13"/>
  <c r="L55" i="13" s="1"/>
  <c r="M55" i="13" s="1"/>
  <c r="I57" i="13" a="1"/>
  <c r="I57" i="13" s="1"/>
  <c r="J57" i="13" a="1"/>
  <c r="J57" i="13" s="1"/>
  <c r="C57" i="13"/>
  <c r="D57" i="13" s="1"/>
  <c r="E57" i="13" s="1"/>
  <c r="B141" i="11"/>
  <c r="A142" i="11"/>
  <c r="J140" i="11" a="1"/>
  <c r="J140" i="11" s="1"/>
  <c r="C140" i="11"/>
  <c r="D140" i="11" s="1"/>
  <c r="E140" i="11" s="1"/>
  <c r="I140" i="11" a="1"/>
  <c r="I140" i="11" s="1"/>
  <c r="K138" i="11"/>
  <c r="L138" i="11" s="1"/>
  <c r="M138" i="11" s="1"/>
  <c r="H138" i="11"/>
  <c r="F139" i="11"/>
  <c r="G139" i="11"/>
  <c r="I57" i="11" a="1"/>
  <c r="I57" i="11" s="1"/>
  <c r="J57" i="11" a="1"/>
  <c r="J57" i="11" s="1"/>
  <c r="C57" i="11"/>
  <c r="D57" i="11" s="1"/>
  <c r="E57" i="11" s="1"/>
  <c r="B58" i="11"/>
  <c r="A59" i="11"/>
  <c r="M54" i="11"/>
  <c r="H55" i="11"/>
  <c r="K55" i="11"/>
  <c r="L55" i="11" s="1"/>
  <c r="F56" i="11"/>
  <c r="G56" i="11"/>
  <c r="I59" i="4" a="1"/>
  <c r="I59" i="4" s="1"/>
  <c r="J59" i="4" a="1"/>
  <c r="J59" i="4" s="1"/>
  <c r="C59" i="4"/>
  <c r="D59" i="4" s="1"/>
  <c r="E59" i="4" s="1"/>
  <c r="G58" i="4"/>
  <c r="F58" i="4"/>
  <c r="A61" i="4"/>
  <c r="B60" i="4"/>
  <c r="H57" i="4"/>
  <c r="K57" i="4"/>
  <c r="L57" i="4" s="1"/>
  <c r="M57" i="4" s="1"/>
  <c r="L56" i="2"/>
  <c r="M56" i="2" s="1"/>
  <c r="B59" i="2"/>
  <c r="A60" i="2"/>
  <c r="C58" i="2"/>
  <c r="D58" i="2" s="1"/>
  <c r="E58" i="2" s="1"/>
  <c r="I58" i="2" a="1"/>
  <c r="I58" i="2" s="1"/>
  <c r="J58" i="2" a="1"/>
  <c r="J58" i="2" s="1"/>
  <c r="F57" i="2"/>
  <c r="G57" i="2"/>
  <c r="G144" i="13" l="1"/>
  <c r="F144" i="13"/>
  <c r="C145" i="13"/>
  <c r="D145" i="13" s="1"/>
  <c r="E145" i="13" s="1"/>
  <c r="J145" i="13" a="1"/>
  <c r="J145" i="13" s="1"/>
  <c r="I145" i="13" a="1"/>
  <c r="I145" i="13" s="1"/>
  <c r="A147" i="13"/>
  <c r="B146" i="13"/>
  <c r="H143" i="13"/>
  <c r="K143" i="13"/>
  <c r="L143" i="13" s="1"/>
  <c r="M143" i="13" s="1"/>
  <c r="F57" i="13"/>
  <c r="G57" i="13"/>
  <c r="B59" i="13"/>
  <c r="A60" i="13"/>
  <c r="C58" i="13"/>
  <c r="D58" i="13" s="1"/>
  <c r="E58" i="13" s="1"/>
  <c r="I58" i="13" a="1"/>
  <c r="I58" i="13" s="1"/>
  <c r="J58" i="13" a="1"/>
  <c r="J58" i="13" s="1"/>
  <c r="H56" i="13"/>
  <c r="K56" i="13"/>
  <c r="L56" i="13" s="1"/>
  <c r="K139" i="11"/>
  <c r="L139" i="11" s="1"/>
  <c r="M139" i="11" s="1"/>
  <c r="H139" i="11"/>
  <c r="A143" i="11"/>
  <c r="B142" i="11"/>
  <c r="G140" i="11"/>
  <c r="F140" i="11"/>
  <c r="I141" i="11" a="1"/>
  <c r="I141" i="11" s="1"/>
  <c r="C141" i="11"/>
  <c r="D141" i="11" s="1"/>
  <c r="E141" i="11" s="1"/>
  <c r="J141" i="11" a="1"/>
  <c r="J141" i="11" s="1"/>
  <c r="M55" i="11"/>
  <c r="H56" i="11"/>
  <c r="K56" i="11"/>
  <c r="L56" i="11" s="1"/>
  <c r="M56" i="11" s="1"/>
  <c r="A60" i="11"/>
  <c r="B59" i="11"/>
  <c r="C58" i="11"/>
  <c r="D58" i="11" s="1"/>
  <c r="E58" i="11" s="1"/>
  <c r="I58" i="11" a="1"/>
  <c r="I58" i="11" s="1"/>
  <c r="J58" i="11" a="1"/>
  <c r="J58" i="11" s="1"/>
  <c r="F57" i="11"/>
  <c r="G57" i="11"/>
  <c r="A62" i="4"/>
  <c r="B61" i="4"/>
  <c r="J60" i="4" a="1"/>
  <c r="J60" i="4" s="1"/>
  <c r="I60" i="4" a="1"/>
  <c r="I60" i="4" s="1"/>
  <c r="C60" i="4"/>
  <c r="D60" i="4" s="1"/>
  <c r="E60" i="4" s="1"/>
  <c r="G59" i="4"/>
  <c r="F59" i="4"/>
  <c r="H58" i="4"/>
  <c r="K58" i="4"/>
  <c r="L58" i="4" s="1"/>
  <c r="M58" i="4" s="1"/>
  <c r="K57" i="2"/>
  <c r="H57" i="2"/>
  <c r="G58" i="2"/>
  <c r="F58" i="2"/>
  <c r="A61" i="2"/>
  <c r="B60" i="2"/>
  <c r="C59" i="2"/>
  <c r="D59" i="2" s="1"/>
  <c r="E59" i="2" s="1"/>
  <c r="I59" i="2" a="1"/>
  <c r="I59" i="2" s="1"/>
  <c r="J59" i="2" a="1"/>
  <c r="J59" i="2" s="1"/>
  <c r="C146" i="13" l="1"/>
  <c r="D146" i="13" s="1"/>
  <c r="E146" i="13" s="1"/>
  <c r="I146" i="13" a="1"/>
  <c r="I146" i="13" s="1"/>
  <c r="J146" i="13" a="1"/>
  <c r="J146" i="13" s="1"/>
  <c r="A148" i="13"/>
  <c r="B147" i="13"/>
  <c r="F145" i="13"/>
  <c r="G145" i="13"/>
  <c r="K144" i="13"/>
  <c r="L144" i="13" s="1"/>
  <c r="M144" i="13" s="1"/>
  <c r="H144" i="13"/>
  <c r="J59" i="13" a="1"/>
  <c r="J59" i="13" s="1"/>
  <c r="C59" i="13"/>
  <c r="D59" i="13" s="1"/>
  <c r="E59" i="13" s="1"/>
  <c r="I59" i="13" a="1"/>
  <c r="I59" i="13" s="1"/>
  <c r="F58" i="13"/>
  <c r="G58" i="13"/>
  <c r="B60" i="13"/>
  <c r="A61" i="13"/>
  <c r="M56" i="13"/>
  <c r="H57" i="13"/>
  <c r="K57" i="13"/>
  <c r="L57" i="13" s="1"/>
  <c r="M57" i="13" s="1"/>
  <c r="G141" i="11"/>
  <c r="F141" i="11"/>
  <c r="K140" i="11"/>
  <c r="L140" i="11" s="1"/>
  <c r="M140" i="11" s="1"/>
  <c r="H140" i="11"/>
  <c r="C142" i="11"/>
  <c r="D142" i="11" s="1"/>
  <c r="E142" i="11" s="1"/>
  <c r="J142" i="11" a="1"/>
  <c r="J142" i="11" s="1"/>
  <c r="I142" i="11" a="1"/>
  <c r="I142" i="11" s="1"/>
  <c r="A144" i="11"/>
  <c r="B143" i="11"/>
  <c r="J59" i="11" a="1"/>
  <c r="J59" i="11" s="1"/>
  <c r="C59" i="11"/>
  <c r="D59" i="11" s="1"/>
  <c r="E59" i="11" s="1"/>
  <c r="I59" i="11" a="1"/>
  <c r="I59" i="11" s="1"/>
  <c r="B60" i="11"/>
  <c r="A61" i="11"/>
  <c r="H57" i="11"/>
  <c r="K57" i="11"/>
  <c r="L57" i="11" s="1"/>
  <c r="M57" i="11" s="1"/>
  <c r="F58" i="11"/>
  <c r="G58" i="11"/>
  <c r="H59" i="4"/>
  <c r="K59" i="4"/>
  <c r="L59" i="4" s="1"/>
  <c r="M59" i="4" s="1"/>
  <c r="F60" i="4"/>
  <c r="G60" i="4"/>
  <c r="C61" i="4"/>
  <c r="D61" i="4" s="1"/>
  <c r="E61" i="4" s="1"/>
  <c r="J61" i="4" a="1"/>
  <c r="J61" i="4" s="1"/>
  <c r="I61" i="4" a="1"/>
  <c r="I61" i="4" s="1"/>
  <c r="A63" i="4"/>
  <c r="B62" i="4"/>
  <c r="L57" i="2"/>
  <c r="M57" i="2" s="1"/>
  <c r="F59" i="2"/>
  <c r="K59" i="2" s="1"/>
  <c r="G59" i="2"/>
  <c r="C60" i="2"/>
  <c r="D60" i="2" s="1"/>
  <c r="E60" i="2" s="1"/>
  <c r="I60" i="2" a="1"/>
  <c r="I60" i="2" s="1"/>
  <c r="J60" i="2" a="1"/>
  <c r="J60" i="2" s="1"/>
  <c r="B61" i="2"/>
  <c r="A62" i="2"/>
  <c r="H58" i="2"/>
  <c r="K58" i="2"/>
  <c r="J147" i="13" l="1" a="1"/>
  <c r="J147" i="13" s="1"/>
  <c r="I147" i="13" a="1"/>
  <c r="I147" i="13" s="1"/>
  <c r="C147" i="13"/>
  <c r="D147" i="13" s="1"/>
  <c r="E147" i="13" s="1"/>
  <c r="H145" i="13"/>
  <c r="K145" i="13"/>
  <c r="L145" i="13" s="1"/>
  <c r="M145" i="13" s="1"/>
  <c r="A149" i="13"/>
  <c r="B148" i="13"/>
  <c r="G146" i="13"/>
  <c r="F146" i="13"/>
  <c r="I60" i="13" a="1"/>
  <c r="I60" i="13" s="1"/>
  <c r="J60" i="13" a="1"/>
  <c r="J60" i="13" s="1"/>
  <c r="C60" i="13"/>
  <c r="D60" i="13" s="1"/>
  <c r="E60" i="13" s="1"/>
  <c r="A62" i="13"/>
  <c r="B61" i="13"/>
  <c r="H58" i="13"/>
  <c r="K58" i="13"/>
  <c r="L58" i="13" s="1"/>
  <c r="M58" i="13" s="1"/>
  <c r="F59" i="13"/>
  <c r="G59" i="13"/>
  <c r="I143" i="11" a="1"/>
  <c r="I143" i="11" s="1"/>
  <c r="C143" i="11"/>
  <c r="D143" i="11" s="1"/>
  <c r="E143" i="11" s="1"/>
  <c r="J143" i="11" a="1"/>
  <c r="J143" i="11" s="1"/>
  <c r="A145" i="11"/>
  <c r="B144" i="11"/>
  <c r="G142" i="11"/>
  <c r="F142" i="11"/>
  <c r="H141" i="11"/>
  <c r="K141" i="11"/>
  <c r="L141" i="11" s="1"/>
  <c r="M141" i="11" s="1"/>
  <c r="H58" i="11"/>
  <c r="K58" i="11"/>
  <c r="L58" i="11" s="1"/>
  <c r="M58" i="11" s="1"/>
  <c r="B61" i="11"/>
  <c r="A62" i="11"/>
  <c r="I60" i="11" a="1"/>
  <c r="I60" i="11" s="1"/>
  <c r="C60" i="11"/>
  <c r="D60" i="11" s="1"/>
  <c r="E60" i="11" s="1"/>
  <c r="J60" i="11" a="1"/>
  <c r="J60" i="11" s="1"/>
  <c r="F59" i="11"/>
  <c r="G59" i="11"/>
  <c r="L58" i="2"/>
  <c r="M58" i="2" s="1"/>
  <c r="G61" i="4"/>
  <c r="F61" i="4"/>
  <c r="H60" i="4"/>
  <c r="K60" i="4"/>
  <c r="L60" i="4" s="1"/>
  <c r="M60" i="4" s="1"/>
  <c r="J62" i="4" a="1"/>
  <c r="J62" i="4" s="1"/>
  <c r="I62" i="4" a="1"/>
  <c r="I62" i="4" s="1"/>
  <c r="C62" i="4"/>
  <c r="D62" i="4" s="1"/>
  <c r="E62" i="4" s="1"/>
  <c r="B63" i="4"/>
  <c r="A64" i="4"/>
  <c r="B62" i="2"/>
  <c r="A63" i="2"/>
  <c r="C61" i="2"/>
  <c r="D61" i="2" s="1"/>
  <c r="E61" i="2" s="1"/>
  <c r="I61" i="2" a="1"/>
  <c r="I61" i="2" s="1"/>
  <c r="J61" i="2" a="1"/>
  <c r="J61" i="2" s="1"/>
  <c r="F60" i="2"/>
  <c r="G60" i="2"/>
  <c r="H59" i="2"/>
  <c r="L59" i="2" s="1"/>
  <c r="M59" i="2" s="1"/>
  <c r="B149" i="13" l="1"/>
  <c r="A150" i="13"/>
  <c r="K146" i="13"/>
  <c r="L146" i="13" s="1"/>
  <c r="M146" i="13" s="1"/>
  <c r="H146" i="13"/>
  <c r="J148" i="13" a="1"/>
  <c r="J148" i="13" s="1"/>
  <c r="I148" i="13" a="1"/>
  <c r="I148" i="13" s="1"/>
  <c r="C148" i="13"/>
  <c r="D148" i="13" s="1"/>
  <c r="E148" i="13" s="1"/>
  <c r="G147" i="13"/>
  <c r="F147" i="13"/>
  <c r="H59" i="13"/>
  <c r="K59" i="13"/>
  <c r="L59" i="13" s="1"/>
  <c r="M59" i="13" s="1"/>
  <c r="B62" i="13"/>
  <c r="A63" i="13"/>
  <c r="I61" i="13" a="1"/>
  <c r="I61" i="13" s="1"/>
  <c r="J61" i="13" a="1"/>
  <c r="J61" i="13" s="1"/>
  <c r="C61" i="13"/>
  <c r="D61" i="13" s="1"/>
  <c r="E61" i="13" s="1"/>
  <c r="G60" i="13"/>
  <c r="F60" i="13"/>
  <c r="H142" i="11"/>
  <c r="K142" i="11"/>
  <c r="L142" i="11" s="1"/>
  <c r="M142" i="11" s="1"/>
  <c r="C144" i="11"/>
  <c r="D144" i="11" s="1"/>
  <c r="E144" i="11" s="1"/>
  <c r="I144" i="11" a="1"/>
  <c r="I144" i="11" s="1"/>
  <c r="J144" i="11" a="1"/>
  <c r="J144" i="11" s="1"/>
  <c r="B145" i="11"/>
  <c r="A146" i="11"/>
  <c r="F143" i="11"/>
  <c r="G143" i="11"/>
  <c r="B62" i="11"/>
  <c r="A63" i="11"/>
  <c r="H59" i="11"/>
  <c r="K59" i="11"/>
  <c r="L59" i="11" s="1"/>
  <c r="M59" i="11" s="1"/>
  <c r="F60" i="11"/>
  <c r="G60" i="11"/>
  <c r="I61" i="11" a="1"/>
  <c r="I61" i="11" s="1"/>
  <c r="C61" i="11"/>
  <c r="D61" i="11" s="1"/>
  <c r="E61" i="11" s="1"/>
  <c r="J61" i="11" a="1"/>
  <c r="J61" i="11" s="1"/>
  <c r="A65" i="4"/>
  <c r="B64" i="4"/>
  <c r="I63" i="4" a="1"/>
  <c r="I63" i="4" s="1"/>
  <c r="C63" i="4"/>
  <c r="D63" i="4" s="1"/>
  <c r="E63" i="4" s="1"/>
  <c r="J63" i="4" a="1"/>
  <c r="J63" i="4" s="1"/>
  <c r="F62" i="4"/>
  <c r="G62" i="4"/>
  <c r="H61" i="4"/>
  <c r="K61" i="4"/>
  <c r="L61" i="4" s="1"/>
  <c r="M61" i="4" s="1"/>
  <c r="H60" i="2"/>
  <c r="K60" i="2"/>
  <c r="L60" i="2" s="1"/>
  <c r="M60" i="2" s="1"/>
  <c r="F61" i="2"/>
  <c r="G61" i="2"/>
  <c r="A64" i="2"/>
  <c r="B63" i="2"/>
  <c r="C62" i="2"/>
  <c r="D62" i="2" s="1"/>
  <c r="E62" i="2" s="1"/>
  <c r="J62" i="2" a="1"/>
  <c r="J62" i="2" s="1"/>
  <c r="I62" i="2" a="1"/>
  <c r="I62" i="2" s="1"/>
  <c r="H147" i="13" l="1"/>
  <c r="K147" i="13"/>
  <c r="L147" i="13" s="1"/>
  <c r="M147" i="13" s="1"/>
  <c r="F148" i="13"/>
  <c r="G148" i="13"/>
  <c r="B150" i="13"/>
  <c r="A151" i="13"/>
  <c r="J149" i="13" a="1"/>
  <c r="J149" i="13" s="1"/>
  <c r="C149" i="13"/>
  <c r="D149" i="13" s="1"/>
  <c r="E149" i="13" s="1"/>
  <c r="I149" i="13" a="1"/>
  <c r="I149" i="13" s="1"/>
  <c r="F61" i="13"/>
  <c r="G61" i="13"/>
  <c r="C62" i="13"/>
  <c r="D62" i="13" s="1"/>
  <c r="E62" i="13" s="1"/>
  <c r="I62" i="13" a="1"/>
  <c r="I62" i="13" s="1"/>
  <c r="J62" i="13" a="1"/>
  <c r="J62" i="13" s="1"/>
  <c r="H60" i="13"/>
  <c r="K60" i="13"/>
  <c r="L60" i="13" s="1"/>
  <c r="M60" i="13" s="1"/>
  <c r="A64" i="13"/>
  <c r="B63" i="13"/>
  <c r="K143" i="11"/>
  <c r="L143" i="11" s="1"/>
  <c r="M143" i="11" s="1"/>
  <c r="H143" i="11"/>
  <c r="A147" i="11"/>
  <c r="B146" i="11"/>
  <c r="J145" i="11" a="1"/>
  <c r="J145" i="11" s="1"/>
  <c r="C145" i="11"/>
  <c r="D145" i="11" s="1"/>
  <c r="E145" i="11" s="1"/>
  <c r="I145" i="11" a="1"/>
  <c r="I145" i="11" s="1"/>
  <c r="F144" i="11"/>
  <c r="G144" i="11"/>
  <c r="F61" i="11"/>
  <c r="G61" i="11"/>
  <c r="H60" i="11"/>
  <c r="K60" i="11"/>
  <c r="L60" i="11" s="1"/>
  <c r="M60" i="11" s="1"/>
  <c r="A64" i="11"/>
  <c r="B63" i="11"/>
  <c r="C62" i="11"/>
  <c r="D62" i="11" s="1"/>
  <c r="E62" i="11" s="1"/>
  <c r="I62" i="11" a="1"/>
  <c r="I62" i="11" s="1"/>
  <c r="J62" i="11" a="1"/>
  <c r="J62" i="11" s="1"/>
  <c r="H62" i="4"/>
  <c r="K62" i="4"/>
  <c r="L62" i="4" s="1"/>
  <c r="M62" i="4" s="1"/>
  <c r="F63" i="4"/>
  <c r="G63" i="4"/>
  <c r="J64" i="4" a="1"/>
  <c r="J64" i="4" s="1"/>
  <c r="C64" i="4"/>
  <c r="D64" i="4" s="1"/>
  <c r="E64" i="4" s="1"/>
  <c r="I64" i="4" a="1"/>
  <c r="I64" i="4" s="1"/>
  <c r="A66" i="4"/>
  <c r="B65" i="4"/>
  <c r="F62" i="2"/>
  <c r="G62" i="2"/>
  <c r="C63" i="2"/>
  <c r="D63" i="2" s="1"/>
  <c r="E63" i="2" s="1"/>
  <c r="J63" i="2" a="1"/>
  <c r="J63" i="2" s="1"/>
  <c r="I63" i="2" a="1"/>
  <c r="I63" i="2" s="1"/>
  <c r="A65" i="2"/>
  <c r="B64" i="2"/>
  <c r="K61" i="2"/>
  <c r="H61" i="2"/>
  <c r="F149" i="13" l="1"/>
  <c r="G149" i="13"/>
  <c r="A152" i="13"/>
  <c r="B151" i="13"/>
  <c r="K148" i="13"/>
  <c r="L148" i="13" s="1"/>
  <c r="M148" i="13" s="1"/>
  <c r="H148" i="13"/>
  <c r="I150" i="13" a="1"/>
  <c r="I150" i="13" s="1"/>
  <c r="C150" i="13"/>
  <c r="D150" i="13" s="1"/>
  <c r="E150" i="13" s="1"/>
  <c r="J150" i="13" a="1"/>
  <c r="J150" i="13" s="1"/>
  <c r="J63" i="13" a="1"/>
  <c r="J63" i="13" s="1"/>
  <c r="C63" i="13"/>
  <c r="D63" i="13" s="1"/>
  <c r="E63" i="13" s="1"/>
  <c r="I63" i="13" a="1"/>
  <c r="I63" i="13" s="1"/>
  <c r="B64" i="13"/>
  <c r="A65" i="13"/>
  <c r="F62" i="13"/>
  <c r="G62" i="13"/>
  <c r="H61" i="13"/>
  <c r="K61" i="13"/>
  <c r="L61" i="13" s="1"/>
  <c r="M61" i="13" s="1"/>
  <c r="K144" i="11"/>
  <c r="L144" i="11" s="1"/>
  <c r="M144" i="11" s="1"/>
  <c r="H144" i="11"/>
  <c r="G145" i="11"/>
  <c r="F145" i="11"/>
  <c r="C146" i="11"/>
  <c r="D146" i="11" s="1"/>
  <c r="E146" i="11" s="1"/>
  <c r="I146" i="11" a="1"/>
  <c r="I146" i="11" s="1"/>
  <c r="J146" i="11" a="1"/>
  <c r="J146" i="11" s="1"/>
  <c r="A148" i="11"/>
  <c r="B147" i="11"/>
  <c r="J63" i="11" a="1"/>
  <c r="J63" i="11" s="1"/>
  <c r="C63" i="11"/>
  <c r="D63" i="11" s="1"/>
  <c r="E63" i="11" s="1"/>
  <c r="I63" i="11" a="1"/>
  <c r="I63" i="11" s="1"/>
  <c r="F62" i="11"/>
  <c r="G62" i="11"/>
  <c r="B64" i="11"/>
  <c r="A65" i="11"/>
  <c r="H61" i="11"/>
  <c r="K61" i="11"/>
  <c r="L61" i="11" s="1"/>
  <c r="M61" i="11" s="1"/>
  <c r="L61" i="2"/>
  <c r="M61" i="2" s="1"/>
  <c r="C65" i="4"/>
  <c r="D65" i="4" s="1"/>
  <c r="E65" i="4" s="1"/>
  <c r="J65" i="4" a="1"/>
  <c r="J65" i="4" s="1"/>
  <c r="I65" i="4" a="1"/>
  <c r="I65" i="4" s="1"/>
  <c r="B66" i="4"/>
  <c r="A67" i="4"/>
  <c r="F64" i="4"/>
  <c r="G64" i="4"/>
  <c r="H63" i="4"/>
  <c r="K63" i="4"/>
  <c r="L63" i="4" s="1"/>
  <c r="M63" i="4" s="1"/>
  <c r="C64" i="2"/>
  <c r="D64" i="2" s="1"/>
  <c r="E64" i="2" s="1"/>
  <c r="I64" i="2" a="1"/>
  <c r="I64" i="2" s="1"/>
  <c r="J64" i="2" a="1"/>
  <c r="J64" i="2" s="1"/>
  <c r="A66" i="2"/>
  <c r="B65" i="2"/>
  <c r="F63" i="2"/>
  <c r="G63" i="2"/>
  <c r="H62" i="2"/>
  <c r="K62" i="2"/>
  <c r="L62" i="2" s="1"/>
  <c r="M62" i="2" s="1"/>
  <c r="G150" i="13" l="1"/>
  <c r="F150" i="13"/>
  <c r="I151" i="13" a="1"/>
  <c r="I151" i="13" s="1"/>
  <c r="J151" i="13" a="1"/>
  <c r="J151" i="13" s="1"/>
  <c r="C151" i="13"/>
  <c r="D151" i="13" s="1"/>
  <c r="E151" i="13" s="1"/>
  <c r="A153" i="13"/>
  <c r="B152" i="13"/>
  <c r="H149" i="13"/>
  <c r="K149" i="13"/>
  <c r="L149" i="13" s="1"/>
  <c r="M149" i="13" s="1"/>
  <c r="B65" i="13"/>
  <c r="A66" i="13"/>
  <c r="I64" i="13" a="1"/>
  <c r="I64" i="13" s="1"/>
  <c r="C64" i="13"/>
  <c r="D64" i="13" s="1"/>
  <c r="E64" i="13" s="1"/>
  <c r="J64" i="13" a="1"/>
  <c r="J64" i="13" s="1"/>
  <c r="H62" i="13"/>
  <c r="K62" i="13"/>
  <c r="L62" i="13" s="1"/>
  <c r="M62" i="13" s="1"/>
  <c r="F63" i="13"/>
  <c r="G63" i="13"/>
  <c r="A149" i="11"/>
  <c r="B148" i="11"/>
  <c r="J147" i="11" a="1"/>
  <c r="J147" i="11" s="1"/>
  <c r="C147" i="11"/>
  <c r="D147" i="11" s="1"/>
  <c r="E147" i="11" s="1"/>
  <c r="I147" i="11" a="1"/>
  <c r="I147" i="11" s="1"/>
  <c r="G146" i="11"/>
  <c r="F146" i="11"/>
  <c r="K145" i="11"/>
  <c r="L145" i="11" s="1"/>
  <c r="M145" i="11" s="1"/>
  <c r="H145" i="11"/>
  <c r="A66" i="11"/>
  <c r="B65" i="11"/>
  <c r="I64" i="11" a="1"/>
  <c r="I64" i="11" s="1"/>
  <c r="C64" i="11"/>
  <c r="D64" i="11" s="1"/>
  <c r="E64" i="11" s="1"/>
  <c r="J64" i="11" a="1"/>
  <c r="J64" i="11" s="1"/>
  <c r="H62" i="11"/>
  <c r="K62" i="11"/>
  <c r="L62" i="11" s="1"/>
  <c r="M62" i="11" s="1"/>
  <c r="F63" i="11"/>
  <c r="G63" i="11"/>
  <c r="B67" i="4"/>
  <c r="A68" i="4"/>
  <c r="H64" i="4"/>
  <c r="K64" i="4"/>
  <c r="L64" i="4" s="1"/>
  <c r="M64" i="4" s="1"/>
  <c r="C66" i="4"/>
  <c r="D66" i="4" s="1"/>
  <c r="E66" i="4" s="1"/>
  <c r="J66" i="4" a="1"/>
  <c r="J66" i="4" s="1"/>
  <c r="I66" i="4" a="1"/>
  <c r="I66" i="4" s="1"/>
  <c r="G65" i="4"/>
  <c r="F65" i="4"/>
  <c r="K63" i="2"/>
  <c r="H63" i="2"/>
  <c r="C65" i="2"/>
  <c r="D65" i="2" s="1"/>
  <c r="E65" i="2" s="1"/>
  <c r="I65" i="2" a="1"/>
  <c r="I65" i="2" s="1"/>
  <c r="J65" i="2" a="1"/>
  <c r="J65" i="2" s="1"/>
  <c r="A67" i="2"/>
  <c r="B66" i="2"/>
  <c r="F64" i="2"/>
  <c r="G64" i="2"/>
  <c r="J152" i="13" l="1" a="1"/>
  <c r="J152" i="13" s="1"/>
  <c r="C152" i="13"/>
  <c r="D152" i="13" s="1"/>
  <c r="E152" i="13" s="1"/>
  <c r="I152" i="13" a="1"/>
  <c r="I152" i="13" s="1"/>
  <c r="A154" i="13"/>
  <c r="B153" i="13"/>
  <c r="G151" i="13"/>
  <c r="F151" i="13"/>
  <c r="H150" i="13"/>
  <c r="K150" i="13"/>
  <c r="L150" i="13" s="1"/>
  <c r="M150" i="13" s="1"/>
  <c r="B66" i="13"/>
  <c r="A67" i="13"/>
  <c r="H63" i="13"/>
  <c r="K63" i="13"/>
  <c r="L63" i="13" s="1"/>
  <c r="M63" i="13" s="1"/>
  <c r="G64" i="13"/>
  <c r="F64" i="13"/>
  <c r="I65" i="13" a="1"/>
  <c r="I65" i="13" s="1"/>
  <c r="J65" i="13" a="1"/>
  <c r="J65" i="13" s="1"/>
  <c r="C65" i="13"/>
  <c r="D65" i="13" s="1"/>
  <c r="E65" i="13" s="1"/>
  <c r="K146" i="11"/>
  <c r="L146" i="11" s="1"/>
  <c r="M146" i="11" s="1"/>
  <c r="H146" i="11"/>
  <c r="I148" i="11" a="1"/>
  <c r="I148" i="11" s="1"/>
  <c r="J148" i="11" a="1"/>
  <c r="J148" i="11" s="1"/>
  <c r="C148" i="11"/>
  <c r="D148" i="11" s="1"/>
  <c r="E148" i="11" s="1"/>
  <c r="F147" i="11"/>
  <c r="G147" i="11"/>
  <c r="A150" i="11"/>
  <c r="B149" i="11"/>
  <c r="I65" i="11" a="1"/>
  <c r="I65" i="11" s="1"/>
  <c r="C65" i="11"/>
  <c r="D65" i="11" s="1"/>
  <c r="E65" i="11" s="1"/>
  <c r="J65" i="11" a="1"/>
  <c r="J65" i="11" s="1"/>
  <c r="H63" i="11"/>
  <c r="K63" i="11"/>
  <c r="L63" i="11" s="1"/>
  <c r="M63" i="11" s="1"/>
  <c r="F64" i="11"/>
  <c r="G64" i="11"/>
  <c r="B66" i="11"/>
  <c r="A67" i="11"/>
  <c r="H65" i="4"/>
  <c r="K65" i="4"/>
  <c r="L65" i="4" s="1"/>
  <c r="M65" i="4" s="1"/>
  <c r="F66" i="4"/>
  <c r="G66" i="4"/>
  <c r="B68" i="4"/>
  <c r="A69" i="4"/>
  <c r="C67" i="4"/>
  <c r="D67" i="4" s="1"/>
  <c r="E67" i="4" s="1"/>
  <c r="J67" i="4" a="1"/>
  <c r="J67" i="4" s="1"/>
  <c r="I67" i="4" a="1"/>
  <c r="I67" i="4" s="1"/>
  <c r="L63" i="2"/>
  <c r="M63" i="2" s="1"/>
  <c r="K64" i="2"/>
  <c r="H64" i="2"/>
  <c r="I66" i="2" a="1"/>
  <c r="I66" i="2" s="1"/>
  <c r="J66" i="2" a="1"/>
  <c r="J66" i="2" s="1"/>
  <c r="C66" i="2"/>
  <c r="D66" i="2" s="1"/>
  <c r="E66" i="2" s="1"/>
  <c r="A68" i="2"/>
  <c r="B67" i="2"/>
  <c r="F65" i="2"/>
  <c r="G65" i="2"/>
  <c r="C153" i="13" l="1"/>
  <c r="D153" i="13" s="1"/>
  <c r="E153" i="13" s="1"/>
  <c r="I153" i="13" a="1"/>
  <c r="I153" i="13" s="1"/>
  <c r="J153" i="13" a="1"/>
  <c r="J153" i="13" s="1"/>
  <c r="B154" i="13"/>
  <c r="A155" i="13"/>
  <c r="H151" i="13"/>
  <c r="K151" i="13"/>
  <c r="L151" i="13" s="1"/>
  <c r="M151" i="13" s="1"/>
  <c r="F152" i="13"/>
  <c r="G152" i="13"/>
  <c r="F65" i="13"/>
  <c r="G65" i="13"/>
  <c r="H64" i="13"/>
  <c r="K64" i="13"/>
  <c r="L64" i="13" s="1"/>
  <c r="M64" i="13" s="1"/>
  <c r="A68" i="13"/>
  <c r="B67" i="13"/>
  <c r="C66" i="13"/>
  <c r="D66" i="13" s="1"/>
  <c r="E66" i="13" s="1"/>
  <c r="I66" i="13" a="1"/>
  <c r="I66" i="13" s="1"/>
  <c r="J66" i="13" a="1"/>
  <c r="J66" i="13" s="1"/>
  <c r="H147" i="11"/>
  <c r="K147" i="11"/>
  <c r="L147" i="11" s="1"/>
  <c r="M147" i="11" s="1"/>
  <c r="C149" i="11"/>
  <c r="D149" i="11" s="1"/>
  <c r="E149" i="11" s="1"/>
  <c r="I149" i="11" a="1"/>
  <c r="I149" i="11" s="1"/>
  <c r="J149" i="11" a="1"/>
  <c r="J149" i="11" s="1"/>
  <c r="A151" i="11"/>
  <c r="B150" i="11"/>
  <c r="F148" i="11"/>
  <c r="G148" i="11"/>
  <c r="C66" i="11"/>
  <c r="D66" i="11" s="1"/>
  <c r="E66" i="11" s="1"/>
  <c r="J66" i="11" a="1"/>
  <c r="J66" i="11" s="1"/>
  <c r="I66" i="11" a="1"/>
  <c r="I66" i="11" s="1"/>
  <c r="A68" i="11"/>
  <c r="B67" i="11"/>
  <c r="H64" i="11"/>
  <c r="K64" i="11"/>
  <c r="L64" i="11" s="1"/>
  <c r="M64" i="11" s="1"/>
  <c r="F65" i="11"/>
  <c r="G65" i="11"/>
  <c r="F67" i="4"/>
  <c r="G67" i="4"/>
  <c r="A70" i="4"/>
  <c r="B69" i="4"/>
  <c r="J68" i="4" a="1"/>
  <c r="J68" i="4" s="1"/>
  <c r="I68" i="4" a="1"/>
  <c r="I68" i="4" s="1"/>
  <c r="C68" i="4"/>
  <c r="D68" i="4" s="1"/>
  <c r="E68" i="4" s="1"/>
  <c r="H66" i="4"/>
  <c r="K66" i="4"/>
  <c r="L66" i="4" s="1"/>
  <c r="M66" i="4" s="1"/>
  <c r="L64" i="2"/>
  <c r="M64" i="2" s="1"/>
  <c r="K65" i="2"/>
  <c r="H65" i="2"/>
  <c r="I67" i="2" a="1"/>
  <c r="I67" i="2" s="1"/>
  <c r="J67" i="2" a="1"/>
  <c r="J67" i="2" s="1"/>
  <c r="C67" i="2"/>
  <c r="D67" i="2" s="1"/>
  <c r="E67" i="2" s="1"/>
  <c r="B68" i="2"/>
  <c r="A69" i="2"/>
  <c r="F66" i="2"/>
  <c r="G66" i="2"/>
  <c r="C154" i="13" l="1"/>
  <c r="D154" i="13" s="1"/>
  <c r="E154" i="13" s="1"/>
  <c r="I154" i="13" a="1"/>
  <c r="I154" i="13" s="1"/>
  <c r="J154" i="13" a="1"/>
  <c r="J154" i="13" s="1"/>
  <c r="K152" i="13"/>
  <c r="L152" i="13" s="1"/>
  <c r="M152" i="13" s="1"/>
  <c r="H152" i="13"/>
  <c r="A156" i="13"/>
  <c r="B155" i="13"/>
  <c r="F153" i="13"/>
  <c r="G153" i="13"/>
  <c r="F66" i="13"/>
  <c r="G66" i="13"/>
  <c r="J67" i="13" a="1"/>
  <c r="J67" i="13" s="1"/>
  <c r="C67" i="13"/>
  <c r="D67" i="13" s="1"/>
  <c r="E67" i="13" s="1"/>
  <c r="I67" i="13" a="1"/>
  <c r="I67" i="13" s="1"/>
  <c r="B68" i="13"/>
  <c r="A69" i="13"/>
  <c r="H65" i="13"/>
  <c r="K65" i="13"/>
  <c r="L65" i="13" s="1"/>
  <c r="M65" i="13" s="1"/>
  <c r="I150" i="11" a="1"/>
  <c r="I150" i="11" s="1"/>
  <c r="C150" i="11"/>
  <c r="D150" i="11" s="1"/>
  <c r="E150" i="11" s="1"/>
  <c r="J150" i="11" a="1"/>
  <c r="J150" i="11" s="1"/>
  <c r="K148" i="11"/>
  <c r="L148" i="11" s="1"/>
  <c r="M148" i="11" s="1"/>
  <c r="H148" i="11"/>
  <c r="A152" i="11"/>
  <c r="B151" i="11"/>
  <c r="F149" i="11"/>
  <c r="G149" i="11"/>
  <c r="H65" i="11"/>
  <c r="K65" i="11"/>
  <c r="L65" i="11" s="1"/>
  <c r="M65" i="11" s="1"/>
  <c r="J67" i="11" a="1"/>
  <c r="J67" i="11" s="1"/>
  <c r="C67" i="11"/>
  <c r="D67" i="11" s="1"/>
  <c r="E67" i="11" s="1"/>
  <c r="I67" i="11" a="1"/>
  <c r="I67" i="11" s="1"/>
  <c r="B68" i="11"/>
  <c r="A69" i="11"/>
  <c r="F66" i="11"/>
  <c r="G66" i="11"/>
  <c r="G68" i="4"/>
  <c r="F68" i="4"/>
  <c r="A71" i="4"/>
  <c r="B70" i="4"/>
  <c r="I69" i="4" a="1"/>
  <c r="I69" i="4" s="1"/>
  <c r="J69" i="4" a="1"/>
  <c r="J69" i="4" s="1"/>
  <c r="C69" i="4"/>
  <c r="D69" i="4" s="1"/>
  <c r="E69" i="4" s="1"/>
  <c r="H67" i="4"/>
  <c r="K67" i="4"/>
  <c r="L67" i="4" s="1"/>
  <c r="M67" i="4" s="1"/>
  <c r="L65" i="2"/>
  <c r="M65" i="2" s="1"/>
  <c r="K66" i="2"/>
  <c r="H66" i="2"/>
  <c r="B69" i="2"/>
  <c r="A70" i="2"/>
  <c r="J68" i="2" a="1"/>
  <c r="J68" i="2" s="1"/>
  <c r="C68" i="2"/>
  <c r="D68" i="2" s="1"/>
  <c r="E68" i="2" s="1"/>
  <c r="I68" i="2" a="1"/>
  <c r="I68" i="2" s="1"/>
  <c r="G67" i="2"/>
  <c r="F67" i="2"/>
  <c r="H153" i="13" l="1"/>
  <c r="K153" i="13"/>
  <c r="L153" i="13" s="1"/>
  <c r="M153" i="13" s="1"/>
  <c r="I155" i="13" a="1"/>
  <c r="I155" i="13" s="1"/>
  <c r="C155" i="13"/>
  <c r="D155" i="13" s="1"/>
  <c r="E155" i="13" s="1"/>
  <c r="J155" i="13" a="1"/>
  <c r="J155" i="13" s="1"/>
  <c r="A157" i="13"/>
  <c r="B156" i="13"/>
  <c r="G154" i="13"/>
  <c r="F154" i="13"/>
  <c r="I68" i="13" a="1"/>
  <c r="I68" i="13" s="1"/>
  <c r="C68" i="13"/>
  <c r="D68" i="13" s="1"/>
  <c r="E68" i="13" s="1"/>
  <c r="J68" i="13" a="1"/>
  <c r="J68" i="13" s="1"/>
  <c r="A70" i="13"/>
  <c r="B69" i="13"/>
  <c r="G67" i="13"/>
  <c r="F67" i="13"/>
  <c r="H66" i="13"/>
  <c r="K66" i="13"/>
  <c r="L66" i="13" s="1"/>
  <c r="M66" i="13" s="1"/>
  <c r="K149" i="11"/>
  <c r="L149" i="11" s="1"/>
  <c r="M149" i="11" s="1"/>
  <c r="H149" i="11"/>
  <c r="C151" i="11"/>
  <c r="D151" i="11" s="1"/>
  <c r="E151" i="11" s="1"/>
  <c r="I151" i="11" a="1"/>
  <c r="I151" i="11" s="1"/>
  <c r="J151" i="11" a="1"/>
  <c r="J151" i="11" s="1"/>
  <c r="B152" i="11"/>
  <c r="A153" i="11"/>
  <c r="G150" i="11"/>
  <c r="F150" i="11"/>
  <c r="F67" i="11"/>
  <c r="G67" i="11"/>
  <c r="H66" i="11"/>
  <c r="K66" i="11"/>
  <c r="L66" i="11" s="1"/>
  <c r="M66" i="11" s="1"/>
  <c r="A70" i="11"/>
  <c r="B69" i="11"/>
  <c r="I68" i="11" a="1"/>
  <c r="I68" i="11" s="1"/>
  <c r="C68" i="11"/>
  <c r="D68" i="11" s="1"/>
  <c r="E68" i="11" s="1"/>
  <c r="J68" i="11" a="1"/>
  <c r="J68" i="11" s="1"/>
  <c r="F69" i="4"/>
  <c r="G69" i="4"/>
  <c r="H68" i="4"/>
  <c r="K68" i="4"/>
  <c r="L68" i="4" s="1"/>
  <c r="M68" i="4" s="1"/>
  <c r="C70" i="4"/>
  <c r="D70" i="4" s="1"/>
  <c r="E70" i="4" s="1"/>
  <c r="J70" i="4" a="1"/>
  <c r="J70" i="4" s="1"/>
  <c r="I70" i="4" a="1"/>
  <c r="I70" i="4" s="1"/>
  <c r="B71" i="4"/>
  <c r="A72" i="4"/>
  <c r="F68" i="2"/>
  <c r="G68" i="2"/>
  <c r="H67" i="2"/>
  <c r="K67" i="2"/>
  <c r="A71" i="2"/>
  <c r="B70" i="2"/>
  <c r="I69" i="2" a="1"/>
  <c r="I69" i="2" s="1"/>
  <c r="J69" i="2" a="1"/>
  <c r="J69" i="2" s="1"/>
  <c r="C69" i="2"/>
  <c r="D69" i="2" s="1"/>
  <c r="E69" i="2" s="1"/>
  <c r="L66" i="2"/>
  <c r="M66" i="2" s="1"/>
  <c r="K154" i="13" l="1"/>
  <c r="L154" i="13" s="1"/>
  <c r="M154" i="13" s="1"/>
  <c r="H154" i="13"/>
  <c r="J156" i="13" a="1"/>
  <c r="J156" i="13" s="1"/>
  <c r="I156" i="13" a="1"/>
  <c r="I156" i="13" s="1"/>
  <c r="C156" i="13"/>
  <c r="D156" i="13" s="1"/>
  <c r="E156" i="13" s="1"/>
  <c r="A158" i="13"/>
  <c r="B157" i="13"/>
  <c r="G155" i="13"/>
  <c r="F155" i="13"/>
  <c r="I69" i="13" a="1"/>
  <c r="I69" i="13" s="1"/>
  <c r="J69" i="13" a="1"/>
  <c r="J69" i="13" s="1"/>
  <c r="C69" i="13"/>
  <c r="D69" i="13" s="1"/>
  <c r="E69" i="13" s="1"/>
  <c r="H67" i="13"/>
  <c r="K67" i="13"/>
  <c r="L67" i="13" s="1"/>
  <c r="M67" i="13" s="1"/>
  <c r="B70" i="13"/>
  <c r="A71" i="13"/>
  <c r="G68" i="13"/>
  <c r="F68" i="13"/>
  <c r="H150" i="11"/>
  <c r="K150" i="11"/>
  <c r="L150" i="11" s="1"/>
  <c r="M150" i="11" s="1"/>
  <c r="A154" i="11"/>
  <c r="B153" i="11"/>
  <c r="I152" i="11" a="1"/>
  <c r="I152" i="11" s="1"/>
  <c r="J152" i="11" a="1"/>
  <c r="J152" i="11" s="1"/>
  <c r="C152" i="11"/>
  <c r="D152" i="11" s="1"/>
  <c r="E152" i="11" s="1"/>
  <c r="G151" i="11"/>
  <c r="F151" i="11"/>
  <c r="B70" i="11"/>
  <c r="A71" i="11"/>
  <c r="F68" i="11"/>
  <c r="G68" i="11"/>
  <c r="I69" i="11" a="1"/>
  <c r="I69" i="11" s="1"/>
  <c r="C69" i="11"/>
  <c r="D69" i="11" s="1"/>
  <c r="E69" i="11" s="1"/>
  <c r="J69" i="11" a="1"/>
  <c r="J69" i="11" s="1"/>
  <c r="H67" i="11"/>
  <c r="K67" i="11"/>
  <c r="L67" i="11" s="1"/>
  <c r="M67" i="11" s="1"/>
  <c r="L67" i="2"/>
  <c r="M67" i="2" s="1"/>
  <c r="F70" i="4"/>
  <c r="G70" i="4"/>
  <c r="B72" i="4"/>
  <c r="A73" i="4"/>
  <c r="J71" i="4" a="1"/>
  <c r="J71" i="4" s="1"/>
  <c r="C71" i="4"/>
  <c r="D71" i="4" s="1"/>
  <c r="E71" i="4" s="1"/>
  <c r="I71" i="4" a="1"/>
  <c r="I71" i="4" s="1"/>
  <c r="H69" i="4"/>
  <c r="K69" i="4"/>
  <c r="L69" i="4" s="1"/>
  <c r="M69" i="4" s="1"/>
  <c r="G69" i="2"/>
  <c r="F69" i="2"/>
  <c r="A72" i="2"/>
  <c r="B71" i="2"/>
  <c r="I70" i="2" a="1"/>
  <c r="I70" i="2" s="1"/>
  <c r="C70" i="2"/>
  <c r="D70" i="2" s="1"/>
  <c r="E70" i="2" s="1"/>
  <c r="J70" i="2" a="1"/>
  <c r="J70" i="2" s="1"/>
  <c r="K68" i="2"/>
  <c r="H68" i="2"/>
  <c r="I157" i="13" l="1" a="1"/>
  <c r="I157" i="13" s="1"/>
  <c r="J157" i="13" a="1"/>
  <c r="J157" i="13" s="1"/>
  <c r="C157" i="13"/>
  <c r="D157" i="13" s="1"/>
  <c r="E157" i="13" s="1"/>
  <c r="B158" i="13"/>
  <c r="A159" i="13"/>
  <c r="H155" i="13"/>
  <c r="K155" i="13"/>
  <c r="L155" i="13" s="1"/>
  <c r="M155" i="13" s="1"/>
  <c r="F156" i="13"/>
  <c r="G156" i="13"/>
  <c r="H68" i="13"/>
  <c r="K68" i="13"/>
  <c r="L68" i="13" s="1"/>
  <c r="M68" i="13" s="1"/>
  <c r="A72" i="13"/>
  <c r="B71" i="13"/>
  <c r="C70" i="13"/>
  <c r="D70" i="13" s="1"/>
  <c r="E70" i="13" s="1"/>
  <c r="J70" i="13" a="1"/>
  <c r="J70" i="13" s="1"/>
  <c r="I70" i="13" a="1"/>
  <c r="I70" i="13" s="1"/>
  <c r="F69" i="13"/>
  <c r="G69" i="13"/>
  <c r="C153" i="11"/>
  <c r="D153" i="11" s="1"/>
  <c r="E153" i="11" s="1"/>
  <c r="I153" i="11" a="1"/>
  <c r="I153" i="11" s="1"/>
  <c r="J153" i="11" a="1"/>
  <c r="J153" i="11" s="1"/>
  <c r="B154" i="11"/>
  <c r="A155" i="11"/>
  <c r="H151" i="11"/>
  <c r="K151" i="11"/>
  <c r="L151" i="11" s="1"/>
  <c r="M151" i="11" s="1"/>
  <c r="G152" i="11"/>
  <c r="F152" i="11"/>
  <c r="F69" i="11"/>
  <c r="G69" i="11"/>
  <c r="A72" i="11"/>
  <c r="B71" i="11"/>
  <c r="H68" i="11"/>
  <c r="K68" i="11"/>
  <c r="L68" i="11" s="1"/>
  <c r="M68" i="11" s="1"/>
  <c r="C70" i="11"/>
  <c r="D70" i="11" s="1"/>
  <c r="E70" i="11" s="1"/>
  <c r="J70" i="11" a="1"/>
  <c r="J70" i="11" s="1"/>
  <c r="I70" i="11" a="1"/>
  <c r="I70" i="11" s="1"/>
  <c r="G71" i="4"/>
  <c r="F71" i="4"/>
  <c r="A74" i="4"/>
  <c r="B73" i="4"/>
  <c r="J72" i="4" a="1"/>
  <c r="J72" i="4" s="1"/>
  <c r="I72" i="4" a="1"/>
  <c r="I72" i="4" s="1"/>
  <c r="C72" i="4"/>
  <c r="D72" i="4" s="1"/>
  <c r="E72" i="4" s="1"/>
  <c r="H70" i="4"/>
  <c r="K70" i="4"/>
  <c r="L70" i="4" s="1"/>
  <c r="M70" i="4" s="1"/>
  <c r="L68" i="2"/>
  <c r="M68" i="2" s="1"/>
  <c r="G70" i="2"/>
  <c r="F70" i="2"/>
  <c r="I71" i="2" a="1"/>
  <c r="I71" i="2" s="1"/>
  <c r="J71" i="2" a="1"/>
  <c r="J71" i="2" s="1"/>
  <c r="C71" i="2"/>
  <c r="D71" i="2" s="1"/>
  <c r="E71" i="2" s="1"/>
  <c r="A73" i="2"/>
  <c r="B72" i="2"/>
  <c r="K69" i="2"/>
  <c r="H69" i="2"/>
  <c r="A160" i="13" l="1"/>
  <c r="B159" i="13"/>
  <c r="K156" i="13"/>
  <c r="L156" i="13" s="1"/>
  <c r="M156" i="13" s="1"/>
  <c r="H156" i="13"/>
  <c r="J158" i="13" a="1"/>
  <c r="J158" i="13" s="1"/>
  <c r="C158" i="13"/>
  <c r="D158" i="13" s="1"/>
  <c r="E158" i="13" s="1"/>
  <c r="I158" i="13" a="1"/>
  <c r="I158" i="13" s="1"/>
  <c r="G157" i="13"/>
  <c r="F157" i="13"/>
  <c r="H69" i="13"/>
  <c r="K69" i="13"/>
  <c r="L69" i="13" s="1"/>
  <c r="M69" i="13" s="1"/>
  <c r="J71" i="13" a="1"/>
  <c r="J71" i="13" s="1"/>
  <c r="C71" i="13"/>
  <c r="D71" i="13" s="1"/>
  <c r="E71" i="13" s="1"/>
  <c r="I71" i="13" a="1"/>
  <c r="I71" i="13" s="1"/>
  <c r="B72" i="13"/>
  <c r="A73" i="13"/>
  <c r="F70" i="13"/>
  <c r="G70" i="13"/>
  <c r="K152" i="11"/>
  <c r="L152" i="11" s="1"/>
  <c r="M152" i="11" s="1"/>
  <c r="H152" i="11"/>
  <c r="A156" i="11"/>
  <c r="B155" i="11"/>
  <c r="J154" i="11" a="1"/>
  <c r="J154" i="11" s="1"/>
  <c r="I154" i="11" a="1"/>
  <c r="I154" i="11" s="1"/>
  <c r="C154" i="11"/>
  <c r="D154" i="11" s="1"/>
  <c r="E154" i="11" s="1"/>
  <c r="G153" i="11"/>
  <c r="F153" i="11"/>
  <c r="F70" i="11"/>
  <c r="G70" i="11"/>
  <c r="J71" i="11" a="1"/>
  <c r="J71" i="11" s="1"/>
  <c r="C71" i="11"/>
  <c r="D71" i="11" s="1"/>
  <c r="E71" i="11" s="1"/>
  <c r="I71" i="11" a="1"/>
  <c r="I71" i="11" s="1"/>
  <c r="A73" i="11"/>
  <c r="B72" i="11"/>
  <c r="K69" i="11"/>
  <c r="L69" i="11" s="1"/>
  <c r="M69" i="11" s="1"/>
  <c r="H69" i="11"/>
  <c r="L69" i="2"/>
  <c r="M69" i="2" s="1"/>
  <c r="F72" i="4"/>
  <c r="G72" i="4"/>
  <c r="A75" i="4"/>
  <c r="B74" i="4"/>
  <c r="H71" i="4"/>
  <c r="K71" i="4"/>
  <c r="L71" i="4" s="1"/>
  <c r="M71" i="4" s="1"/>
  <c r="J73" i="4" a="1"/>
  <c r="J73" i="4" s="1"/>
  <c r="I73" i="4" a="1"/>
  <c r="I73" i="4" s="1"/>
  <c r="C73" i="4"/>
  <c r="D73" i="4" s="1"/>
  <c r="E73" i="4" s="1"/>
  <c r="I72" i="2" a="1"/>
  <c r="I72" i="2" s="1"/>
  <c r="J72" i="2" a="1"/>
  <c r="J72" i="2" s="1"/>
  <c r="C72" i="2"/>
  <c r="D72" i="2" s="1"/>
  <c r="E72" i="2" s="1"/>
  <c r="A74" i="2"/>
  <c r="B73" i="2"/>
  <c r="F71" i="2"/>
  <c r="G71" i="2"/>
  <c r="H70" i="2"/>
  <c r="K70" i="2"/>
  <c r="L70" i="2" s="1"/>
  <c r="M70" i="2" s="1"/>
  <c r="H157" i="13" l="1"/>
  <c r="K157" i="13"/>
  <c r="L157" i="13" s="1"/>
  <c r="M157" i="13" s="1"/>
  <c r="G158" i="13"/>
  <c r="F158" i="13"/>
  <c r="J159" i="13" a="1"/>
  <c r="J159" i="13" s="1"/>
  <c r="C159" i="13"/>
  <c r="D159" i="13" s="1"/>
  <c r="E159" i="13" s="1"/>
  <c r="I159" i="13" a="1"/>
  <c r="I159" i="13" s="1"/>
  <c r="B160" i="13"/>
  <c r="A161" i="13"/>
  <c r="H70" i="13"/>
  <c r="K70" i="13"/>
  <c r="I72" i="13" a="1"/>
  <c r="I72" i="13" s="1"/>
  <c r="C72" i="13"/>
  <c r="D72" i="13" s="1"/>
  <c r="E72" i="13" s="1"/>
  <c r="J72" i="13" a="1"/>
  <c r="J72" i="13" s="1"/>
  <c r="B73" i="13"/>
  <c r="A74" i="13"/>
  <c r="F71" i="13"/>
  <c r="G71" i="13"/>
  <c r="K153" i="11"/>
  <c r="L153" i="11" s="1"/>
  <c r="M153" i="11" s="1"/>
  <c r="H153" i="11"/>
  <c r="I155" i="11" a="1"/>
  <c r="I155" i="11" s="1"/>
  <c r="J155" i="11" a="1"/>
  <c r="J155" i="11" s="1"/>
  <c r="C155" i="11"/>
  <c r="D155" i="11" s="1"/>
  <c r="E155" i="11" s="1"/>
  <c r="A157" i="11"/>
  <c r="B156" i="11"/>
  <c r="G154" i="11"/>
  <c r="F154" i="11"/>
  <c r="A74" i="11"/>
  <c r="B73" i="11"/>
  <c r="I72" i="11" a="1"/>
  <c r="I72" i="11" s="1"/>
  <c r="C72" i="11"/>
  <c r="D72" i="11" s="1"/>
  <c r="E72" i="11" s="1"/>
  <c r="J72" i="11" a="1"/>
  <c r="J72" i="11" s="1"/>
  <c r="F71" i="11"/>
  <c r="G71" i="11"/>
  <c r="H70" i="11"/>
  <c r="K70" i="11"/>
  <c r="L70" i="11" s="1"/>
  <c r="M70" i="11" s="1"/>
  <c r="F73" i="4"/>
  <c r="G73" i="4"/>
  <c r="C74" i="4"/>
  <c r="D74" i="4" s="1"/>
  <c r="E74" i="4" s="1"/>
  <c r="J74" i="4" a="1"/>
  <c r="J74" i="4" s="1"/>
  <c r="I74" i="4" a="1"/>
  <c r="I74" i="4" s="1"/>
  <c r="B75" i="4"/>
  <c r="A76" i="4"/>
  <c r="H72" i="4"/>
  <c r="K72" i="4"/>
  <c r="L72" i="4" s="1"/>
  <c r="M72" i="4" s="1"/>
  <c r="H71" i="2"/>
  <c r="K71" i="2"/>
  <c r="L71" i="2" s="1"/>
  <c r="M71" i="2" s="1"/>
  <c r="J73" i="2" a="1"/>
  <c r="J73" i="2" s="1"/>
  <c r="C73" i="2"/>
  <c r="D73" i="2" s="1"/>
  <c r="E73" i="2" s="1"/>
  <c r="I73" i="2" a="1"/>
  <c r="I73" i="2" s="1"/>
  <c r="B74" i="2"/>
  <c r="A75" i="2"/>
  <c r="F72" i="2"/>
  <c r="G72" i="2"/>
  <c r="H158" i="13" l="1"/>
  <c r="K158" i="13"/>
  <c r="L158" i="13" s="1"/>
  <c r="M158" i="13" s="1"/>
  <c r="J160" i="13" a="1"/>
  <c r="J160" i="13" s="1"/>
  <c r="C160" i="13"/>
  <c r="D160" i="13" s="1"/>
  <c r="E160" i="13" s="1"/>
  <c r="I160" i="13" a="1"/>
  <c r="I160" i="13" s="1"/>
  <c r="F159" i="13"/>
  <c r="G159" i="13"/>
  <c r="B161" i="13"/>
  <c r="A162" i="13"/>
  <c r="H71" i="13"/>
  <c r="K71" i="13"/>
  <c r="L71" i="13" s="1"/>
  <c r="M71" i="13" s="1"/>
  <c r="B74" i="13"/>
  <c r="A75" i="13"/>
  <c r="L70" i="13"/>
  <c r="M70" i="13" s="1"/>
  <c r="I73" i="13" a="1"/>
  <c r="I73" i="13" s="1"/>
  <c r="J73" i="13" a="1"/>
  <c r="J73" i="13" s="1"/>
  <c r="C73" i="13"/>
  <c r="D73" i="13" s="1"/>
  <c r="E73" i="13" s="1"/>
  <c r="F72" i="13"/>
  <c r="G72" i="13"/>
  <c r="J156" i="11" a="1"/>
  <c r="J156" i="11" s="1"/>
  <c r="C156" i="11"/>
  <c r="D156" i="11" s="1"/>
  <c r="E156" i="11" s="1"/>
  <c r="I156" i="11" a="1"/>
  <c r="I156" i="11" s="1"/>
  <c r="A158" i="11"/>
  <c r="B157" i="11"/>
  <c r="H154" i="11"/>
  <c r="K154" i="11"/>
  <c r="L154" i="11" s="1"/>
  <c r="M154" i="11" s="1"/>
  <c r="F155" i="11"/>
  <c r="G155" i="11"/>
  <c r="H71" i="11"/>
  <c r="K71" i="11"/>
  <c r="L71" i="11" s="1"/>
  <c r="M71" i="11" s="1"/>
  <c r="F72" i="11"/>
  <c r="G72" i="11"/>
  <c r="I73" i="11" a="1"/>
  <c r="I73" i="11" s="1"/>
  <c r="C73" i="11"/>
  <c r="D73" i="11" s="1"/>
  <c r="E73" i="11" s="1"/>
  <c r="J73" i="11" a="1"/>
  <c r="J73" i="11" s="1"/>
  <c r="B74" i="11"/>
  <c r="A75" i="11"/>
  <c r="A77" i="4"/>
  <c r="B76" i="4"/>
  <c r="I75" i="4" a="1"/>
  <c r="I75" i="4" s="1"/>
  <c r="C75" i="4"/>
  <c r="D75" i="4" s="1"/>
  <c r="E75" i="4" s="1"/>
  <c r="J75" i="4" a="1"/>
  <c r="J75" i="4" s="1"/>
  <c r="F74" i="4"/>
  <c r="G74" i="4"/>
  <c r="H73" i="4"/>
  <c r="K73" i="4"/>
  <c r="L73" i="4" s="1"/>
  <c r="M73" i="4" s="1"/>
  <c r="H72" i="2"/>
  <c r="K72" i="2"/>
  <c r="L72" i="2" s="1"/>
  <c r="M72" i="2" s="1"/>
  <c r="A76" i="2"/>
  <c r="B75" i="2"/>
  <c r="C74" i="2"/>
  <c r="D74" i="2" s="1"/>
  <c r="E74" i="2" s="1"/>
  <c r="J74" i="2" a="1"/>
  <c r="J74" i="2" s="1"/>
  <c r="I74" i="2" a="1"/>
  <c r="I74" i="2" s="1"/>
  <c r="F73" i="2"/>
  <c r="G73" i="2"/>
  <c r="I161" i="13" l="1" a="1"/>
  <c r="I161" i="13" s="1"/>
  <c r="C161" i="13"/>
  <c r="D161" i="13" s="1"/>
  <c r="E161" i="13" s="1"/>
  <c r="J161" i="13" a="1"/>
  <c r="J161" i="13" s="1"/>
  <c r="K159" i="13"/>
  <c r="L159" i="13" s="1"/>
  <c r="M159" i="13" s="1"/>
  <c r="H159" i="13"/>
  <c r="B162" i="13"/>
  <c r="A163" i="13"/>
  <c r="G160" i="13"/>
  <c r="F160" i="13"/>
  <c r="H72" i="13"/>
  <c r="K72" i="13"/>
  <c r="L72" i="13" s="1"/>
  <c r="M72" i="13" s="1"/>
  <c r="C74" i="13"/>
  <c r="D74" i="13" s="1"/>
  <c r="E74" i="13" s="1"/>
  <c r="J74" i="13" a="1"/>
  <c r="J74" i="13" s="1"/>
  <c r="I74" i="13" a="1"/>
  <c r="I74" i="13" s="1"/>
  <c r="B75" i="13"/>
  <c r="A76" i="13"/>
  <c r="F73" i="13"/>
  <c r="G73" i="13"/>
  <c r="F156" i="11"/>
  <c r="G156" i="11"/>
  <c r="H155" i="11"/>
  <c r="K155" i="11"/>
  <c r="L155" i="11" s="1"/>
  <c r="M155" i="11" s="1"/>
  <c r="J157" i="11" a="1"/>
  <c r="J157" i="11" s="1"/>
  <c r="C157" i="11"/>
  <c r="D157" i="11" s="1"/>
  <c r="E157" i="11" s="1"/>
  <c r="I157" i="11" a="1"/>
  <c r="I157" i="11" s="1"/>
  <c r="B158" i="11"/>
  <c r="A159" i="11"/>
  <c r="A76" i="11"/>
  <c r="B75" i="11"/>
  <c r="F73" i="11"/>
  <c r="G73" i="11"/>
  <c r="C74" i="11"/>
  <c r="D74" i="11" s="1"/>
  <c r="E74" i="11" s="1"/>
  <c r="I74" i="11" a="1"/>
  <c r="I74" i="11" s="1"/>
  <c r="J74" i="11" a="1"/>
  <c r="J74" i="11" s="1"/>
  <c r="H72" i="11"/>
  <c r="K72" i="11"/>
  <c r="L72" i="11" s="1"/>
  <c r="M72" i="11" s="1"/>
  <c r="H74" i="4"/>
  <c r="K74" i="4"/>
  <c r="L74" i="4" s="1"/>
  <c r="M74" i="4" s="1"/>
  <c r="G75" i="4"/>
  <c r="F75" i="4"/>
  <c r="J76" i="4" a="1"/>
  <c r="J76" i="4" s="1"/>
  <c r="I76" i="4" a="1"/>
  <c r="I76" i="4" s="1"/>
  <c r="C76" i="4"/>
  <c r="D76" i="4" s="1"/>
  <c r="E76" i="4" s="1"/>
  <c r="B77" i="4"/>
  <c r="A78" i="4"/>
  <c r="H73" i="2"/>
  <c r="K73" i="2"/>
  <c r="L73" i="2" s="1"/>
  <c r="M73" i="2" s="1"/>
  <c r="A77" i="2"/>
  <c r="B76" i="2"/>
  <c r="C75" i="2"/>
  <c r="D75" i="2" s="1"/>
  <c r="E75" i="2" s="1"/>
  <c r="J75" i="2" a="1"/>
  <c r="J75" i="2" s="1"/>
  <c r="I75" i="2" a="1"/>
  <c r="I75" i="2" s="1"/>
  <c r="F74" i="2"/>
  <c r="K74" i="2" s="1"/>
  <c r="G74" i="2"/>
  <c r="H74" i="2" s="1"/>
  <c r="K160" i="13" l="1"/>
  <c r="L160" i="13" s="1"/>
  <c r="M160" i="13" s="1"/>
  <c r="H160" i="13"/>
  <c r="A164" i="13"/>
  <c r="B163" i="13"/>
  <c r="C162" i="13"/>
  <c r="D162" i="13" s="1"/>
  <c r="E162" i="13" s="1"/>
  <c r="J162" i="13" a="1"/>
  <c r="J162" i="13" s="1"/>
  <c r="I162" i="13" a="1"/>
  <c r="I162" i="13" s="1"/>
  <c r="F161" i="13"/>
  <c r="G161" i="13"/>
  <c r="H73" i="13"/>
  <c r="K73" i="13"/>
  <c r="L73" i="13" s="1"/>
  <c r="M73" i="13" s="1"/>
  <c r="B76" i="13"/>
  <c r="A77" i="13"/>
  <c r="F74" i="13"/>
  <c r="G74" i="13"/>
  <c r="J75" i="13" a="1"/>
  <c r="J75" i="13" s="1"/>
  <c r="C75" i="13"/>
  <c r="D75" i="13" s="1"/>
  <c r="E75" i="13" s="1"/>
  <c r="I75" i="13" a="1"/>
  <c r="I75" i="13" s="1"/>
  <c r="C158" i="11"/>
  <c r="D158" i="11" s="1"/>
  <c r="E158" i="11" s="1"/>
  <c r="J158" i="11" a="1"/>
  <c r="J158" i="11" s="1"/>
  <c r="I158" i="11" a="1"/>
  <c r="I158" i="11" s="1"/>
  <c r="A160" i="11"/>
  <c r="B159" i="11"/>
  <c r="G157" i="11"/>
  <c r="F157" i="11"/>
  <c r="K156" i="11"/>
  <c r="L156" i="11" s="1"/>
  <c r="M156" i="11" s="1"/>
  <c r="H156" i="11"/>
  <c r="H73" i="11"/>
  <c r="K73" i="11"/>
  <c r="L73" i="11" s="1"/>
  <c r="M73" i="11" s="1"/>
  <c r="F74" i="11"/>
  <c r="G74" i="11"/>
  <c r="J75" i="11" a="1"/>
  <c r="J75" i="11" s="1"/>
  <c r="C75" i="11"/>
  <c r="D75" i="11" s="1"/>
  <c r="E75" i="11" s="1"/>
  <c r="I75" i="11" a="1"/>
  <c r="I75" i="11" s="1"/>
  <c r="A77" i="11"/>
  <c r="B76" i="11"/>
  <c r="A79" i="4"/>
  <c r="B78" i="4"/>
  <c r="I77" i="4" a="1"/>
  <c r="I77" i="4" s="1"/>
  <c r="C77" i="4"/>
  <c r="D77" i="4" s="1"/>
  <c r="E77" i="4" s="1"/>
  <c r="J77" i="4" a="1"/>
  <c r="J77" i="4" s="1"/>
  <c r="F76" i="4"/>
  <c r="G76" i="4"/>
  <c r="H75" i="4"/>
  <c r="K75" i="4"/>
  <c r="L75" i="4" s="1"/>
  <c r="M75" i="4" s="1"/>
  <c r="L74" i="2"/>
  <c r="M74" i="2" s="1"/>
  <c r="J76" i="2" a="1"/>
  <c r="J76" i="2" s="1"/>
  <c r="I76" i="2" a="1"/>
  <c r="I76" i="2" s="1"/>
  <c r="C76" i="2"/>
  <c r="D76" i="2" s="1"/>
  <c r="E76" i="2" s="1"/>
  <c r="A78" i="2"/>
  <c r="B77" i="2"/>
  <c r="G75" i="2"/>
  <c r="F75" i="2"/>
  <c r="H161" i="13" l="1"/>
  <c r="K161" i="13"/>
  <c r="L161" i="13" s="1"/>
  <c r="M161" i="13" s="1"/>
  <c r="G162" i="13"/>
  <c r="F162" i="13"/>
  <c r="J163" i="13" a="1"/>
  <c r="J163" i="13" s="1"/>
  <c r="C163" i="13"/>
  <c r="D163" i="13" s="1"/>
  <c r="E163" i="13" s="1"/>
  <c r="I163" i="13" a="1"/>
  <c r="I163" i="13" s="1"/>
  <c r="B164" i="13"/>
  <c r="A165" i="13"/>
  <c r="G75" i="13"/>
  <c r="F75" i="13"/>
  <c r="I76" i="13" a="1"/>
  <c r="I76" i="13" s="1"/>
  <c r="C76" i="13"/>
  <c r="D76" i="13" s="1"/>
  <c r="E76" i="13" s="1"/>
  <c r="J76" i="13" a="1"/>
  <c r="J76" i="13" s="1"/>
  <c r="H74" i="13"/>
  <c r="K74" i="13"/>
  <c r="L74" i="13" s="1"/>
  <c r="M74" i="13" s="1"/>
  <c r="A78" i="13"/>
  <c r="B77" i="13"/>
  <c r="H157" i="11"/>
  <c r="K157" i="11"/>
  <c r="L157" i="11" s="1"/>
  <c r="M157" i="11" s="1"/>
  <c r="J159" i="11" a="1"/>
  <c r="J159" i="11" s="1"/>
  <c r="I159" i="11" a="1"/>
  <c r="I159" i="11" s="1"/>
  <c r="C159" i="11"/>
  <c r="D159" i="11" s="1"/>
  <c r="E159" i="11" s="1"/>
  <c r="A161" i="11"/>
  <c r="B160" i="11"/>
  <c r="G158" i="11"/>
  <c r="F158" i="11"/>
  <c r="H74" i="11"/>
  <c r="K74" i="11"/>
  <c r="L74" i="11" s="1"/>
  <c r="M74" i="11" s="1"/>
  <c r="I76" i="11" a="1"/>
  <c r="I76" i="11" s="1"/>
  <c r="C76" i="11"/>
  <c r="D76" i="11" s="1"/>
  <c r="E76" i="11" s="1"/>
  <c r="J76" i="11" a="1"/>
  <c r="J76" i="11" s="1"/>
  <c r="B77" i="11"/>
  <c r="A78" i="11"/>
  <c r="G75" i="11"/>
  <c r="F75" i="11"/>
  <c r="F77" i="4"/>
  <c r="G77" i="4"/>
  <c r="H76" i="4"/>
  <c r="K76" i="4"/>
  <c r="L76" i="4" s="1"/>
  <c r="M76" i="4" s="1"/>
  <c r="C78" i="4"/>
  <c r="D78" i="4" s="1"/>
  <c r="E78" i="4" s="1"/>
  <c r="I78" i="4" a="1"/>
  <c r="I78" i="4" s="1"/>
  <c r="J78" i="4" a="1"/>
  <c r="J78" i="4" s="1"/>
  <c r="B79" i="4"/>
  <c r="A80" i="4"/>
  <c r="A79" i="2"/>
  <c r="B78" i="2"/>
  <c r="H75" i="2"/>
  <c r="K75" i="2"/>
  <c r="I77" i="2" a="1"/>
  <c r="I77" i="2" s="1"/>
  <c r="J77" i="2" a="1"/>
  <c r="J77" i="2" s="1"/>
  <c r="C77" i="2"/>
  <c r="D77" i="2" s="1"/>
  <c r="E77" i="2" s="1"/>
  <c r="G76" i="2"/>
  <c r="F76" i="2"/>
  <c r="B165" i="13" l="1"/>
  <c r="A166" i="13"/>
  <c r="I164" i="13" a="1"/>
  <c r="I164" i="13" s="1"/>
  <c r="J164" i="13" a="1"/>
  <c r="J164" i="13" s="1"/>
  <c r="C164" i="13"/>
  <c r="D164" i="13" s="1"/>
  <c r="E164" i="13" s="1"/>
  <c r="F163" i="13"/>
  <c r="G163" i="13"/>
  <c r="H162" i="13"/>
  <c r="K162" i="13"/>
  <c r="L162" i="13" s="1"/>
  <c r="M162" i="13" s="1"/>
  <c r="I77" i="13" a="1"/>
  <c r="I77" i="13" s="1"/>
  <c r="J77" i="13" a="1"/>
  <c r="J77" i="13" s="1"/>
  <c r="C77" i="13"/>
  <c r="D77" i="13" s="1"/>
  <c r="E77" i="13" s="1"/>
  <c r="B78" i="13"/>
  <c r="A79" i="13"/>
  <c r="F76" i="13"/>
  <c r="G76" i="13"/>
  <c r="H75" i="13"/>
  <c r="K75" i="13"/>
  <c r="L75" i="13" s="1"/>
  <c r="M75" i="13" s="1"/>
  <c r="G159" i="11"/>
  <c r="F159" i="11"/>
  <c r="H158" i="11"/>
  <c r="K158" i="11"/>
  <c r="L158" i="11" s="1"/>
  <c r="M158" i="11" s="1"/>
  <c r="J160" i="11" a="1"/>
  <c r="J160" i="11" s="1"/>
  <c r="C160" i="11"/>
  <c r="D160" i="11" s="1"/>
  <c r="E160" i="11" s="1"/>
  <c r="I160" i="11" a="1"/>
  <c r="I160" i="11" s="1"/>
  <c r="B161" i="11"/>
  <c r="A162" i="11"/>
  <c r="H75" i="11"/>
  <c r="K75" i="11"/>
  <c r="L75" i="11" s="1"/>
  <c r="M75" i="11" s="1"/>
  <c r="B78" i="11"/>
  <c r="A79" i="11"/>
  <c r="I77" i="11" a="1"/>
  <c r="I77" i="11" s="1"/>
  <c r="C77" i="11"/>
  <c r="D77" i="11" s="1"/>
  <c r="E77" i="11" s="1"/>
  <c r="J77" i="11" a="1"/>
  <c r="J77" i="11" s="1"/>
  <c r="F76" i="11"/>
  <c r="G76" i="11"/>
  <c r="L75" i="2"/>
  <c r="M75" i="2" s="1"/>
  <c r="G78" i="4"/>
  <c r="F78" i="4"/>
  <c r="I79" i="4" a="1"/>
  <c r="I79" i="4" s="1"/>
  <c r="C79" i="4"/>
  <c r="D79" i="4" s="1"/>
  <c r="E79" i="4" s="1"/>
  <c r="J79" i="4" a="1"/>
  <c r="J79" i="4" s="1"/>
  <c r="B80" i="4"/>
  <c r="A81" i="4"/>
  <c r="H77" i="4"/>
  <c r="K77" i="4"/>
  <c r="L77" i="4" s="1"/>
  <c r="M77" i="4" s="1"/>
  <c r="H76" i="2"/>
  <c r="K76" i="2"/>
  <c r="G77" i="2"/>
  <c r="F77" i="2"/>
  <c r="J78" i="2" a="1"/>
  <c r="J78" i="2" s="1"/>
  <c r="C78" i="2"/>
  <c r="D78" i="2" s="1"/>
  <c r="E78" i="2" s="1"/>
  <c r="I78" i="2" a="1"/>
  <c r="I78" i="2" s="1"/>
  <c r="A80" i="2"/>
  <c r="B79" i="2"/>
  <c r="G164" i="13" l="1"/>
  <c r="F164" i="13"/>
  <c r="B166" i="13"/>
  <c r="A167" i="13"/>
  <c r="H163" i="13"/>
  <c r="K163" i="13"/>
  <c r="L163" i="13" s="1"/>
  <c r="M163" i="13" s="1"/>
  <c r="I165" i="13" a="1"/>
  <c r="I165" i="13" s="1"/>
  <c r="J165" i="13" a="1"/>
  <c r="J165" i="13" s="1"/>
  <c r="C165" i="13"/>
  <c r="D165" i="13" s="1"/>
  <c r="E165" i="13" s="1"/>
  <c r="B79" i="13"/>
  <c r="A80" i="13"/>
  <c r="C78" i="13"/>
  <c r="D78" i="13" s="1"/>
  <c r="E78" i="13" s="1"/>
  <c r="J78" i="13" a="1"/>
  <c r="J78" i="13" s="1"/>
  <c r="I78" i="13" a="1"/>
  <c r="I78" i="13" s="1"/>
  <c r="H76" i="13"/>
  <c r="K76" i="13"/>
  <c r="L76" i="13" s="1"/>
  <c r="M76" i="13" s="1"/>
  <c r="F77" i="13"/>
  <c r="G77" i="13"/>
  <c r="F160" i="11"/>
  <c r="G160" i="11"/>
  <c r="A163" i="11"/>
  <c r="B162" i="11"/>
  <c r="I161" i="11" a="1"/>
  <c r="I161" i="11" s="1"/>
  <c r="J161" i="11" a="1"/>
  <c r="J161" i="11" s="1"/>
  <c r="C161" i="11"/>
  <c r="D161" i="11" s="1"/>
  <c r="E161" i="11" s="1"/>
  <c r="K159" i="11"/>
  <c r="L159" i="11" s="1"/>
  <c r="M159" i="11" s="1"/>
  <c r="H159" i="11"/>
  <c r="F77" i="11"/>
  <c r="G77" i="11"/>
  <c r="C78" i="11"/>
  <c r="D78" i="11" s="1"/>
  <c r="E78" i="11" s="1"/>
  <c r="I78" i="11" a="1"/>
  <c r="I78" i="11" s="1"/>
  <c r="J78" i="11" a="1"/>
  <c r="J78" i="11" s="1"/>
  <c r="H76" i="11"/>
  <c r="K76" i="11"/>
  <c r="L76" i="11" s="1"/>
  <c r="M76" i="11" s="1"/>
  <c r="A80" i="11"/>
  <c r="B79" i="11"/>
  <c r="B81" i="4"/>
  <c r="A82" i="4"/>
  <c r="J80" i="4" a="1"/>
  <c r="J80" i="4" s="1"/>
  <c r="I80" i="4" a="1"/>
  <c r="I80" i="4" s="1"/>
  <c r="C80" i="4"/>
  <c r="D80" i="4" s="1"/>
  <c r="E80" i="4" s="1"/>
  <c r="F79" i="4"/>
  <c r="G79" i="4"/>
  <c r="H78" i="4"/>
  <c r="K78" i="4"/>
  <c r="L78" i="4" s="1"/>
  <c r="M78" i="4" s="1"/>
  <c r="L76" i="2"/>
  <c r="M76" i="2" s="1"/>
  <c r="C79" i="2"/>
  <c r="D79" i="2" s="1"/>
  <c r="E79" i="2" s="1"/>
  <c r="J79" i="2" a="1"/>
  <c r="J79" i="2" s="1"/>
  <c r="I79" i="2" a="1"/>
  <c r="I79" i="2" s="1"/>
  <c r="A81" i="2"/>
  <c r="B80" i="2"/>
  <c r="G78" i="2"/>
  <c r="F78" i="2"/>
  <c r="K77" i="2"/>
  <c r="H77" i="2"/>
  <c r="G165" i="13" l="1"/>
  <c r="F165" i="13"/>
  <c r="A168" i="13"/>
  <c r="B167" i="13"/>
  <c r="J166" i="13" a="1"/>
  <c r="J166" i="13" s="1"/>
  <c r="C166" i="13"/>
  <c r="D166" i="13" s="1"/>
  <c r="E166" i="13" s="1"/>
  <c r="I166" i="13" a="1"/>
  <c r="I166" i="13" s="1"/>
  <c r="K164" i="13"/>
  <c r="L164" i="13" s="1"/>
  <c r="M164" i="13" s="1"/>
  <c r="H164" i="13"/>
  <c r="H77" i="13"/>
  <c r="K77" i="13"/>
  <c r="L77" i="13" s="1"/>
  <c r="M77" i="13" s="1"/>
  <c r="F78" i="13"/>
  <c r="G78" i="13"/>
  <c r="B80" i="13"/>
  <c r="A81" i="13"/>
  <c r="J79" i="13" a="1"/>
  <c r="J79" i="13" s="1"/>
  <c r="C79" i="13"/>
  <c r="D79" i="13" s="1"/>
  <c r="E79" i="13" s="1"/>
  <c r="I79" i="13" a="1"/>
  <c r="I79" i="13" s="1"/>
  <c r="F161" i="11"/>
  <c r="G161" i="11"/>
  <c r="I162" i="11" a="1"/>
  <c r="I162" i="11" s="1"/>
  <c r="J162" i="11" a="1"/>
  <c r="J162" i="11" s="1"/>
  <c r="C162" i="11"/>
  <c r="D162" i="11" s="1"/>
  <c r="E162" i="11" s="1"/>
  <c r="A164" i="11"/>
  <c r="B163" i="11"/>
  <c r="K160" i="11"/>
  <c r="L160" i="11" s="1"/>
  <c r="M160" i="11" s="1"/>
  <c r="H160" i="11"/>
  <c r="J79" i="11" a="1"/>
  <c r="J79" i="11" s="1"/>
  <c r="C79" i="11"/>
  <c r="D79" i="11" s="1"/>
  <c r="E79" i="11" s="1"/>
  <c r="I79" i="11" a="1"/>
  <c r="I79" i="11" s="1"/>
  <c r="A81" i="11"/>
  <c r="B80" i="11"/>
  <c r="F78" i="11"/>
  <c r="G78" i="11"/>
  <c r="H77" i="11"/>
  <c r="K77" i="11"/>
  <c r="L77" i="11" s="1"/>
  <c r="M77" i="11" s="1"/>
  <c r="H79" i="4"/>
  <c r="K79" i="4"/>
  <c r="L79" i="4" s="1"/>
  <c r="M79" i="4" s="1"/>
  <c r="G80" i="4"/>
  <c r="F80" i="4"/>
  <c r="A83" i="4"/>
  <c r="B82" i="4"/>
  <c r="C81" i="4"/>
  <c r="D81" i="4" s="1"/>
  <c r="E81" i="4" s="1"/>
  <c r="J81" i="4" a="1"/>
  <c r="J81" i="4" s="1"/>
  <c r="I81" i="4" a="1"/>
  <c r="I81" i="4" s="1"/>
  <c r="L77" i="2"/>
  <c r="M77" i="2" s="1"/>
  <c r="A82" i="2"/>
  <c r="B81" i="2"/>
  <c r="K78" i="2"/>
  <c r="H78" i="2"/>
  <c r="I80" i="2" a="1"/>
  <c r="I80" i="2" s="1"/>
  <c r="C80" i="2"/>
  <c r="D80" i="2" s="1"/>
  <c r="E80" i="2" s="1"/>
  <c r="J80" i="2" a="1"/>
  <c r="J80" i="2" s="1"/>
  <c r="F79" i="2"/>
  <c r="G79" i="2"/>
  <c r="G166" i="13" l="1"/>
  <c r="F166" i="13"/>
  <c r="J167" i="13" a="1"/>
  <c r="J167" i="13" s="1"/>
  <c r="C167" i="13"/>
  <c r="D167" i="13" s="1"/>
  <c r="E167" i="13" s="1"/>
  <c r="I167" i="13" a="1"/>
  <c r="I167" i="13" s="1"/>
  <c r="K165" i="13"/>
  <c r="L165" i="13" s="1"/>
  <c r="M165" i="13" s="1"/>
  <c r="H165" i="13"/>
  <c r="B168" i="13"/>
  <c r="A169" i="13"/>
  <c r="I80" i="13" a="1"/>
  <c r="I80" i="13" s="1"/>
  <c r="J80" i="13" a="1"/>
  <c r="J80" i="13" s="1"/>
  <c r="C80" i="13"/>
  <c r="D80" i="13" s="1"/>
  <c r="E80" i="13" s="1"/>
  <c r="F79" i="13"/>
  <c r="G79" i="13"/>
  <c r="B81" i="13"/>
  <c r="A82" i="13"/>
  <c r="H78" i="13"/>
  <c r="K78" i="13"/>
  <c r="L78" i="13" s="1"/>
  <c r="M78" i="13" s="1"/>
  <c r="J163" i="11" a="1"/>
  <c r="J163" i="11" s="1"/>
  <c r="C163" i="11"/>
  <c r="D163" i="11" s="1"/>
  <c r="E163" i="11" s="1"/>
  <c r="I163" i="11" a="1"/>
  <c r="I163" i="11" s="1"/>
  <c r="A165" i="11"/>
  <c r="B164" i="11"/>
  <c r="G162" i="11"/>
  <c r="F162" i="11"/>
  <c r="H161" i="11"/>
  <c r="K161" i="11"/>
  <c r="L161" i="11" s="1"/>
  <c r="M161" i="11" s="1"/>
  <c r="H78" i="11"/>
  <c r="K78" i="11"/>
  <c r="L78" i="11" s="1"/>
  <c r="M78" i="11" s="1"/>
  <c r="I80" i="11" a="1"/>
  <c r="I80" i="11" s="1"/>
  <c r="J80" i="11" a="1"/>
  <c r="J80" i="11" s="1"/>
  <c r="C80" i="11"/>
  <c r="D80" i="11" s="1"/>
  <c r="E80" i="11" s="1"/>
  <c r="A82" i="11"/>
  <c r="B81" i="11"/>
  <c r="F79" i="11"/>
  <c r="G79" i="11"/>
  <c r="G81" i="4"/>
  <c r="F81" i="4"/>
  <c r="C82" i="4"/>
  <c r="D82" i="4" s="1"/>
  <c r="E82" i="4" s="1"/>
  <c r="J82" i="4" a="1"/>
  <c r="J82" i="4" s="1"/>
  <c r="I82" i="4" a="1"/>
  <c r="I82" i="4" s="1"/>
  <c r="B83" i="4"/>
  <c r="A84" i="4"/>
  <c r="H80" i="4"/>
  <c r="K80" i="4"/>
  <c r="L80" i="4" s="1"/>
  <c r="M80" i="4" s="1"/>
  <c r="L78" i="2"/>
  <c r="M78" i="2" s="1"/>
  <c r="K79" i="2"/>
  <c r="H79" i="2"/>
  <c r="G80" i="2"/>
  <c r="F80" i="2"/>
  <c r="I81" i="2" a="1"/>
  <c r="I81" i="2" s="1"/>
  <c r="J81" i="2" a="1"/>
  <c r="J81" i="2" s="1"/>
  <c r="C81" i="2"/>
  <c r="D81" i="2" s="1"/>
  <c r="E81" i="2" s="1"/>
  <c r="B82" i="2"/>
  <c r="A83" i="2"/>
  <c r="I168" i="13" l="1" a="1"/>
  <c r="I168" i="13" s="1"/>
  <c r="C168" i="13"/>
  <c r="D168" i="13" s="1"/>
  <c r="E168" i="13" s="1"/>
  <c r="J168" i="13" a="1"/>
  <c r="J168" i="13" s="1"/>
  <c r="B169" i="13"/>
  <c r="A170" i="13"/>
  <c r="G167" i="13"/>
  <c r="F167" i="13"/>
  <c r="K166" i="13"/>
  <c r="L166" i="13" s="1"/>
  <c r="M166" i="13" s="1"/>
  <c r="H166" i="13"/>
  <c r="I81" i="13" a="1"/>
  <c r="I81" i="13" s="1"/>
  <c r="J81" i="13" a="1"/>
  <c r="J81" i="13" s="1"/>
  <c r="C81" i="13"/>
  <c r="D81" i="13" s="1"/>
  <c r="E81" i="13" s="1"/>
  <c r="H79" i="13"/>
  <c r="K79" i="13"/>
  <c r="L79" i="13" s="1"/>
  <c r="M79" i="13" s="1"/>
  <c r="B82" i="13"/>
  <c r="A83" i="13"/>
  <c r="F80" i="13"/>
  <c r="G80" i="13"/>
  <c r="H162" i="11"/>
  <c r="K162" i="11"/>
  <c r="L162" i="11" s="1"/>
  <c r="M162" i="11" s="1"/>
  <c r="J164" i="11" a="1"/>
  <c r="J164" i="11" s="1"/>
  <c r="C164" i="11"/>
  <c r="D164" i="11" s="1"/>
  <c r="E164" i="11" s="1"/>
  <c r="I164" i="11" a="1"/>
  <c r="I164" i="11" s="1"/>
  <c r="B165" i="11"/>
  <c r="A166" i="11"/>
  <c r="F163" i="11"/>
  <c r="G163" i="11"/>
  <c r="H79" i="11"/>
  <c r="K79" i="11"/>
  <c r="L79" i="11" s="1"/>
  <c r="M79" i="11" s="1"/>
  <c r="I81" i="11" a="1"/>
  <c r="I81" i="11" s="1"/>
  <c r="C81" i="11"/>
  <c r="D81" i="11" s="1"/>
  <c r="E81" i="11" s="1"/>
  <c r="J81" i="11" a="1"/>
  <c r="J81" i="11" s="1"/>
  <c r="B82" i="11"/>
  <c r="A83" i="11"/>
  <c r="F80" i="11"/>
  <c r="G80" i="11"/>
  <c r="A85" i="4"/>
  <c r="B84" i="4"/>
  <c r="C83" i="4"/>
  <c r="D83" i="4" s="1"/>
  <c r="E83" i="4" s="1"/>
  <c r="J83" i="4" a="1"/>
  <c r="J83" i="4" s="1"/>
  <c r="I83" i="4" a="1"/>
  <c r="I83" i="4" s="1"/>
  <c r="F82" i="4"/>
  <c r="G82" i="4"/>
  <c r="H81" i="4"/>
  <c r="K81" i="4"/>
  <c r="L81" i="4" s="1"/>
  <c r="M81" i="4" s="1"/>
  <c r="L79" i="2"/>
  <c r="M79" i="2" s="1"/>
  <c r="A84" i="2"/>
  <c r="B83" i="2"/>
  <c r="I82" i="2" a="1"/>
  <c r="I82" i="2" s="1"/>
  <c r="C82" i="2"/>
  <c r="D82" i="2" s="1"/>
  <c r="E82" i="2" s="1"/>
  <c r="J82" i="2" a="1"/>
  <c r="J82" i="2" s="1"/>
  <c r="K80" i="2"/>
  <c r="L80" i="2" s="1"/>
  <c r="M80" i="2" s="1"/>
  <c r="H80" i="2"/>
  <c r="G81" i="2"/>
  <c r="F81" i="2"/>
  <c r="B170" i="13" l="1"/>
  <c r="A171" i="13"/>
  <c r="K167" i="13"/>
  <c r="L167" i="13" s="1"/>
  <c r="M167" i="13" s="1"/>
  <c r="H167" i="13"/>
  <c r="C169" i="13"/>
  <c r="D169" i="13" s="1"/>
  <c r="E169" i="13" s="1"/>
  <c r="I169" i="13" a="1"/>
  <c r="I169" i="13" s="1"/>
  <c r="J169" i="13" a="1"/>
  <c r="J169" i="13" s="1"/>
  <c r="G168" i="13"/>
  <c r="F168" i="13"/>
  <c r="H80" i="13"/>
  <c r="K80" i="13"/>
  <c r="L80" i="13" s="1"/>
  <c r="M80" i="13" s="1"/>
  <c r="C82" i="13"/>
  <c r="D82" i="13" s="1"/>
  <c r="E82" i="13" s="1"/>
  <c r="I82" i="13" a="1"/>
  <c r="I82" i="13" s="1"/>
  <c r="J82" i="13" a="1"/>
  <c r="J82" i="13" s="1"/>
  <c r="B83" i="13"/>
  <c r="A84" i="13"/>
  <c r="F81" i="13"/>
  <c r="G81" i="13"/>
  <c r="K163" i="11"/>
  <c r="L163" i="11" s="1"/>
  <c r="M163" i="11" s="1"/>
  <c r="H163" i="11"/>
  <c r="B166" i="11"/>
  <c r="A167" i="11"/>
  <c r="C165" i="11"/>
  <c r="D165" i="11" s="1"/>
  <c r="E165" i="11" s="1"/>
  <c r="I165" i="11" a="1"/>
  <c r="I165" i="11" s="1"/>
  <c r="J165" i="11" a="1"/>
  <c r="J165" i="11" s="1"/>
  <c r="F164" i="11"/>
  <c r="G164" i="11"/>
  <c r="B83" i="11"/>
  <c r="A84" i="11"/>
  <c r="H80" i="11"/>
  <c r="K80" i="11"/>
  <c r="L80" i="11" s="1"/>
  <c r="M80" i="11" s="1"/>
  <c r="C82" i="11"/>
  <c r="D82" i="11" s="1"/>
  <c r="E82" i="11" s="1"/>
  <c r="I82" i="11" a="1"/>
  <c r="I82" i="11" s="1"/>
  <c r="J82" i="11" a="1"/>
  <c r="J82" i="11" s="1"/>
  <c r="F81" i="11"/>
  <c r="G81" i="11"/>
  <c r="H82" i="4"/>
  <c r="K82" i="4"/>
  <c r="F83" i="4"/>
  <c r="G83" i="4"/>
  <c r="J84" i="4" a="1"/>
  <c r="J84" i="4" s="1"/>
  <c r="I84" i="4" a="1"/>
  <c r="I84" i="4" s="1"/>
  <c r="C84" i="4"/>
  <c r="D84" i="4" s="1"/>
  <c r="E84" i="4" s="1"/>
  <c r="A86" i="4"/>
  <c r="B85" i="4"/>
  <c r="K81" i="2"/>
  <c r="H81" i="2"/>
  <c r="F82" i="2"/>
  <c r="G82" i="2"/>
  <c r="I83" i="2" a="1"/>
  <c r="I83" i="2" s="1"/>
  <c r="J83" i="2" a="1"/>
  <c r="J83" i="2" s="1"/>
  <c r="C83" i="2"/>
  <c r="D83" i="2" s="1"/>
  <c r="E83" i="2" s="1"/>
  <c r="A85" i="2"/>
  <c r="B84" i="2"/>
  <c r="K168" i="13" l="1"/>
  <c r="L168" i="13" s="1"/>
  <c r="M168" i="13" s="1"/>
  <c r="H168" i="13"/>
  <c r="G169" i="13"/>
  <c r="F169" i="13"/>
  <c r="A172" i="13"/>
  <c r="B171" i="13"/>
  <c r="J170" i="13" a="1"/>
  <c r="J170" i="13" s="1"/>
  <c r="I170" i="13" a="1"/>
  <c r="I170" i="13" s="1"/>
  <c r="C170" i="13"/>
  <c r="D170" i="13" s="1"/>
  <c r="E170" i="13" s="1"/>
  <c r="F82" i="13"/>
  <c r="G82" i="13"/>
  <c r="K81" i="13"/>
  <c r="L81" i="13" s="1"/>
  <c r="M81" i="13" s="1"/>
  <c r="H81" i="13"/>
  <c r="B84" i="13"/>
  <c r="A85" i="13"/>
  <c r="J83" i="13" a="1"/>
  <c r="J83" i="13" s="1"/>
  <c r="C83" i="13"/>
  <c r="D83" i="13" s="1"/>
  <c r="E83" i="13" s="1"/>
  <c r="I83" i="13" a="1"/>
  <c r="I83" i="13" s="1"/>
  <c r="K164" i="11"/>
  <c r="L164" i="11" s="1"/>
  <c r="M164" i="11" s="1"/>
  <c r="H164" i="11"/>
  <c r="F165" i="11"/>
  <c r="G165" i="11"/>
  <c r="A168" i="11"/>
  <c r="B167" i="11"/>
  <c r="C166" i="11"/>
  <c r="D166" i="11" s="1"/>
  <c r="E166" i="11" s="1"/>
  <c r="I166" i="11" a="1"/>
  <c r="I166" i="11" s="1"/>
  <c r="J166" i="11" a="1"/>
  <c r="J166" i="11" s="1"/>
  <c r="H81" i="11"/>
  <c r="K81" i="11"/>
  <c r="L81" i="11" s="1"/>
  <c r="M81" i="11" s="1"/>
  <c r="F82" i="11"/>
  <c r="G82" i="11"/>
  <c r="B84" i="11"/>
  <c r="A85" i="11"/>
  <c r="J83" i="11" a="1"/>
  <c r="J83" i="11" s="1"/>
  <c r="C83" i="11"/>
  <c r="D83" i="11" s="1"/>
  <c r="E83" i="11" s="1"/>
  <c r="I83" i="11" a="1"/>
  <c r="I83" i="11" s="1"/>
  <c r="J85" i="4" a="1"/>
  <c r="J85" i="4" s="1"/>
  <c r="I85" i="4" a="1"/>
  <c r="I85" i="4" s="1"/>
  <c r="C85" i="4"/>
  <c r="D85" i="4" s="1"/>
  <c r="E85" i="4" s="1"/>
  <c r="A87" i="4"/>
  <c r="B86" i="4"/>
  <c r="F84" i="4"/>
  <c r="G84" i="4"/>
  <c r="H83" i="4"/>
  <c r="K83" i="4"/>
  <c r="L83" i="4" s="1"/>
  <c r="M83" i="4" s="1"/>
  <c r="L82" i="4"/>
  <c r="M82" i="4" s="1"/>
  <c r="L81" i="2"/>
  <c r="M81" i="2" s="1"/>
  <c r="J84" i="2" a="1"/>
  <c r="J84" i="2" s="1"/>
  <c r="C84" i="2"/>
  <c r="D84" i="2" s="1"/>
  <c r="E84" i="2" s="1"/>
  <c r="I84" i="2" a="1"/>
  <c r="I84" i="2" s="1"/>
  <c r="B85" i="2"/>
  <c r="A86" i="2"/>
  <c r="F83" i="2"/>
  <c r="G83" i="2"/>
  <c r="H82" i="2"/>
  <c r="K82" i="2"/>
  <c r="L82" i="2" s="1"/>
  <c r="M82" i="2" s="1"/>
  <c r="G170" i="13" l="1"/>
  <c r="F170" i="13"/>
  <c r="C171" i="13"/>
  <c r="D171" i="13" s="1"/>
  <c r="E171" i="13" s="1"/>
  <c r="I171" i="13" a="1"/>
  <c r="I171" i="13" s="1"/>
  <c r="J171" i="13" a="1"/>
  <c r="J171" i="13" s="1"/>
  <c r="B172" i="13"/>
  <c r="A173" i="13"/>
  <c r="K169" i="13"/>
  <c r="L169" i="13" s="1"/>
  <c r="M169" i="13" s="1"/>
  <c r="H169" i="13"/>
  <c r="A86" i="13"/>
  <c r="B85" i="13"/>
  <c r="F83" i="13"/>
  <c r="G83" i="13"/>
  <c r="I84" i="13" a="1"/>
  <c r="I84" i="13" s="1"/>
  <c r="J84" i="13" a="1"/>
  <c r="J84" i="13" s="1"/>
  <c r="C84" i="13"/>
  <c r="D84" i="13" s="1"/>
  <c r="E84" i="13" s="1"/>
  <c r="H82" i="13"/>
  <c r="K82" i="13"/>
  <c r="L82" i="13" s="1"/>
  <c r="M82" i="13" s="1"/>
  <c r="G166" i="11"/>
  <c r="F166" i="11"/>
  <c r="J167" i="11" a="1"/>
  <c r="J167" i="11" s="1"/>
  <c r="C167" i="11"/>
  <c r="D167" i="11" s="1"/>
  <c r="E167" i="11" s="1"/>
  <c r="I167" i="11" a="1"/>
  <c r="I167" i="11" s="1"/>
  <c r="B168" i="11"/>
  <c r="A169" i="11"/>
  <c r="H165" i="11"/>
  <c r="K165" i="11"/>
  <c r="L165" i="11" s="1"/>
  <c r="M165" i="11" s="1"/>
  <c r="F83" i="11"/>
  <c r="G83" i="11"/>
  <c r="A86" i="11"/>
  <c r="B85" i="11"/>
  <c r="I84" i="11" a="1"/>
  <c r="I84" i="11" s="1"/>
  <c r="C84" i="11"/>
  <c r="D84" i="11" s="1"/>
  <c r="E84" i="11" s="1"/>
  <c r="J84" i="11" a="1"/>
  <c r="J84" i="11" s="1"/>
  <c r="H82" i="11"/>
  <c r="K82" i="11"/>
  <c r="L82" i="11" s="1"/>
  <c r="M82" i="11" s="1"/>
  <c r="H84" i="4"/>
  <c r="K84" i="4"/>
  <c r="L84" i="4" s="1"/>
  <c r="M84" i="4" s="1"/>
  <c r="C86" i="4"/>
  <c r="D86" i="4" s="1"/>
  <c r="E86" i="4" s="1"/>
  <c r="J86" i="4" a="1"/>
  <c r="J86" i="4" s="1"/>
  <c r="I86" i="4" a="1"/>
  <c r="I86" i="4" s="1"/>
  <c r="B87" i="4"/>
  <c r="A88" i="4"/>
  <c r="G85" i="4"/>
  <c r="F85" i="4"/>
  <c r="G84" i="2"/>
  <c r="F84" i="2"/>
  <c r="H83" i="2"/>
  <c r="K83" i="2"/>
  <c r="L83" i="2" s="1"/>
  <c r="M83" i="2" s="1"/>
  <c r="A87" i="2"/>
  <c r="B86" i="2"/>
  <c r="I85" i="2" a="1"/>
  <c r="I85" i="2" s="1"/>
  <c r="C85" i="2"/>
  <c r="D85" i="2" s="1"/>
  <c r="E85" i="2" s="1"/>
  <c r="J85" i="2" a="1"/>
  <c r="J85" i="2" s="1"/>
  <c r="A174" i="13" l="1"/>
  <c r="B173" i="13"/>
  <c r="I172" i="13" a="1"/>
  <c r="I172" i="13" s="1"/>
  <c r="J172" i="13" a="1"/>
  <c r="J172" i="13" s="1"/>
  <c r="C172" i="13"/>
  <c r="D172" i="13" s="1"/>
  <c r="E172" i="13" s="1"/>
  <c r="F171" i="13"/>
  <c r="G171" i="13"/>
  <c r="H170" i="13"/>
  <c r="K170" i="13"/>
  <c r="L170" i="13" s="1"/>
  <c r="M170" i="13" s="1"/>
  <c r="F84" i="13"/>
  <c r="G84" i="13"/>
  <c r="I85" i="13" a="1"/>
  <c r="I85" i="13" s="1"/>
  <c r="J85" i="13" a="1"/>
  <c r="J85" i="13" s="1"/>
  <c r="C85" i="13"/>
  <c r="D85" i="13" s="1"/>
  <c r="E85" i="13" s="1"/>
  <c r="H83" i="13"/>
  <c r="K83" i="13"/>
  <c r="L83" i="13" s="1"/>
  <c r="M83" i="13" s="1"/>
  <c r="B86" i="13"/>
  <c r="A87" i="13"/>
  <c r="F167" i="11"/>
  <c r="G167" i="11"/>
  <c r="B169" i="11"/>
  <c r="A170" i="11"/>
  <c r="I168" i="11" a="1"/>
  <c r="I168" i="11" s="1"/>
  <c r="C168" i="11"/>
  <c r="D168" i="11" s="1"/>
  <c r="E168" i="11" s="1"/>
  <c r="J168" i="11" a="1"/>
  <c r="J168" i="11" s="1"/>
  <c r="K166" i="11"/>
  <c r="L166" i="11" s="1"/>
  <c r="M166" i="11" s="1"/>
  <c r="H166" i="11"/>
  <c r="F84" i="11"/>
  <c r="G84" i="11"/>
  <c r="B86" i="11"/>
  <c r="A87" i="11"/>
  <c r="I85" i="11" a="1"/>
  <c r="I85" i="11" s="1"/>
  <c r="C85" i="11"/>
  <c r="D85" i="11" s="1"/>
  <c r="E85" i="11" s="1"/>
  <c r="J85" i="11" a="1"/>
  <c r="J85" i="11" s="1"/>
  <c r="H83" i="11"/>
  <c r="K83" i="11"/>
  <c r="L83" i="11" s="1"/>
  <c r="M83" i="11" s="1"/>
  <c r="H85" i="4"/>
  <c r="K85" i="4"/>
  <c r="L85" i="4" s="1"/>
  <c r="M85" i="4" s="1"/>
  <c r="B88" i="4"/>
  <c r="A89" i="4"/>
  <c r="C87" i="4"/>
  <c r="D87" i="4" s="1"/>
  <c r="E87" i="4" s="1"/>
  <c r="J87" i="4" a="1"/>
  <c r="J87" i="4" s="1"/>
  <c r="I87" i="4" a="1"/>
  <c r="I87" i="4" s="1"/>
  <c r="F86" i="4"/>
  <c r="G86" i="4"/>
  <c r="F85" i="2"/>
  <c r="G85" i="2"/>
  <c r="B87" i="2"/>
  <c r="A88" i="2"/>
  <c r="C86" i="2"/>
  <c r="D86" i="2" s="1"/>
  <c r="E86" i="2" s="1"/>
  <c r="I86" i="2" a="1"/>
  <c r="I86" i="2" s="1"/>
  <c r="J86" i="2" a="1"/>
  <c r="J86" i="2" s="1"/>
  <c r="K84" i="2"/>
  <c r="L84" i="2" s="1"/>
  <c r="M84" i="2" s="1"/>
  <c r="H84" i="2"/>
  <c r="H171" i="13" l="1"/>
  <c r="K171" i="13"/>
  <c r="L171" i="13" s="1"/>
  <c r="M171" i="13" s="1"/>
  <c r="G172" i="13"/>
  <c r="F172" i="13"/>
  <c r="J173" i="13" a="1"/>
  <c r="J173" i="13" s="1"/>
  <c r="I173" i="13" a="1"/>
  <c r="I173" i="13" s="1"/>
  <c r="C173" i="13"/>
  <c r="D173" i="13" s="1"/>
  <c r="E173" i="13" s="1"/>
  <c r="A175" i="13"/>
  <c r="B174" i="13"/>
  <c r="B87" i="13"/>
  <c r="A88" i="13"/>
  <c r="C86" i="13"/>
  <c r="D86" i="13" s="1"/>
  <c r="E86" i="13" s="1"/>
  <c r="J86" i="13" a="1"/>
  <c r="J86" i="13" s="1"/>
  <c r="I86" i="13" a="1"/>
  <c r="I86" i="13" s="1"/>
  <c r="F85" i="13"/>
  <c r="G85" i="13"/>
  <c r="H84" i="13"/>
  <c r="K84" i="13"/>
  <c r="L84" i="13" s="1"/>
  <c r="M84" i="13" s="1"/>
  <c r="G168" i="11"/>
  <c r="F168" i="11"/>
  <c r="A171" i="11"/>
  <c r="B170" i="11"/>
  <c r="C169" i="11"/>
  <c r="D169" i="11" s="1"/>
  <c r="E169" i="11" s="1"/>
  <c r="I169" i="11" a="1"/>
  <c r="I169" i="11" s="1"/>
  <c r="J169" i="11" a="1"/>
  <c r="J169" i="11" s="1"/>
  <c r="K167" i="11"/>
  <c r="L167" i="11" s="1"/>
  <c r="M167" i="11" s="1"/>
  <c r="H167" i="11"/>
  <c r="F85" i="11"/>
  <c r="G85" i="11"/>
  <c r="A88" i="11"/>
  <c r="B87" i="11"/>
  <c r="C86" i="11"/>
  <c r="D86" i="11" s="1"/>
  <c r="E86" i="11" s="1"/>
  <c r="J86" i="11" a="1"/>
  <c r="J86" i="11" s="1"/>
  <c r="I86" i="11" a="1"/>
  <c r="I86" i="11" s="1"/>
  <c r="H84" i="11"/>
  <c r="K84" i="11"/>
  <c r="L84" i="11" s="1"/>
  <c r="M84" i="11" s="1"/>
  <c r="H86" i="4"/>
  <c r="K86" i="4"/>
  <c r="L86" i="4" s="1"/>
  <c r="M86" i="4" s="1"/>
  <c r="J88" i="4" a="1"/>
  <c r="J88" i="4" s="1"/>
  <c r="I88" i="4" a="1"/>
  <c r="I88" i="4" s="1"/>
  <c r="C88" i="4"/>
  <c r="D88" i="4" s="1"/>
  <c r="E88" i="4" s="1"/>
  <c r="F87" i="4"/>
  <c r="G87" i="4"/>
  <c r="B89" i="4"/>
  <c r="A90" i="4"/>
  <c r="G86" i="2"/>
  <c r="F86" i="2"/>
  <c r="A89" i="2"/>
  <c r="B88" i="2"/>
  <c r="J87" i="2" a="1"/>
  <c r="J87" i="2" s="1"/>
  <c r="C87" i="2"/>
  <c r="D87" i="2" s="1"/>
  <c r="E87" i="2" s="1"/>
  <c r="I87" i="2" a="1"/>
  <c r="I87" i="2" s="1"/>
  <c r="K85" i="2"/>
  <c r="L85" i="2" s="1"/>
  <c r="M85" i="2" s="1"/>
  <c r="H85" i="2"/>
  <c r="J174" i="13" l="1" a="1"/>
  <c r="J174" i="13" s="1"/>
  <c r="C174" i="13"/>
  <c r="D174" i="13" s="1"/>
  <c r="E174" i="13" s="1"/>
  <c r="I174" i="13" a="1"/>
  <c r="I174" i="13" s="1"/>
  <c r="A176" i="13"/>
  <c r="B175" i="13"/>
  <c r="G173" i="13"/>
  <c r="F173" i="13"/>
  <c r="K172" i="13"/>
  <c r="L172" i="13" s="1"/>
  <c r="M172" i="13" s="1"/>
  <c r="H172" i="13"/>
  <c r="K85" i="13"/>
  <c r="L85" i="13" s="1"/>
  <c r="M85" i="13" s="1"/>
  <c r="H85" i="13"/>
  <c r="F86" i="13"/>
  <c r="G86" i="13"/>
  <c r="B88" i="13"/>
  <c r="A89" i="13"/>
  <c r="C87" i="13"/>
  <c r="D87" i="13" s="1"/>
  <c r="E87" i="13" s="1"/>
  <c r="I87" i="13" a="1"/>
  <c r="I87" i="13" s="1"/>
  <c r="J87" i="13" a="1"/>
  <c r="J87" i="13" s="1"/>
  <c r="G169" i="11"/>
  <c r="F169" i="11"/>
  <c r="C170" i="11"/>
  <c r="D170" i="11" s="1"/>
  <c r="E170" i="11" s="1"/>
  <c r="I170" i="11" a="1"/>
  <c r="I170" i="11" s="1"/>
  <c r="J170" i="11" a="1"/>
  <c r="J170" i="11" s="1"/>
  <c r="A172" i="11"/>
  <c r="B171" i="11"/>
  <c r="K168" i="11"/>
  <c r="L168" i="11" s="1"/>
  <c r="M168" i="11" s="1"/>
  <c r="H168" i="11"/>
  <c r="F86" i="11"/>
  <c r="G86" i="11"/>
  <c r="J87" i="11" a="1"/>
  <c r="J87" i="11" s="1"/>
  <c r="C87" i="11"/>
  <c r="D87" i="11" s="1"/>
  <c r="E87" i="11" s="1"/>
  <c r="I87" i="11" a="1"/>
  <c r="I87" i="11" s="1"/>
  <c r="A89" i="11"/>
  <c r="B88" i="11"/>
  <c r="H85" i="11"/>
  <c r="K85" i="11"/>
  <c r="L85" i="11" s="1"/>
  <c r="M85" i="11" s="1"/>
  <c r="A91" i="4"/>
  <c r="B90" i="4"/>
  <c r="C89" i="4"/>
  <c r="D89" i="4" s="1"/>
  <c r="E89" i="4" s="1"/>
  <c r="I89" i="4" a="1"/>
  <c r="I89" i="4" s="1"/>
  <c r="J89" i="4" a="1"/>
  <c r="J89" i="4" s="1"/>
  <c r="H87" i="4"/>
  <c r="K87" i="4"/>
  <c r="L87" i="4" s="1"/>
  <c r="M87" i="4" s="1"/>
  <c r="G88" i="4"/>
  <c r="F88" i="4"/>
  <c r="G87" i="2"/>
  <c r="F87" i="2"/>
  <c r="J88" i="2" a="1"/>
  <c r="J88" i="2" s="1"/>
  <c r="I88" i="2" a="1"/>
  <c r="I88" i="2" s="1"/>
  <c r="C88" i="2"/>
  <c r="D88" i="2" s="1"/>
  <c r="E88" i="2" s="1"/>
  <c r="A90" i="2"/>
  <c r="B89" i="2"/>
  <c r="K86" i="2"/>
  <c r="L86" i="2" s="1"/>
  <c r="M86" i="2" s="1"/>
  <c r="H86" i="2"/>
  <c r="I175" i="13" l="1" a="1"/>
  <c r="I175" i="13" s="1"/>
  <c r="J175" i="13" a="1"/>
  <c r="J175" i="13" s="1"/>
  <c r="C175" i="13"/>
  <c r="D175" i="13" s="1"/>
  <c r="E175" i="13" s="1"/>
  <c r="A177" i="13"/>
  <c r="B176" i="13"/>
  <c r="K173" i="13"/>
  <c r="L173" i="13" s="1"/>
  <c r="M173" i="13" s="1"/>
  <c r="H173" i="13"/>
  <c r="G174" i="13"/>
  <c r="F174" i="13"/>
  <c r="H86" i="13"/>
  <c r="K86" i="13"/>
  <c r="L86" i="13" s="1"/>
  <c r="M86" i="13" s="1"/>
  <c r="F87" i="13"/>
  <c r="G87" i="13"/>
  <c r="A90" i="13"/>
  <c r="B89" i="13"/>
  <c r="I88" i="13" a="1"/>
  <c r="I88" i="13" s="1"/>
  <c r="J88" i="13" a="1"/>
  <c r="J88" i="13" s="1"/>
  <c r="C88" i="13"/>
  <c r="D88" i="13" s="1"/>
  <c r="E88" i="13" s="1"/>
  <c r="C171" i="11"/>
  <c r="D171" i="11" s="1"/>
  <c r="E171" i="11" s="1"/>
  <c r="J171" i="11" a="1"/>
  <c r="J171" i="11" s="1"/>
  <c r="I171" i="11" a="1"/>
  <c r="I171" i="11" s="1"/>
  <c r="G170" i="11"/>
  <c r="F170" i="11"/>
  <c r="H169" i="11"/>
  <c r="K169" i="11"/>
  <c r="L169" i="11" s="1"/>
  <c r="M169" i="11" s="1"/>
  <c r="B172" i="11"/>
  <c r="A173" i="11"/>
  <c r="I88" i="11" a="1"/>
  <c r="I88" i="11" s="1"/>
  <c r="C88" i="11"/>
  <c r="D88" i="11" s="1"/>
  <c r="E88" i="11" s="1"/>
  <c r="J88" i="11" a="1"/>
  <c r="J88" i="11" s="1"/>
  <c r="B89" i="11"/>
  <c r="A90" i="11"/>
  <c r="F87" i="11"/>
  <c r="G87" i="11"/>
  <c r="H86" i="11"/>
  <c r="K86" i="11"/>
  <c r="L86" i="11" s="1"/>
  <c r="M86" i="11" s="1"/>
  <c r="H88" i="4"/>
  <c r="K88" i="4"/>
  <c r="L88" i="4" s="1"/>
  <c r="M88" i="4" s="1"/>
  <c r="G89" i="4"/>
  <c r="F89" i="4"/>
  <c r="C90" i="4"/>
  <c r="D90" i="4" s="1"/>
  <c r="E90" i="4" s="1"/>
  <c r="I90" i="4" a="1"/>
  <c r="I90" i="4" s="1"/>
  <c r="J90" i="4" a="1"/>
  <c r="J90" i="4" s="1"/>
  <c r="B91" i="4"/>
  <c r="A92" i="4"/>
  <c r="F88" i="2"/>
  <c r="G88" i="2"/>
  <c r="A91" i="2"/>
  <c r="B90" i="2"/>
  <c r="J89" i="2" a="1"/>
  <c r="J89" i="2" s="1"/>
  <c r="I89" i="2" a="1"/>
  <c r="I89" i="2" s="1"/>
  <c r="C89" i="2"/>
  <c r="D89" i="2" s="1"/>
  <c r="E89" i="2" s="1"/>
  <c r="K87" i="2"/>
  <c r="H87" i="2"/>
  <c r="K174" i="13" l="1"/>
  <c r="L174" i="13" s="1"/>
  <c r="M174" i="13" s="1"/>
  <c r="H174" i="13"/>
  <c r="C176" i="13"/>
  <c r="D176" i="13" s="1"/>
  <c r="E176" i="13" s="1"/>
  <c r="I176" i="13" a="1"/>
  <c r="I176" i="13" s="1"/>
  <c r="J176" i="13" a="1"/>
  <c r="J176" i="13" s="1"/>
  <c r="B177" i="13"/>
  <c r="A178" i="13"/>
  <c r="G175" i="13"/>
  <c r="F175" i="13"/>
  <c r="F88" i="13"/>
  <c r="G88" i="13"/>
  <c r="H87" i="13"/>
  <c r="K87" i="13"/>
  <c r="L87" i="13" s="1"/>
  <c r="M87" i="13" s="1"/>
  <c r="I89" i="13" a="1"/>
  <c r="I89" i="13" s="1"/>
  <c r="J89" i="13" a="1"/>
  <c r="J89" i="13" s="1"/>
  <c r="C89" i="13"/>
  <c r="D89" i="13" s="1"/>
  <c r="E89" i="13" s="1"/>
  <c r="A91" i="13"/>
  <c r="B90" i="13"/>
  <c r="K170" i="11"/>
  <c r="L170" i="11" s="1"/>
  <c r="M170" i="11" s="1"/>
  <c r="H170" i="11"/>
  <c r="B173" i="11"/>
  <c r="A174" i="11"/>
  <c r="C172" i="11"/>
  <c r="D172" i="11" s="1"/>
  <c r="E172" i="11" s="1"/>
  <c r="I172" i="11" a="1"/>
  <c r="I172" i="11" s="1"/>
  <c r="J172" i="11" a="1"/>
  <c r="J172" i="11" s="1"/>
  <c r="F171" i="11"/>
  <c r="G171" i="11"/>
  <c r="I89" i="11" a="1"/>
  <c r="I89" i="11" s="1"/>
  <c r="C89" i="11"/>
  <c r="D89" i="11" s="1"/>
  <c r="E89" i="11" s="1"/>
  <c r="J89" i="11" a="1"/>
  <c r="J89" i="11" s="1"/>
  <c r="H87" i="11"/>
  <c r="K87" i="11"/>
  <c r="L87" i="11" s="1"/>
  <c r="M87" i="11" s="1"/>
  <c r="B90" i="11"/>
  <c r="A91" i="11"/>
  <c r="F88" i="11"/>
  <c r="G88" i="11"/>
  <c r="A93" i="4"/>
  <c r="B92" i="4"/>
  <c r="I91" i="4" a="1"/>
  <c r="I91" i="4" s="1"/>
  <c r="C91" i="4"/>
  <c r="D91" i="4" s="1"/>
  <c r="E91" i="4" s="1"/>
  <c r="J91" i="4" a="1"/>
  <c r="J91" i="4" s="1"/>
  <c r="H89" i="4"/>
  <c r="K89" i="4"/>
  <c r="L89" i="4" s="1"/>
  <c r="M89" i="4" s="1"/>
  <c r="G90" i="4"/>
  <c r="F90" i="4"/>
  <c r="L87" i="2"/>
  <c r="M87" i="2" s="1"/>
  <c r="I90" i="2" a="1"/>
  <c r="I90" i="2" s="1"/>
  <c r="J90" i="2" a="1"/>
  <c r="J90" i="2" s="1"/>
  <c r="C90" i="2"/>
  <c r="D90" i="2" s="1"/>
  <c r="E90" i="2" s="1"/>
  <c r="G89" i="2"/>
  <c r="F89" i="2"/>
  <c r="A92" i="2"/>
  <c r="B91" i="2"/>
  <c r="K88" i="2"/>
  <c r="L88" i="2" s="1"/>
  <c r="M88" i="2" s="1"/>
  <c r="H88" i="2"/>
  <c r="A179" i="13" l="1"/>
  <c r="B178" i="13"/>
  <c r="J177" i="13" a="1"/>
  <c r="J177" i="13" s="1"/>
  <c r="C177" i="13"/>
  <c r="D177" i="13" s="1"/>
  <c r="E177" i="13" s="1"/>
  <c r="I177" i="13" a="1"/>
  <c r="I177" i="13" s="1"/>
  <c r="G176" i="13"/>
  <c r="F176" i="13"/>
  <c r="K175" i="13"/>
  <c r="L175" i="13" s="1"/>
  <c r="M175" i="13" s="1"/>
  <c r="H175" i="13"/>
  <c r="F89" i="13"/>
  <c r="G89" i="13"/>
  <c r="C90" i="13"/>
  <c r="D90" i="13" s="1"/>
  <c r="E90" i="13" s="1"/>
  <c r="J90" i="13" a="1"/>
  <c r="J90" i="13" s="1"/>
  <c r="I90" i="13" a="1"/>
  <c r="I90" i="13" s="1"/>
  <c r="A92" i="13"/>
  <c r="B91" i="13"/>
  <c r="H88" i="13"/>
  <c r="K88" i="13"/>
  <c r="L88" i="13" s="1"/>
  <c r="M88" i="13" s="1"/>
  <c r="K171" i="11"/>
  <c r="L171" i="11" s="1"/>
  <c r="M171" i="11" s="1"/>
  <c r="H171" i="11"/>
  <c r="F172" i="11"/>
  <c r="G172" i="11"/>
  <c r="A175" i="11"/>
  <c r="B174" i="11"/>
  <c r="C173" i="11"/>
  <c r="D173" i="11" s="1"/>
  <c r="E173" i="11" s="1"/>
  <c r="I173" i="11" a="1"/>
  <c r="I173" i="11" s="1"/>
  <c r="J173" i="11" a="1"/>
  <c r="J173" i="11" s="1"/>
  <c r="H88" i="11"/>
  <c r="K88" i="11"/>
  <c r="L88" i="11" s="1"/>
  <c r="M88" i="11" s="1"/>
  <c r="A92" i="11"/>
  <c r="B91" i="11"/>
  <c r="C90" i="11"/>
  <c r="D90" i="11" s="1"/>
  <c r="E90" i="11" s="1"/>
  <c r="I90" i="11" a="1"/>
  <c r="I90" i="11" s="1"/>
  <c r="J90" i="11" a="1"/>
  <c r="J90" i="11" s="1"/>
  <c r="F89" i="11"/>
  <c r="G89" i="11"/>
  <c r="H90" i="4"/>
  <c r="K90" i="4"/>
  <c r="G91" i="4"/>
  <c r="F91" i="4"/>
  <c r="J92" i="4" a="1"/>
  <c r="J92" i="4" s="1"/>
  <c r="C92" i="4"/>
  <c r="D92" i="4" s="1"/>
  <c r="E92" i="4" s="1"/>
  <c r="I92" i="4" a="1"/>
  <c r="I92" i="4" s="1"/>
  <c r="B93" i="4"/>
  <c r="A94" i="4"/>
  <c r="C91" i="2"/>
  <c r="D91" i="2" s="1"/>
  <c r="E91" i="2" s="1"/>
  <c r="J91" i="2" a="1"/>
  <c r="J91" i="2" s="1"/>
  <c r="I91" i="2" a="1"/>
  <c r="I91" i="2" s="1"/>
  <c r="A93" i="2"/>
  <c r="B92" i="2"/>
  <c r="K89" i="2"/>
  <c r="L89" i="2" s="1"/>
  <c r="M89" i="2" s="1"/>
  <c r="H89" i="2"/>
  <c r="G90" i="2"/>
  <c r="F90" i="2"/>
  <c r="K176" i="13" l="1"/>
  <c r="L176" i="13" s="1"/>
  <c r="M176" i="13" s="1"/>
  <c r="H176" i="13"/>
  <c r="F177" i="13"/>
  <c r="G177" i="13"/>
  <c r="C178" i="13"/>
  <c r="D178" i="13" s="1"/>
  <c r="E178" i="13" s="1"/>
  <c r="J178" i="13" a="1"/>
  <c r="J178" i="13" s="1"/>
  <c r="I178" i="13" a="1"/>
  <c r="I178" i="13" s="1"/>
  <c r="A180" i="13"/>
  <c r="B179" i="13"/>
  <c r="C91" i="13"/>
  <c r="D91" i="13" s="1"/>
  <c r="E91" i="13" s="1"/>
  <c r="I91" i="13" a="1"/>
  <c r="I91" i="13" s="1"/>
  <c r="J91" i="13" a="1"/>
  <c r="J91" i="13" s="1"/>
  <c r="B92" i="13"/>
  <c r="A93" i="13"/>
  <c r="F90" i="13"/>
  <c r="G90" i="13"/>
  <c r="H89" i="13"/>
  <c r="K89" i="13"/>
  <c r="L89" i="13" s="1"/>
  <c r="M89" i="13" s="1"/>
  <c r="K172" i="11"/>
  <c r="L172" i="11" s="1"/>
  <c r="M172" i="11" s="1"/>
  <c r="H172" i="11"/>
  <c r="J174" i="11" a="1"/>
  <c r="J174" i="11" s="1"/>
  <c r="C174" i="11"/>
  <c r="D174" i="11" s="1"/>
  <c r="E174" i="11" s="1"/>
  <c r="I174" i="11" a="1"/>
  <c r="I174" i="11" s="1"/>
  <c r="F173" i="11"/>
  <c r="G173" i="11"/>
  <c r="A176" i="11"/>
  <c r="B175" i="11"/>
  <c r="F90" i="11"/>
  <c r="G90" i="11"/>
  <c r="J91" i="11" a="1"/>
  <c r="J91" i="11" s="1"/>
  <c r="C91" i="11"/>
  <c r="D91" i="11" s="1"/>
  <c r="E91" i="11" s="1"/>
  <c r="I91" i="11" a="1"/>
  <c r="I91" i="11" s="1"/>
  <c r="A93" i="11"/>
  <c r="B92" i="11"/>
  <c r="H89" i="11"/>
  <c r="K89" i="11"/>
  <c r="L89" i="11" s="1"/>
  <c r="M89" i="11" s="1"/>
  <c r="L90" i="4"/>
  <c r="M90" i="4" s="1"/>
  <c r="A95" i="4"/>
  <c r="B94" i="4"/>
  <c r="C93" i="4"/>
  <c r="D93" i="4" s="1"/>
  <c r="E93" i="4" s="1"/>
  <c r="I93" i="4" a="1"/>
  <c r="I93" i="4" s="1"/>
  <c r="J93" i="4" a="1"/>
  <c r="J93" i="4" s="1"/>
  <c r="F92" i="4"/>
  <c r="G92" i="4"/>
  <c r="H91" i="4"/>
  <c r="K91" i="4"/>
  <c r="L91" i="4" s="1"/>
  <c r="M91" i="4" s="1"/>
  <c r="K90" i="2"/>
  <c r="H90" i="2"/>
  <c r="C92" i="2"/>
  <c r="D92" i="2" s="1"/>
  <c r="E92" i="2" s="1"/>
  <c r="J92" i="2" a="1"/>
  <c r="J92" i="2" s="1"/>
  <c r="I92" i="2" a="1"/>
  <c r="I92" i="2" s="1"/>
  <c r="B93" i="2"/>
  <c r="A94" i="2"/>
  <c r="G91" i="2"/>
  <c r="F91" i="2"/>
  <c r="C179" i="13" l="1"/>
  <c r="D179" i="13" s="1"/>
  <c r="E179" i="13" s="1"/>
  <c r="I179" i="13" a="1"/>
  <c r="I179" i="13" s="1"/>
  <c r="J179" i="13" a="1"/>
  <c r="J179" i="13" s="1"/>
  <c r="A181" i="13"/>
  <c r="B180" i="13"/>
  <c r="G178" i="13"/>
  <c r="F178" i="13"/>
  <c r="H177" i="13"/>
  <c r="K177" i="13"/>
  <c r="L177" i="13" s="1"/>
  <c r="M177" i="13" s="1"/>
  <c r="I92" i="13" a="1"/>
  <c r="I92" i="13" s="1"/>
  <c r="C92" i="13"/>
  <c r="D92" i="13" s="1"/>
  <c r="E92" i="13" s="1"/>
  <c r="J92" i="13" a="1"/>
  <c r="J92" i="13" s="1"/>
  <c r="H90" i="13"/>
  <c r="K90" i="13"/>
  <c r="L90" i="13" s="1"/>
  <c r="M90" i="13" s="1"/>
  <c r="B93" i="13"/>
  <c r="A94" i="13"/>
  <c r="F91" i="13"/>
  <c r="G91" i="13"/>
  <c r="A177" i="11"/>
  <c r="B176" i="11"/>
  <c r="I175" i="11" a="1"/>
  <c r="I175" i="11" s="1"/>
  <c r="J175" i="11" a="1"/>
  <c r="J175" i="11" s="1"/>
  <c r="C175" i="11"/>
  <c r="D175" i="11" s="1"/>
  <c r="E175" i="11" s="1"/>
  <c r="K173" i="11"/>
  <c r="L173" i="11" s="1"/>
  <c r="M173" i="11" s="1"/>
  <c r="H173" i="11"/>
  <c r="G174" i="11"/>
  <c r="F174" i="11"/>
  <c r="I92" i="11" a="1"/>
  <c r="I92" i="11" s="1"/>
  <c r="J92" i="11" a="1"/>
  <c r="J92" i="11" s="1"/>
  <c r="C92" i="11"/>
  <c r="D92" i="11" s="1"/>
  <c r="E92" i="11" s="1"/>
  <c r="B93" i="11"/>
  <c r="A94" i="11"/>
  <c r="G91" i="11"/>
  <c r="F91" i="11"/>
  <c r="H90" i="11"/>
  <c r="K90" i="11"/>
  <c r="L90" i="11" s="1"/>
  <c r="M90" i="11" s="1"/>
  <c r="H92" i="4"/>
  <c r="K92" i="4"/>
  <c r="L92" i="4" s="1"/>
  <c r="M92" i="4" s="1"/>
  <c r="G93" i="4"/>
  <c r="F93" i="4"/>
  <c r="C94" i="4"/>
  <c r="D94" i="4" s="1"/>
  <c r="E94" i="4" s="1"/>
  <c r="J94" i="4" a="1"/>
  <c r="J94" i="4" s="1"/>
  <c r="I94" i="4" a="1"/>
  <c r="I94" i="4" s="1"/>
  <c r="B95" i="4"/>
  <c r="A96" i="4"/>
  <c r="L90" i="2"/>
  <c r="M90" i="2" s="1"/>
  <c r="H91" i="2"/>
  <c r="K91" i="2"/>
  <c r="L91" i="2" s="1"/>
  <c r="M91" i="2" s="1"/>
  <c r="I93" i="2" a="1"/>
  <c r="I93" i="2" s="1"/>
  <c r="J93" i="2" a="1"/>
  <c r="J93" i="2" s="1"/>
  <c r="C93" i="2"/>
  <c r="D93" i="2" s="1"/>
  <c r="E93" i="2" s="1"/>
  <c r="A95" i="2"/>
  <c r="B94" i="2"/>
  <c r="G92" i="2"/>
  <c r="F92" i="2"/>
  <c r="K178" i="13" l="1"/>
  <c r="L178" i="13" s="1"/>
  <c r="M178" i="13" s="1"/>
  <c r="H178" i="13"/>
  <c r="J180" i="13" a="1"/>
  <c r="J180" i="13" s="1"/>
  <c r="C180" i="13"/>
  <c r="D180" i="13" s="1"/>
  <c r="E180" i="13" s="1"/>
  <c r="I180" i="13" a="1"/>
  <c r="I180" i="13" s="1"/>
  <c r="B181" i="13"/>
  <c r="A182" i="13"/>
  <c r="F179" i="13"/>
  <c r="G179" i="13"/>
  <c r="H91" i="13"/>
  <c r="K91" i="13"/>
  <c r="L91" i="13" s="1"/>
  <c r="M91" i="13" s="1"/>
  <c r="B94" i="13"/>
  <c r="A95" i="13"/>
  <c r="J93" i="13" a="1"/>
  <c r="J93" i="13" s="1"/>
  <c r="C93" i="13"/>
  <c r="D93" i="13" s="1"/>
  <c r="E93" i="13" s="1"/>
  <c r="I93" i="13" a="1"/>
  <c r="I93" i="13" s="1"/>
  <c r="G92" i="13"/>
  <c r="F92" i="13"/>
  <c r="H174" i="11"/>
  <c r="K174" i="11"/>
  <c r="L174" i="11" s="1"/>
  <c r="M174" i="11" s="1"/>
  <c r="G175" i="11"/>
  <c r="F175" i="11"/>
  <c r="I176" i="11" a="1"/>
  <c r="I176" i="11" s="1"/>
  <c r="C176" i="11"/>
  <c r="D176" i="11" s="1"/>
  <c r="E176" i="11" s="1"/>
  <c r="J176" i="11" a="1"/>
  <c r="J176" i="11" s="1"/>
  <c r="A178" i="11"/>
  <c r="B177" i="11"/>
  <c r="H91" i="11"/>
  <c r="K91" i="11"/>
  <c r="L91" i="11" s="1"/>
  <c r="M91" i="11" s="1"/>
  <c r="B94" i="11"/>
  <c r="A95" i="11"/>
  <c r="I93" i="11" a="1"/>
  <c r="I93" i="11" s="1"/>
  <c r="J93" i="11" a="1"/>
  <c r="J93" i="11" s="1"/>
  <c r="C93" i="11"/>
  <c r="D93" i="11" s="1"/>
  <c r="E93" i="11" s="1"/>
  <c r="F92" i="11"/>
  <c r="G92" i="11"/>
  <c r="A97" i="4"/>
  <c r="B96" i="4"/>
  <c r="I95" i="4" a="1"/>
  <c r="I95" i="4" s="1"/>
  <c r="J95" i="4" a="1"/>
  <c r="J95" i="4" s="1"/>
  <c r="C95" i="4"/>
  <c r="D95" i="4" s="1"/>
  <c r="E95" i="4" s="1"/>
  <c r="G94" i="4"/>
  <c r="F94" i="4"/>
  <c r="H93" i="4"/>
  <c r="K93" i="4"/>
  <c r="L93" i="4" s="1"/>
  <c r="M93" i="4" s="1"/>
  <c r="J94" i="2" a="1"/>
  <c r="J94" i="2" s="1"/>
  <c r="I94" i="2" a="1"/>
  <c r="I94" i="2" s="1"/>
  <c r="C94" i="2"/>
  <c r="D94" i="2" s="1"/>
  <c r="E94" i="2" s="1"/>
  <c r="B95" i="2"/>
  <c r="A96" i="2"/>
  <c r="K92" i="2"/>
  <c r="L92" i="2" s="1"/>
  <c r="M92" i="2" s="1"/>
  <c r="H92" i="2"/>
  <c r="G93" i="2"/>
  <c r="F93" i="2"/>
  <c r="A183" i="13" l="1"/>
  <c r="B182" i="13"/>
  <c r="F180" i="13"/>
  <c r="G180" i="13"/>
  <c r="K179" i="13"/>
  <c r="L179" i="13" s="1"/>
  <c r="M179" i="13" s="1"/>
  <c r="H179" i="13"/>
  <c r="J181" i="13" a="1"/>
  <c r="J181" i="13" s="1"/>
  <c r="C181" i="13"/>
  <c r="D181" i="13" s="1"/>
  <c r="E181" i="13" s="1"/>
  <c r="I181" i="13" a="1"/>
  <c r="I181" i="13" s="1"/>
  <c r="H92" i="13"/>
  <c r="K92" i="13"/>
  <c r="L92" i="13" s="1"/>
  <c r="M92" i="13" s="1"/>
  <c r="B95" i="13"/>
  <c r="A96" i="13"/>
  <c r="C94" i="13"/>
  <c r="D94" i="13" s="1"/>
  <c r="E94" i="13" s="1"/>
  <c r="I94" i="13" a="1"/>
  <c r="I94" i="13" s="1"/>
  <c r="J94" i="13" a="1"/>
  <c r="J94" i="13" s="1"/>
  <c r="F93" i="13"/>
  <c r="G93" i="13"/>
  <c r="A179" i="11"/>
  <c r="B178" i="11"/>
  <c r="G176" i="11"/>
  <c r="F176" i="11"/>
  <c r="H175" i="11"/>
  <c r="K175" i="11"/>
  <c r="L175" i="11" s="1"/>
  <c r="M175" i="11" s="1"/>
  <c r="I177" i="11" a="1"/>
  <c r="I177" i="11" s="1"/>
  <c r="J177" i="11" a="1"/>
  <c r="J177" i="11" s="1"/>
  <c r="C177" i="11"/>
  <c r="D177" i="11" s="1"/>
  <c r="E177" i="11" s="1"/>
  <c r="H92" i="11"/>
  <c r="K92" i="11"/>
  <c r="L92" i="11" s="1"/>
  <c r="M92" i="11" s="1"/>
  <c r="F93" i="11"/>
  <c r="G93" i="11"/>
  <c r="B95" i="11"/>
  <c r="A96" i="11"/>
  <c r="J94" i="11" a="1"/>
  <c r="J94" i="11" s="1"/>
  <c r="C94" i="11"/>
  <c r="D94" i="11" s="1"/>
  <c r="E94" i="11" s="1"/>
  <c r="I94" i="11" a="1"/>
  <c r="I94" i="11" s="1"/>
  <c r="H94" i="4"/>
  <c r="K94" i="4"/>
  <c r="G95" i="4"/>
  <c r="F95" i="4"/>
  <c r="J96" i="4" a="1"/>
  <c r="J96" i="4" s="1"/>
  <c r="I96" i="4" a="1"/>
  <c r="I96" i="4" s="1"/>
  <c r="C96" i="4"/>
  <c r="D96" i="4" s="1"/>
  <c r="E96" i="4" s="1"/>
  <c r="A98" i="4"/>
  <c r="B97" i="4"/>
  <c r="K93" i="2"/>
  <c r="H93" i="2"/>
  <c r="B96" i="2"/>
  <c r="A97" i="2"/>
  <c r="C95" i="2"/>
  <c r="D95" i="2" s="1"/>
  <c r="E95" i="2" s="1"/>
  <c r="I95" i="2" a="1"/>
  <c r="I95" i="2" s="1"/>
  <c r="J95" i="2" a="1"/>
  <c r="J95" i="2" s="1"/>
  <c r="F94" i="2"/>
  <c r="G94" i="2"/>
  <c r="K180" i="13" l="1"/>
  <c r="L180" i="13" s="1"/>
  <c r="M180" i="13" s="1"/>
  <c r="H180" i="13"/>
  <c r="I182" i="13" a="1"/>
  <c r="I182" i="13" s="1"/>
  <c r="J182" i="13" a="1"/>
  <c r="J182" i="13" s="1"/>
  <c r="C182" i="13"/>
  <c r="D182" i="13" s="1"/>
  <c r="E182" i="13" s="1"/>
  <c r="F181" i="13"/>
  <c r="G181" i="13"/>
  <c r="A184" i="13"/>
  <c r="B183" i="13"/>
  <c r="B96" i="13"/>
  <c r="A97" i="13"/>
  <c r="H93" i="13"/>
  <c r="K93" i="13"/>
  <c r="L93" i="13" s="1"/>
  <c r="M93" i="13" s="1"/>
  <c r="F94" i="13"/>
  <c r="G94" i="13"/>
  <c r="J95" i="13" a="1"/>
  <c r="J95" i="13" s="1"/>
  <c r="C95" i="13"/>
  <c r="D95" i="13" s="1"/>
  <c r="E95" i="13" s="1"/>
  <c r="I95" i="13" a="1"/>
  <c r="I95" i="13" s="1"/>
  <c r="F177" i="11"/>
  <c r="G177" i="11"/>
  <c r="K176" i="11"/>
  <c r="L176" i="11" s="1"/>
  <c r="M176" i="11" s="1"/>
  <c r="H176" i="11"/>
  <c r="C178" i="11"/>
  <c r="D178" i="11" s="1"/>
  <c r="E178" i="11" s="1"/>
  <c r="J178" i="11" a="1"/>
  <c r="J178" i="11" s="1"/>
  <c r="I178" i="11" a="1"/>
  <c r="I178" i="11" s="1"/>
  <c r="A180" i="11"/>
  <c r="B179" i="11"/>
  <c r="F94" i="11"/>
  <c r="G94" i="11"/>
  <c r="B96" i="11"/>
  <c r="A97" i="11"/>
  <c r="C95" i="11"/>
  <c r="D95" i="11" s="1"/>
  <c r="E95" i="11" s="1"/>
  <c r="I95" i="11" a="1"/>
  <c r="I95" i="11" s="1"/>
  <c r="J95" i="11" a="1"/>
  <c r="J95" i="11" s="1"/>
  <c r="H93" i="11"/>
  <c r="K93" i="11"/>
  <c r="L93" i="11" s="1"/>
  <c r="M93" i="11" s="1"/>
  <c r="C97" i="4"/>
  <c r="D97" i="4" s="1"/>
  <c r="E97" i="4" s="1"/>
  <c r="I97" i="4" a="1"/>
  <c r="I97" i="4" s="1"/>
  <c r="J97" i="4" a="1"/>
  <c r="J97" i="4" s="1"/>
  <c r="A99" i="4"/>
  <c r="B98" i="4"/>
  <c r="F96" i="4"/>
  <c r="G96" i="4"/>
  <c r="H95" i="4"/>
  <c r="K95" i="4"/>
  <c r="L95" i="4" s="1"/>
  <c r="M95" i="4" s="1"/>
  <c r="L94" i="4"/>
  <c r="M94" i="4" s="1"/>
  <c r="L93" i="2"/>
  <c r="M93" i="2" s="1"/>
  <c r="F95" i="2"/>
  <c r="G95" i="2"/>
  <c r="A98" i="2"/>
  <c r="B97" i="2"/>
  <c r="H94" i="2"/>
  <c r="K94" i="2"/>
  <c r="L94" i="2" s="1"/>
  <c r="M94" i="2" s="1"/>
  <c r="C96" i="2"/>
  <c r="D96" i="2" s="1"/>
  <c r="E96" i="2" s="1"/>
  <c r="J96" i="2" a="1"/>
  <c r="J96" i="2" s="1"/>
  <c r="I96" i="2" a="1"/>
  <c r="I96" i="2" s="1"/>
  <c r="C183" i="13" l="1"/>
  <c r="D183" i="13" s="1"/>
  <c r="E183" i="13" s="1"/>
  <c r="I183" i="13" a="1"/>
  <c r="I183" i="13" s="1"/>
  <c r="J183" i="13" a="1"/>
  <c r="J183" i="13" s="1"/>
  <c r="K181" i="13"/>
  <c r="L181" i="13" s="1"/>
  <c r="M181" i="13" s="1"/>
  <c r="H181" i="13"/>
  <c r="A185" i="13"/>
  <c r="B184" i="13"/>
  <c r="G182" i="13"/>
  <c r="F182" i="13"/>
  <c r="G95" i="13"/>
  <c r="F95" i="13"/>
  <c r="H94" i="13"/>
  <c r="K94" i="13"/>
  <c r="L94" i="13" s="1"/>
  <c r="M94" i="13" s="1"/>
  <c r="A98" i="13"/>
  <c r="B97" i="13"/>
  <c r="I96" i="13" a="1"/>
  <c r="I96" i="13" s="1"/>
  <c r="J96" i="13" a="1"/>
  <c r="J96" i="13" s="1"/>
  <c r="C96" i="13"/>
  <c r="D96" i="13" s="1"/>
  <c r="E96" i="13" s="1"/>
  <c r="A181" i="11"/>
  <c r="B180" i="11"/>
  <c r="G178" i="11"/>
  <c r="F178" i="11"/>
  <c r="J179" i="11" a="1"/>
  <c r="J179" i="11" s="1"/>
  <c r="I179" i="11" a="1"/>
  <c r="I179" i="11" s="1"/>
  <c r="C179" i="11"/>
  <c r="D179" i="11" s="1"/>
  <c r="E179" i="11" s="1"/>
  <c r="H177" i="11"/>
  <c r="K177" i="11"/>
  <c r="L177" i="11" s="1"/>
  <c r="M177" i="11" s="1"/>
  <c r="G95" i="11"/>
  <c r="F95" i="11"/>
  <c r="B97" i="11"/>
  <c r="A98" i="11"/>
  <c r="J96" i="11" a="1"/>
  <c r="J96" i="11" s="1"/>
  <c r="C96" i="11"/>
  <c r="D96" i="11" s="1"/>
  <c r="E96" i="11" s="1"/>
  <c r="I96" i="11" a="1"/>
  <c r="I96" i="11" s="1"/>
  <c r="H94" i="11"/>
  <c r="K94" i="11"/>
  <c r="L94" i="11" s="1"/>
  <c r="M94" i="11" s="1"/>
  <c r="C98" i="4"/>
  <c r="D98" i="4" s="1"/>
  <c r="E98" i="4" s="1"/>
  <c r="J98" i="4" a="1"/>
  <c r="J98" i="4" s="1"/>
  <c r="I98" i="4" a="1"/>
  <c r="I98" i="4" s="1"/>
  <c r="H96" i="4"/>
  <c r="K96" i="4"/>
  <c r="L96" i="4" s="1"/>
  <c r="M96" i="4" s="1"/>
  <c r="B99" i="4"/>
  <c r="A100" i="4"/>
  <c r="G97" i="4"/>
  <c r="F97" i="4"/>
  <c r="G96" i="2"/>
  <c r="F96" i="2"/>
  <c r="A99" i="2"/>
  <c r="B98" i="2"/>
  <c r="I97" i="2" a="1"/>
  <c r="I97" i="2" s="1"/>
  <c r="J97" i="2" a="1"/>
  <c r="J97" i="2" s="1"/>
  <c r="C97" i="2"/>
  <c r="D97" i="2" s="1"/>
  <c r="E97" i="2" s="1"/>
  <c r="K95" i="2"/>
  <c r="L95" i="2" s="1"/>
  <c r="M95" i="2" s="1"/>
  <c r="H95" i="2"/>
  <c r="K182" i="13" l="1"/>
  <c r="L182" i="13" s="1"/>
  <c r="M182" i="13" s="1"/>
  <c r="H182" i="13"/>
  <c r="I184" i="13" a="1"/>
  <c r="I184" i="13" s="1"/>
  <c r="C184" i="13"/>
  <c r="D184" i="13" s="1"/>
  <c r="E184" i="13" s="1"/>
  <c r="J184" i="13" a="1"/>
  <c r="J184" i="13" s="1"/>
  <c r="B185" i="13"/>
  <c r="A186" i="13"/>
  <c r="G183" i="13"/>
  <c r="F183" i="13"/>
  <c r="F96" i="13"/>
  <c r="G96" i="13"/>
  <c r="I97" i="13" a="1"/>
  <c r="I97" i="13" s="1"/>
  <c r="J97" i="13" a="1"/>
  <c r="J97" i="13" s="1"/>
  <c r="C97" i="13"/>
  <c r="D97" i="13" s="1"/>
  <c r="E97" i="13" s="1"/>
  <c r="B98" i="13"/>
  <c r="A99" i="13"/>
  <c r="K95" i="13"/>
  <c r="L95" i="13" s="1"/>
  <c r="M95" i="13" s="1"/>
  <c r="H95" i="13"/>
  <c r="F179" i="11"/>
  <c r="G179" i="11"/>
  <c r="H178" i="11"/>
  <c r="K178" i="11"/>
  <c r="L178" i="11" s="1"/>
  <c r="M178" i="11" s="1"/>
  <c r="J180" i="11" a="1"/>
  <c r="J180" i="11" s="1"/>
  <c r="I180" i="11" a="1"/>
  <c r="I180" i="11" s="1"/>
  <c r="C180" i="11"/>
  <c r="D180" i="11" s="1"/>
  <c r="E180" i="11" s="1"/>
  <c r="A182" i="11"/>
  <c r="B181" i="11"/>
  <c r="B98" i="11"/>
  <c r="A99" i="11"/>
  <c r="I97" i="11" a="1"/>
  <c r="I97" i="11" s="1"/>
  <c r="J97" i="11" a="1"/>
  <c r="J97" i="11" s="1"/>
  <c r="C97" i="11"/>
  <c r="D97" i="11" s="1"/>
  <c r="E97" i="11" s="1"/>
  <c r="H95" i="11"/>
  <c r="K95" i="11"/>
  <c r="L95" i="11" s="1"/>
  <c r="M95" i="11" s="1"/>
  <c r="F96" i="11"/>
  <c r="G96" i="11"/>
  <c r="H97" i="4"/>
  <c r="K97" i="4"/>
  <c r="L97" i="4" s="1"/>
  <c r="M97" i="4" s="1"/>
  <c r="I99" i="4" a="1"/>
  <c r="I99" i="4" s="1"/>
  <c r="C99" i="4"/>
  <c r="D99" i="4" s="1"/>
  <c r="E99" i="4" s="1"/>
  <c r="J99" i="4" a="1"/>
  <c r="J99" i="4" s="1"/>
  <c r="B100" i="4"/>
  <c r="A101" i="4"/>
  <c r="G98" i="4"/>
  <c r="F98" i="4"/>
  <c r="G97" i="2"/>
  <c r="F97" i="2"/>
  <c r="J98" i="2" a="1"/>
  <c r="J98" i="2" s="1"/>
  <c r="C98" i="2"/>
  <c r="D98" i="2" s="1"/>
  <c r="E98" i="2" s="1"/>
  <c r="I98" i="2" a="1"/>
  <c r="I98" i="2" s="1"/>
  <c r="A100" i="2"/>
  <c r="B99" i="2"/>
  <c r="K96" i="2"/>
  <c r="L96" i="2" s="1"/>
  <c r="M96" i="2" s="1"/>
  <c r="H96" i="2"/>
  <c r="H183" i="13" l="1"/>
  <c r="K183" i="13"/>
  <c r="L183" i="13" s="1"/>
  <c r="M183" i="13" s="1"/>
  <c r="A187" i="13"/>
  <c r="B186" i="13"/>
  <c r="I185" i="13" a="1"/>
  <c r="I185" i="13" s="1"/>
  <c r="C185" i="13"/>
  <c r="D185" i="13" s="1"/>
  <c r="E185" i="13" s="1"/>
  <c r="J185" i="13" a="1"/>
  <c r="J185" i="13" s="1"/>
  <c r="F184" i="13"/>
  <c r="G184" i="13"/>
  <c r="B99" i="13"/>
  <c r="A100" i="13"/>
  <c r="C98" i="13"/>
  <c r="D98" i="13" s="1"/>
  <c r="E98" i="13" s="1"/>
  <c r="J98" i="13" a="1"/>
  <c r="J98" i="13" s="1"/>
  <c r="I98" i="13" a="1"/>
  <c r="I98" i="13" s="1"/>
  <c r="F97" i="13"/>
  <c r="G97" i="13"/>
  <c r="H96" i="13"/>
  <c r="K96" i="13"/>
  <c r="L96" i="13" s="1"/>
  <c r="M96" i="13" s="1"/>
  <c r="J181" i="11" a="1"/>
  <c r="J181" i="11" s="1"/>
  <c r="I181" i="11" a="1"/>
  <c r="I181" i="11" s="1"/>
  <c r="C181" i="11"/>
  <c r="D181" i="11" s="1"/>
  <c r="E181" i="11" s="1"/>
  <c r="A183" i="11"/>
  <c r="B182" i="11"/>
  <c r="G180" i="11"/>
  <c r="F180" i="11"/>
  <c r="H179" i="11"/>
  <c r="K179" i="11"/>
  <c r="L179" i="11" s="1"/>
  <c r="M179" i="11" s="1"/>
  <c r="K96" i="11"/>
  <c r="L96" i="11" s="1"/>
  <c r="M96" i="11" s="1"/>
  <c r="H96" i="11"/>
  <c r="F97" i="11"/>
  <c r="G97" i="11"/>
  <c r="B99" i="11"/>
  <c r="A100" i="11"/>
  <c r="J98" i="11" a="1"/>
  <c r="J98" i="11" s="1"/>
  <c r="C98" i="11"/>
  <c r="D98" i="11" s="1"/>
  <c r="E98" i="11" s="1"/>
  <c r="I98" i="11" a="1"/>
  <c r="I98" i="11" s="1"/>
  <c r="H98" i="4"/>
  <c r="K98" i="4"/>
  <c r="L98" i="4" s="1"/>
  <c r="M98" i="4" s="1"/>
  <c r="B101" i="4"/>
  <c r="A102" i="4"/>
  <c r="J100" i="4" a="1"/>
  <c r="J100" i="4" s="1"/>
  <c r="C100" i="4"/>
  <c r="D100" i="4" s="1"/>
  <c r="E100" i="4" s="1"/>
  <c r="I100" i="4" a="1"/>
  <c r="I100" i="4" s="1"/>
  <c r="G99" i="4"/>
  <c r="F99" i="4"/>
  <c r="I99" i="2" a="1"/>
  <c r="I99" i="2" s="1"/>
  <c r="C99" i="2"/>
  <c r="D99" i="2" s="1"/>
  <c r="E99" i="2" s="1"/>
  <c r="J99" i="2" a="1"/>
  <c r="J99" i="2" s="1"/>
  <c r="B100" i="2"/>
  <c r="A101" i="2"/>
  <c r="K97" i="2"/>
  <c r="L97" i="2" s="1"/>
  <c r="M97" i="2" s="1"/>
  <c r="H97" i="2"/>
  <c r="F98" i="2"/>
  <c r="G98" i="2"/>
  <c r="H184" i="13" l="1"/>
  <c r="K184" i="13"/>
  <c r="L184" i="13" s="1"/>
  <c r="M184" i="13" s="1"/>
  <c r="G185" i="13"/>
  <c r="F185" i="13"/>
  <c r="A188" i="13"/>
  <c r="B187" i="13"/>
  <c r="J186" i="13" a="1"/>
  <c r="J186" i="13" s="1"/>
  <c r="C186" i="13"/>
  <c r="D186" i="13" s="1"/>
  <c r="E186" i="13" s="1"/>
  <c r="I186" i="13" a="1"/>
  <c r="I186" i="13" s="1"/>
  <c r="H97" i="13"/>
  <c r="K97" i="13"/>
  <c r="L97" i="13" s="1"/>
  <c r="M97" i="13" s="1"/>
  <c r="F98" i="13"/>
  <c r="G98" i="13"/>
  <c r="B100" i="13"/>
  <c r="A101" i="13"/>
  <c r="J99" i="13" a="1"/>
  <c r="J99" i="13" s="1"/>
  <c r="C99" i="13"/>
  <c r="D99" i="13" s="1"/>
  <c r="E99" i="13" s="1"/>
  <c r="I99" i="13" a="1"/>
  <c r="I99" i="13" s="1"/>
  <c r="K180" i="11"/>
  <c r="L180" i="11" s="1"/>
  <c r="M180" i="11" s="1"/>
  <c r="H180" i="11"/>
  <c r="I182" i="11" a="1"/>
  <c r="I182" i="11" s="1"/>
  <c r="C182" i="11"/>
  <c r="D182" i="11" s="1"/>
  <c r="E182" i="11" s="1"/>
  <c r="J182" i="11" a="1"/>
  <c r="J182" i="11" s="1"/>
  <c r="A184" i="11"/>
  <c r="B183" i="11"/>
  <c r="F181" i="11"/>
  <c r="G181" i="11"/>
  <c r="F98" i="11"/>
  <c r="G98" i="11"/>
  <c r="B100" i="11"/>
  <c r="A101" i="11"/>
  <c r="C99" i="11"/>
  <c r="D99" i="11" s="1"/>
  <c r="E99" i="11" s="1"/>
  <c r="I99" i="11" a="1"/>
  <c r="I99" i="11" s="1"/>
  <c r="J99" i="11" a="1"/>
  <c r="J99" i="11" s="1"/>
  <c r="H97" i="11"/>
  <c r="K97" i="11"/>
  <c r="L97" i="11" s="1"/>
  <c r="M97" i="11" s="1"/>
  <c r="A103" i="4"/>
  <c r="B102" i="4"/>
  <c r="C101" i="4"/>
  <c r="D101" i="4" s="1"/>
  <c r="E101" i="4" s="1"/>
  <c r="J101" i="4" a="1"/>
  <c r="J101" i="4" s="1"/>
  <c r="I101" i="4" a="1"/>
  <c r="I101" i="4" s="1"/>
  <c r="H99" i="4"/>
  <c r="K99" i="4"/>
  <c r="L99" i="4" s="1"/>
  <c r="M99" i="4" s="1"/>
  <c r="F100" i="4"/>
  <c r="G100" i="4"/>
  <c r="K98" i="2"/>
  <c r="L98" i="2" s="1"/>
  <c r="M98" i="2" s="1"/>
  <c r="H98" i="2"/>
  <c r="A102" i="2"/>
  <c r="B101" i="2"/>
  <c r="J100" i="2" a="1"/>
  <c r="J100" i="2" s="1"/>
  <c r="C100" i="2"/>
  <c r="D100" i="2" s="1"/>
  <c r="E100" i="2" s="1"/>
  <c r="I100" i="2" a="1"/>
  <c r="I100" i="2" s="1"/>
  <c r="G99" i="2"/>
  <c r="F99" i="2"/>
  <c r="G186" i="13" l="1"/>
  <c r="F186" i="13"/>
  <c r="B188" i="13"/>
  <c r="A189" i="13"/>
  <c r="C187" i="13"/>
  <c r="D187" i="13" s="1"/>
  <c r="E187" i="13" s="1"/>
  <c r="J187" i="13" a="1"/>
  <c r="J187" i="13" s="1"/>
  <c r="I187" i="13" a="1"/>
  <c r="I187" i="13" s="1"/>
  <c r="H185" i="13"/>
  <c r="K185" i="13"/>
  <c r="L185" i="13" s="1"/>
  <c r="M185" i="13" s="1"/>
  <c r="G99" i="13"/>
  <c r="F99" i="13"/>
  <c r="A102" i="13"/>
  <c r="B101" i="13"/>
  <c r="I100" i="13" a="1"/>
  <c r="I100" i="13" s="1"/>
  <c r="J100" i="13" a="1"/>
  <c r="J100" i="13" s="1"/>
  <c r="C100" i="13"/>
  <c r="D100" i="13" s="1"/>
  <c r="E100" i="13" s="1"/>
  <c r="H98" i="13"/>
  <c r="K98" i="13"/>
  <c r="L98" i="13" s="1"/>
  <c r="M98" i="13" s="1"/>
  <c r="C183" i="11"/>
  <c r="D183" i="11" s="1"/>
  <c r="E183" i="11" s="1"/>
  <c r="I183" i="11" a="1"/>
  <c r="I183" i="11" s="1"/>
  <c r="J183" i="11" a="1"/>
  <c r="J183" i="11" s="1"/>
  <c r="K181" i="11"/>
  <c r="L181" i="11" s="1"/>
  <c r="M181" i="11" s="1"/>
  <c r="H181" i="11"/>
  <c r="A185" i="11"/>
  <c r="B184" i="11"/>
  <c r="G182" i="11"/>
  <c r="F182" i="11"/>
  <c r="G99" i="11"/>
  <c r="F99" i="11"/>
  <c r="J100" i="11" a="1"/>
  <c r="J100" i="11" s="1"/>
  <c r="C100" i="11"/>
  <c r="D100" i="11" s="1"/>
  <c r="E100" i="11" s="1"/>
  <c r="I100" i="11" a="1"/>
  <c r="I100" i="11" s="1"/>
  <c r="B101" i="11"/>
  <c r="A102" i="11"/>
  <c r="H98" i="11"/>
  <c r="K98" i="11"/>
  <c r="L98" i="11" s="1"/>
  <c r="M98" i="11" s="1"/>
  <c r="H100" i="4"/>
  <c r="K100" i="4"/>
  <c r="L100" i="4" s="1"/>
  <c r="M100" i="4" s="1"/>
  <c r="G101" i="4"/>
  <c r="F101" i="4"/>
  <c r="C102" i="4"/>
  <c r="D102" i="4" s="1"/>
  <c r="E102" i="4" s="1"/>
  <c r="I102" i="4" a="1"/>
  <c r="I102" i="4" s="1"/>
  <c r="J102" i="4" a="1"/>
  <c r="J102" i="4" s="1"/>
  <c r="B103" i="4"/>
  <c r="A104" i="4"/>
  <c r="H99" i="2"/>
  <c r="K99" i="2"/>
  <c r="L99" i="2" s="1"/>
  <c r="M99" i="2" s="1"/>
  <c r="C101" i="2"/>
  <c r="D101" i="2" s="1"/>
  <c r="E101" i="2" s="1"/>
  <c r="J101" i="2" a="1"/>
  <c r="J101" i="2" s="1"/>
  <c r="I101" i="2" a="1"/>
  <c r="I101" i="2" s="1"/>
  <c r="A103" i="2"/>
  <c r="B102" i="2"/>
  <c r="G100" i="2"/>
  <c r="F100" i="2"/>
  <c r="F187" i="13" l="1"/>
  <c r="G187" i="13"/>
  <c r="B189" i="13"/>
  <c r="A190" i="13"/>
  <c r="C188" i="13"/>
  <c r="D188" i="13" s="1"/>
  <c r="E188" i="13" s="1"/>
  <c r="J188" i="13" a="1"/>
  <c r="J188" i="13" s="1"/>
  <c r="I188" i="13" a="1"/>
  <c r="I188" i="13" s="1"/>
  <c r="K186" i="13"/>
  <c r="L186" i="13" s="1"/>
  <c r="M186" i="13" s="1"/>
  <c r="H186" i="13"/>
  <c r="G100" i="13"/>
  <c r="F100" i="13"/>
  <c r="B102" i="13"/>
  <c r="A103" i="13"/>
  <c r="I101" i="13" a="1"/>
  <c r="I101" i="13" s="1"/>
  <c r="J101" i="13" a="1"/>
  <c r="J101" i="13" s="1"/>
  <c r="C101" i="13"/>
  <c r="D101" i="13" s="1"/>
  <c r="E101" i="13" s="1"/>
  <c r="K99" i="13"/>
  <c r="L99" i="13" s="1"/>
  <c r="M99" i="13" s="1"/>
  <c r="H99" i="13"/>
  <c r="K182" i="11"/>
  <c r="L182" i="11" s="1"/>
  <c r="M182" i="11" s="1"/>
  <c r="H182" i="11"/>
  <c r="B185" i="11"/>
  <c r="A186" i="11"/>
  <c r="I184" i="11" a="1"/>
  <c r="I184" i="11" s="1"/>
  <c r="J184" i="11" a="1"/>
  <c r="J184" i="11" s="1"/>
  <c r="C184" i="11"/>
  <c r="D184" i="11" s="1"/>
  <c r="E184" i="11" s="1"/>
  <c r="G183" i="11"/>
  <c r="F183" i="11"/>
  <c r="B102" i="11"/>
  <c r="A103" i="11"/>
  <c r="I101" i="11" a="1"/>
  <c r="I101" i="11" s="1"/>
  <c r="J101" i="11" a="1"/>
  <c r="J101" i="11" s="1"/>
  <c r="C101" i="11"/>
  <c r="D101" i="11" s="1"/>
  <c r="E101" i="11" s="1"/>
  <c r="F100" i="11"/>
  <c r="G100" i="11"/>
  <c r="H99" i="11"/>
  <c r="K99" i="11"/>
  <c r="L99" i="11" s="1"/>
  <c r="M99" i="11" s="1"/>
  <c r="A105" i="4"/>
  <c r="B104" i="4"/>
  <c r="I103" i="4" a="1"/>
  <c r="I103" i="4" s="1"/>
  <c r="J103" i="4" a="1"/>
  <c r="J103" i="4" s="1"/>
  <c r="C103" i="4"/>
  <c r="D103" i="4" s="1"/>
  <c r="E103" i="4" s="1"/>
  <c r="F102" i="4"/>
  <c r="G102" i="4"/>
  <c r="H101" i="4"/>
  <c r="K101" i="4"/>
  <c r="L101" i="4" s="1"/>
  <c r="M101" i="4" s="1"/>
  <c r="K100" i="2"/>
  <c r="H100" i="2"/>
  <c r="C102" i="2"/>
  <c r="D102" i="2" s="1"/>
  <c r="E102" i="2" s="1"/>
  <c r="J102" i="2" a="1"/>
  <c r="J102" i="2" s="1"/>
  <c r="I102" i="2" a="1"/>
  <c r="I102" i="2" s="1"/>
  <c r="A104" i="2"/>
  <c r="B103" i="2"/>
  <c r="F101" i="2"/>
  <c r="G101" i="2"/>
  <c r="F188" i="13" l="1"/>
  <c r="G188" i="13"/>
  <c r="B190" i="13"/>
  <c r="A191" i="13"/>
  <c r="C189" i="13"/>
  <c r="D189" i="13" s="1"/>
  <c r="E189" i="13" s="1"/>
  <c r="I189" i="13" a="1"/>
  <c r="I189" i="13" s="1"/>
  <c r="J189" i="13" a="1"/>
  <c r="J189" i="13" s="1"/>
  <c r="H187" i="13"/>
  <c r="K187" i="13"/>
  <c r="L187" i="13" s="1"/>
  <c r="M187" i="13" s="1"/>
  <c r="F101" i="13"/>
  <c r="G101" i="13"/>
  <c r="B103" i="13"/>
  <c r="A104" i="13"/>
  <c r="C102" i="13"/>
  <c r="D102" i="13" s="1"/>
  <c r="E102" i="13" s="1"/>
  <c r="I102" i="13" a="1"/>
  <c r="I102" i="13" s="1"/>
  <c r="J102" i="13" a="1"/>
  <c r="J102" i="13" s="1"/>
  <c r="H100" i="13"/>
  <c r="K100" i="13"/>
  <c r="L100" i="13" s="1"/>
  <c r="M100" i="13" s="1"/>
  <c r="H183" i="11"/>
  <c r="K183" i="11"/>
  <c r="L183" i="11" s="1"/>
  <c r="M183" i="11" s="1"/>
  <c r="F184" i="11"/>
  <c r="G184" i="11"/>
  <c r="C185" i="11"/>
  <c r="D185" i="11" s="1"/>
  <c r="E185" i="11" s="1"/>
  <c r="I185" i="11" a="1"/>
  <c r="I185" i="11" s="1"/>
  <c r="J185" i="11" a="1"/>
  <c r="J185" i="11" s="1"/>
  <c r="A187" i="11"/>
  <c r="B186" i="11"/>
  <c r="K100" i="11"/>
  <c r="L100" i="11" s="1"/>
  <c r="M100" i="11" s="1"/>
  <c r="H100" i="11"/>
  <c r="G101" i="11"/>
  <c r="F101" i="11"/>
  <c r="B103" i="11"/>
  <c r="A104" i="11"/>
  <c r="J102" i="11" a="1"/>
  <c r="J102" i="11" s="1"/>
  <c r="C102" i="11"/>
  <c r="D102" i="11" s="1"/>
  <c r="E102" i="11" s="1"/>
  <c r="I102" i="11" a="1"/>
  <c r="I102" i="11" s="1"/>
  <c r="F103" i="4"/>
  <c r="G103" i="4"/>
  <c r="H102" i="4"/>
  <c r="K102" i="4"/>
  <c r="L102" i="4" s="1"/>
  <c r="M102" i="4" s="1"/>
  <c r="J104" i="4" a="1"/>
  <c r="J104" i="4" s="1"/>
  <c r="I104" i="4" a="1"/>
  <c r="I104" i="4" s="1"/>
  <c r="C104" i="4"/>
  <c r="D104" i="4" s="1"/>
  <c r="E104" i="4" s="1"/>
  <c r="B105" i="4"/>
  <c r="A106" i="4"/>
  <c r="L100" i="2"/>
  <c r="M100" i="2" s="1"/>
  <c r="H101" i="2"/>
  <c r="K101" i="2"/>
  <c r="L101" i="2" s="1"/>
  <c r="M101" i="2" s="1"/>
  <c r="J103" i="2" a="1"/>
  <c r="J103" i="2" s="1"/>
  <c r="C103" i="2"/>
  <c r="D103" i="2" s="1"/>
  <c r="E103" i="2" s="1"/>
  <c r="I103" i="2" a="1"/>
  <c r="I103" i="2" s="1"/>
  <c r="A105" i="2"/>
  <c r="B104" i="2"/>
  <c r="F102" i="2"/>
  <c r="G102" i="2"/>
  <c r="F189" i="13" l="1"/>
  <c r="G189" i="13"/>
  <c r="B191" i="13"/>
  <c r="A192" i="13"/>
  <c r="J190" i="13" a="1"/>
  <c r="J190" i="13" s="1"/>
  <c r="C190" i="13"/>
  <c r="D190" i="13" s="1"/>
  <c r="E190" i="13" s="1"/>
  <c r="I190" i="13" a="1"/>
  <c r="I190" i="13" s="1"/>
  <c r="K188" i="13"/>
  <c r="L188" i="13" s="1"/>
  <c r="M188" i="13" s="1"/>
  <c r="H188" i="13"/>
  <c r="F102" i="13"/>
  <c r="G102" i="13"/>
  <c r="B104" i="13"/>
  <c r="A105" i="13"/>
  <c r="J103" i="13" a="1"/>
  <c r="J103" i="13" s="1"/>
  <c r="C103" i="13"/>
  <c r="D103" i="13" s="1"/>
  <c r="E103" i="13" s="1"/>
  <c r="I103" i="13" a="1"/>
  <c r="I103" i="13" s="1"/>
  <c r="H101" i="13"/>
  <c r="K101" i="13"/>
  <c r="L101" i="13" s="1"/>
  <c r="M101" i="13" s="1"/>
  <c r="K184" i="11"/>
  <c r="L184" i="11" s="1"/>
  <c r="M184" i="11" s="1"/>
  <c r="H184" i="11"/>
  <c r="J186" i="11" a="1"/>
  <c r="J186" i="11" s="1"/>
  <c r="I186" i="11" a="1"/>
  <c r="I186" i="11" s="1"/>
  <c r="C186" i="11"/>
  <c r="D186" i="11" s="1"/>
  <c r="E186" i="11" s="1"/>
  <c r="A188" i="11"/>
  <c r="B187" i="11"/>
  <c r="G185" i="11"/>
  <c r="F185" i="11"/>
  <c r="F102" i="11"/>
  <c r="G102" i="11"/>
  <c r="B104" i="11"/>
  <c r="A105" i="11"/>
  <c r="C103" i="11"/>
  <c r="D103" i="11" s="1"/>
  <c r="E103" i="11" s="1"/>
  <c r="I103" i="11" a="1"/>
  <c r="I103" i="11" s="1"/>
  <c r="J103" i="11" a="1"/>
  <c r="J103" i="11" s="1"/>
  <c r="H101" i="11"/>
  <c r="K101" i="11"/>
  <c r="L101" i="11" s="1"/>
  <c r="M101" i="11" s="1"/>
  <c r="C105" i="4"/>
  <c r="D105" i="4" s="1"/>
  <c r="E105" i="4" s="1"/>
  <c r="I105" i="4" a="1"/>
  <c r="I105" i="4" s="1"/>
  <c r="J105" i="4" a="1"/>
  <c r="J105" i="4" s="1"/>
  <c r="A107" i="4"/>
  <c r="B106" i="4"/>
  <c r="F104" i="4"/>
  <c r="G104" i="4"/>
  <c r="H103" i="4"/>
  <c r="K103" i="4"/>
  <c r="L103" i="4" s="1"/>
  <c r="M103" i="4" s="1"/>
  <c r="K102" i="2"/>
  <c r="H102" i="2"/>
  <c r="C104" i="2"/>
  <c r="D104" i="2" s="1"/>
  <c r="E104" i="2" s="1"/>
  <c r="J104" i="2" a="1"/>
  <c r="J104" i="2" s="1"/>
  <c r="I104" i="2" a="1"/>
  <c r="I104" i="2" s="1"/>
  <c r="B105" i="2"/>
  <c r="A106" i="2"/>
  <c r="F103" i="2"/>
  <c r="G103" i="2"/>
  <c r="F190" i="13" l="1"/>
  <c r="G190" i="13"/>
  <c r="B192" i="13"/>
  <c r="A193" i="13"/>
  <c r="I191" i="13" a="1"/>
  <c r="I191" i="13" s="1"/>
  <c r="C191" i="13"/>
  <c r="D191" i="13" s="1"/>
  <c r="E191" i="13" s="1"/>
  <c r="J191" i="13" a="1"/>
  <c r="J191" i="13" s="1"/>
  <c r="H189" i="13"/>
  <c r="K189" i="13"/>
  <c r="L189" i="13" s="1"/>
  <c r="M189" i="13" s="1"/>
  <c r="I104" i="13" a="1"/>
  <c r="I104" i="13" s="1"/>
  <c r="J104" i="13" a="1"/>
  <c r="J104" i="13" s="1"/>
  <c r="C104" i="13"/>
  <c r="D104" i="13" s="1"/>
  <c r="E104" i="13" s="1"/>
  <c r="G103" i="13"/>
  <c r="F103" i="13"/>
  <c r="A106" i="13"/>
  <c r="B105" i="13"/>
  <c r="H102" i="13"/>
  <c r="K102" i="13"/>
  <c r="L102" i="13" s="1"/>
  <c r="M102" i="13" s="1"/>
  <c r="K185" i="11"/>
  <c r="L185" i="11" s="1"/>
  <c r="M185" i="11" s="1"/>
  <c r="H185" i="11"/>
  <c r="I187" i="11" a="1"/>
  <c r="I187" i="11" s="1"/>
  <c r="J187" i="11" a="1"/>
  <c r="J187" i="11" s="1"/>
  <c r="C187" i="11"/>
  <c r="D187" i="11" s="1"/>
  <c r="E187" i="11" s="1"/>
  <c r="A189" i="11"/>
  <c r="B188" i="11"/>
  <c r="G186" i="11"/>
  <c r="F186" i="11"/>
  <c r="G103" i="11"/>
  <c r="F103" i="11"/>
  <c r="B105" i="11"/>
  <c r="A106" i="11"/>
  <c r="J104" i="11" a="1"/>
  <c r="J104" i="11" s="1"/>
  <c r="C104" i="11"/>
  <c r="D104" i="11" s="1"/>
  <c r="E104" i="11" s="1"/>
  <c r="I104" i="11" a="1"/>
  <c r="I104" i="11" s="1"/>
  <c r="H102" i="11"/>
  <c r="K102" i="11"/>
  <c r="L102" i="11" s="1"/>
  <c r="M102" i="11" s="1"/>
  <c r="H104" i="4"/>
  <c r="K104" i="4"/>
  <c r="L104" i="4" s="1"/>
  <c r="M104" i="4" s="1"/>
  <c r="I106" i="4" a="1"/>
  <c r="I106" i="4" s="1"/>
  <c r="J106" i="4" a="1"/>
  <c r="J106" i="4" s="1"/>
  <c r="C106" i="4"/>
  <c r="D106" i="4" s="1"/>
  <c r="E106" i="4" s="1"/>
  <c r="B107" i="4"/>
  <c r="A108" i="4"/>
  <c r="G105" i="4"/>
  <c r="F105" i="4"/>
  <c r="L102" i="2"/>
  <c r="M102" i="2" s="1"/>
  <c r="H103" i="2"/>
  <c r="K103" i="2"/>
  <c r="L103" i="2" s="1"/>
  <c r="M103" i="2" s="1"/>
  <c r="A107" i="2"/>
  <c r="B106" i="2"/>
  <c r="J105" i="2" a="1"/>
  <c r="J105" i="2" s="1"/>
  <c r="I105" i="2" a="1"/>
  <c r="I105" i="2" s="1"/>
  <c r="C105" i="2"/>
  <c r="D105" i="2" s="1"/>
  <c r="E105" i="2" s="1"/>
  <c r="G104" i="2"/>
  <c r="F104" i="2"/>
  <c r="G191" i="13" l="1"/>
  <c r="F191" i="13"/>
  <c r="B193" i="13"/>
  <c r="A194" i="13"/>
  <c r="I192" i="13" a="1"/>
  <c r="I192" i="13" s="1"/>
  <c r="J192" i="13" a="1"/>
  <c r="J192" i="13" s="1"/>
  <c r="C192" i="13"/>
  <c r="D192" i="13" s="1"/>
  <c r="E192" i="13" s="1"/>
  <c r="H190" i="13"/>
  <c r="K190" i="13"/>
  <c r="L190" i="13" s="1"/>
  <c r="M190" i="13" s="1"/>
  <c r="I105" i="13" a="1"/>
  <c r="I105" i="13" s="1"/>
  <c r="J105" i="13" a="1"/>
  <c r="J105" i="13" s="1"/>
  <c r="C105" i="13"/>
  <c r="D105" i="13" s="1"/>
  <c r="E105" i="13" s="1"/>
  <c r="K103" i="13"/>
  <c r="L103" i="13" s="1"/>
  <c r="M103" i="13" s="1"/>
  <c r="H103" i="13"/>
  <c r="B106" i="13"/>
  <c r="A107" i="13"/>
  <c r="G104" i="13"/>
  <c r="F104" i="13"/>
  <c r="K186" i="11"/>
  <c r="L186" i="11" s="1"/>
  <c r="M186" i="11" s="1"/>
  <c r="H186" i="11"/>
  <c r="J188" i="11" a="1"/>
  <c r="J188" i="11" s="1"/>
  <c r="C188" i="11"/>
  <c r="D188" i="11" s="1"/>
  <c r="E188" i="11" s="1"/>
  <c r="I188" i="11" a="1"/>
  <c r="I188" i="11" s="1"/>
  <c r="A190" i="11"/>
  <c r="B189" i="11"/>
  <c r="F187" i="11"/>
  <c r="G187" i="11"/>
  <c r="F104" i="11"/>
  <c r="G104" i="11"/>
  <c r="B106" i="11"/>
  <c r="A107" i="11"/>
  <c r="I105" i="11" a="1"/>
  <c r="I105" i="11" s="1"/>
  <c r="J105" i="11" a="1"/>
  <c r="J105" i="11" s="1"/>
  <c r="C105" i="11"/>
  <c r="D105" i="11" s="1"/>
  <c r="E105" i="11" s="1"/>
  <c r="H103" i="11"/>
  <c r="K103" i="11"/>
  <c r="L103" i="11" s="1"/>
  <c r="M103" i="11" s="1"/>
  <c r="B108" i="4"/>
  <c r="A109" i="4"/>
  <c r="J107" i="4" a="1"/>
  <c r="J107" i="4" s="1"/>
  <c r="I107" i="4" a="1"/>
  <c r="I107" i="4" s="1"/>
  <c r="C107" i="4"/>
  <c r="D107" i="4" s="1"/>
  <c r="E107" i="4" s="1"/>
  <c r="H105" i="4"/>
  <c r="K105" i="4"/>
  <c r="L105" i="4" s="1"/>
  <c r="M105" i="4" s="1"/>
  <c r="G106" i="4"/>
  <c r="F106" i="4"/>
  <c r="K104" i="2"/>
  <c r="L104" i="2" s="1"/>
  <c r="M104" i="2" s="1"/>
  <c r="H104" i="2"/>
  <c r="G105" i="2"/>
  <c r="F105" i="2"/>
  <c r="I106" i="2" a="1"/>
  <c r="I106" i="2" s="1"/>
  <c r="C106" i="2"/>
  <c r="D106" i="2" s="1"/>
  <c r="E106" i="2" s="1"/>
  <c r="J106" i="2" a="1"/>
  <c r="J106" i="2" s="1"/>
  <c r="A108" i="2"/>
  <c r="B107" i="2"/>
  <c r="G192" i="13" l="1"/>
  <c r="F192" i="13"/>
  <c r="B194" i="13"/>
  <c r="A195" i="13"/>
  <c r="I193" i="13" a="1"/>
  <c r="I193" i="13" s="1"/>
  <c r="C193" i="13"/>
  <c r="D193" i="13" s="1"/>
  <c r="E193" i="13" s="1"/>
  <c r="J193" i="13" a="1"/>
  <c r="J193" i="13" s="1"/>
  <c r="H191" i="13"/>
  <c r="K191" i="13"/>
  <c r="L191" i="13" s="1"/>
  <c r="M191" i="13" s="1"/>
  <c r="H104" i="13"/>
  <c r="K104" i="13"/>
  <c r="L104" i="13" s="1"/>
  <c r="M104" i="13" s="1"/>
  <c r="B107" i="13"/>
  <c r="A108" i="13"/>
  <c r="C106" i="13"/>
  <c r="D106" i="13" s="1"/>
  <c r="E106" i="13" s="1"/>
  <c r="I106" i="13" a="1"/>
  <c r="I106" i="13" s="1"/>
  <c r="J106" i="13" a="1"/>
  <c r="J106" i="13" s="1"/>
  <c r="F105" i="13"/>
  <c r="G105" i="13"/>
  <c r="F188" i="11"/>
  <c r="G188" i="11"/>
  <c r="H187" i="11"/>
  <c r="K187" i="11"/>
  <c r="L187" i="11" s="1"/>
  <c r="M187" i="11" s="1"/>
  <c r="C189" i="11"/>
  <c r="D189" i="11" s="1"/>
  <c r="E189" i="11" s="1"/>
  <c r="I189" i="11" a="1"/>
  <c r="I189" i="11" s="1"/>
  <c r="J189" i="11" a="1"/>
  <c r="J189" i="11" s="1"/>
  <c r="B190" i="11"/>
  <c r="A191" i="11"/>
  <c r="F105" i="11"/>
  <c r="G105" i="11"/>
  <c r="J106" i="11" a="1"/>
  <c r="J106" i="11" s="1"/>
  <c r="C106" i="11"/>
  <c r="D106" i="11" s="1"/>
  <c r="E106" i="11" s="1"/>
  <c r="I106" i="11" a="1"/>
  <c r="I106" i="11" s="1"/>
  <c r="B107" i="11"/>
  <c r="A108" i="11"/>
  <c r="K104" i="11"/>
  <c r="L104" i="11" s="1"/>
  <c r="M104" i="11" s="1"/>
  <c r="H104" i="11"/>
  <c r="H106" i="4"/>
  <c r="K106" i="4"/>
  <c r="L106" i="4" s="1"/>
  <c r="M106" i="4" s="1"/>
  <c r="G107" i="4"/>
  <c r="F107" i="4"/>
  <c r="A110" i="4"/>
  <c r="B109" i="4"/>
  <c r="J108" i="4" a="1"/>
  <c r="J108" i="4" s="1"/>
  <c r="C108" i="4"/>
  <c r="D108" i="4" s="1"/>
  <c r="E108" i="4" s="1"/>
  <c r="I108" i="4" a="1"/>
  <c r="I108" i="4" s="1"/>
  <c r="I107" i="2" a="1"/>
  <c r="I107" i="2" s="1"/>
  <c r="C107" i="2"/>
  <c r="D107" i="2" s="1"/>
  <c r="E107" i="2" s="1"/>
  <c r="J107" i="2" a="1"/>
  <c r="J107" i="2" s="1"/>
  <c r="B108" i="2"/>
  <c r="A109" i="2"/>
  <c r="G106" i="2"/>
  <c r="F106" i="2"/>
  <c r="H105" i="2"/>
  <c r="K105" i="2"/>
  <c r="L105" i="2" s="1"/>
  <c r="M105" i="2" s="1"/>
  <c r="G193" i="13" l="1"/>
  <c r="F193" i="13"/>
  <c r="H192" i="13"/>
  <c r="K192" i="13"/>
  <c r="L192" i="13" s="1"/>
  <c r="M192" i="13" s="1"/>
  <c r="A196" i="13"/>
  <c r="B195" i="13"/>
  <c r="J194" i="13" a="1"/>
  <c r="J194" i="13" s="1"/>
  <c r="I194" i="13" a="1"/>
  <c r="I194" i="13" s="1"/>
  <c r="C194" i="13"/>
  <c r="D194" i="13" s="1"/>
  <c r="E194" i="13" s="1"/>
  <c r="H105" i="13"/>
  <c r="K105" i="13"/>
  <c r="L105" i="13" s="1"/>
  <c r="M105" i="13" s="1"/>
  <c r="F106" i="13"/>
  <c r="G106" i="13"/>
  <c r="B108" i="13"/>
  <c r="A109" i="13"/>
  <c r="J107" i="13" a="1"/>
  <c r="J107" i="13" s="1"/>
  <c r="C107" i="13"/>
  <c r="D107" i="13" s="1"/>
  <c r="E107" i="13" s="1"/>
  <c r="I107" i="13" a="1"/>
  <c r="I107" i="13" s="1"/>
  <c r="A192" i="11"/>
  <c r="B191" i="11"/>
  <c r="C190" i="11"/>
  <c r="D190" i="11" s="1"/>
  <c r="E190" i="11" s="1"/>
  <c r="I190" i="11" a="1"/>
  <c r="I190" i="11" s="1"/>
  <c r="J190" i="11" a="1"/>
  <c r="J190" i="11" s="1"/>
  <c r="F189" i="11"/>
  <c r="G189" i="11"/>
  <c r="H188" i="11"/>
  <c r="K188" i="11"/>
  <c r="L188" i="11" s="1"/>
  <c r="M188" i="11" s="1"/>
  <c r="B108" i="11"/>
  <c r="A109" i="11"/>
  <c r="C107" i="11"/>
  <c r="D107" i="11" s="1"/>
  <c r="E107" i="11" s="1"/>
  <c r="I107" i="11" a="1"/>
  <c r="I107" i="11" s="1"/>
  <c r="J107" i="11" a="1"/>
  <c r="J107" i="11" s="1"/>
  <c r="F106" i="11"/>
  <c r="G106" i="11"/>
  <c r="H105" i="11"/>
  <c r="K105" i="11"/>
  <c r="L105" i="11" s="1"/>
  <c r="M105" i="11" s="1"/>
  <c r="F108" i="4"/>
  <c r="G108" i="4"/>
  <c r="C109" i="4"/>
  <c r="D109" i="4" s="1"/>
  <c r="E109" i="4" s="1"/>
  <c r="J109" i="4" a="1"/>
  <c r="J109" i="4" s="1"/>
  <c r="I109" i="4" a="1"/>
  <c r="I109" i="4" s="1"/>
  <c r="A111" i="4"/>
  <c r="B110" i="4"/>
  <c r="H107" i="4"/>
  <c r="K107" i="4"/>
  <c r="L107" i="4" s="1"/>
  <c r="M107" i="4" s="1"/>
  <c r="H106" i="2"/>
  <c r="K106" i="2"/>
  <c r="L106" i="2" s="1"/>
  <c r="M106" i="2" s="1"/>
  <c r="A110" i="2"/>
  <c r="B109" i="2"/>
  <c r="C108" i="2"/>
  <c r="D108" i="2" s="1"/>
  <c r="E108" i="2" s="1"/>
  <c r="I108" i="2" a="1"/>
  <c r="I108" i="2" s="1"/>
  <c r="J108" i="2" a="1"/>
  <c r="J108" i="2" s="1"/>
  <c r="G107" i="2"/>
  <c r="F107" i="2"/>
  <c r="G194" i="13" l="1"/>
  <c r="F194" i="13"/>
  <c r="J195" i="13" a="1"/>
  <c r="J195" i="13" s="1"/>
  <c r="I195" i="13" a="1"/>
  <c r="I195" i="13" s="1"/>
  <c r="C195" i="13"/>
  <c r="D195" i="13" s="1"/>
  <c r="E195" i="13" s="1"/>
  <c r="A197" i="13"/>
  <c r="B196" i="13"/>
  <c r="K193" i="13"/>
  <c r="L193" i="13" s="1"/>
  <c r="M193" i="13" s="1"/>
  <c r="H193" i="13"/>
  <c r="G107" i="13"/>
  <c r="F107" i="13"/>
  <c r="A110" i="13"/>
  <c r="B109" i="13"/>
  <c r="I108" i="13" a="1"/>
  <c r="I108" i="13" s="1"/>
  <c r="J108" i="13" a="1"/>
  <c r="J108" i="13" s="1"/>
  <c r="C108" i="13"/>
  <c r="D108" i="13" s="1"/>
  <c r="E108" i="13" s="1"/>
  <c r="H106" i="13"/>
  <c r="K106" i="13"/>
  <c r="L106" i="13" s="1"/>
  <c r="M106" i="13" s="1"/>
  <c r="H189" i="11"/>
  <c r="K189" i="11"/>
  <c r="L189" i="11" s="1"/>
  <c r="M189" i="11" s="1"/>
  <c r="F190" i="11"/>
  <c r="G190" i="11"/>
  <c r="C191" i="11"/>
  <c r="D191" i="11" s="1"/>
  <c r="E191" i="11" s="1"/>
  <c r="J191" i="11" a="1"/>
  <c r="J191" i="11" s="1"/>
  <c r="I191" i="11" a="1"/>
  <c r="I191" i="11" s="1"/>
  <c r="B192" i="11"/>
  <c r="A193" i="11"/>
  <c r="H106" i="11"/>
  <c r="K106" i="11"/>
  <c r="L106" i="11" s="1"/>
  <c r="M106" i="11" s="1"/>
  <c r="G107" i="11"/>
  <c r="F107" i="11"/>
  <c r="B109" i="11"/>
  <c r="A110" i="11"/>
  <c r="J108" i="11" a="1"/>
  <c r="J108" i="11" s="1"/>
  <c r="C108" i="11"/>
  <c r="D108" i="11" s="1"/>
  <c r="E108" i="11" s="1"/>
  <c r="I108" i="11" a="1"/>
  <c r="I108" i="11" s="1"/>
  <c r="I110" i="4" a="1"/>
  <c r="I110" i="4" s="1"/>
  <c r="C110" i="4"/>
  <c r="D110" i="4" s="1"/>
  <c r="E110" i="4" s="1"/>
  <c r="J110" i="4" a="1"/>
  <c r="J110" i="4" s="1"/>
  <c r="B111" i="4"/>
  <c r="A112" i="4"/>
  <c r="G109" i="4"/>
  <c r="F109" i="4"/>
  <c r="H108" i="4"/>
  <c r="K108" i="4"/>
  <c r="L108" i="4" s="1"/>
  <c r="M108" i="4" s="1"/>
  <c r="H107" i="2"/>
  <c r="K107" i="2"/>
  <c r="L107" i="2" s="1"/>
  <c r="M107" i="2" s="1"/>
  <c r="A111" i="2"/>
  <c r="B110" i="2"/>
  <c r="G108" i="2"/>
  <c r="F108" i="2"/>
  <c r="C109" i="2"/>
  <c r="D109" i="2" s="1"/>
  <c r="E109" i="2" s="1"/>
  <c r="I109" i="2" a="1"/>
  <c r="I109" i="2" s="1"/>
  <c r="J109" i="2" a="1"/>
  <c r="J109" i="2" s="1"/>
  <c r="A198" i="13" l="1"/>
  <c r="B197" i="13"/>
  <c r="I196" i="13" a="1"/>
  <c r="I196" i="13" s="1"/>
  <c r="C196" i="13"/>
  <c r="D196" i="13" s="1"/>
  <c r="E196" i="13" s="1"/>
  <c r="J196" i="13" a="1"/>
  <c r="J196" i="13" s="1"/>
  <c r="F195" i="13"/>
  <c r="G195" i="13"/>
  <c r="K194" i="13"/>
  <c r="L194" i="13" s="1"/>
  <c r="M194" i="13" s="1"/>
  <c r="H194" i="13"/>
  <c r="F108" i="13"/>
  <c r="G108" i="13"/>
  <c r="B110" i="13"/>
  <c r="A111" i="13"/>
  <c r="K107" i="13"/>
  <c r="L107" i="13" s="1"/>
  <c r="M107" i="13" s="1"/>
  <c r="H107" i="13"/>
  <c r="I109" i="13" a="1"/>
  <c r="I109" i="13" s="1"/>
  <c r="J109" i="13" a="1"/>
  <c r="J109" i="13" s="1"/>
  <c r="C109" i="13"/>
  <c r="D109" i="13" s="1"/>
  <c r="E109" i="13" s="1"/>
  <c r="B193" i="11"/>
  <c r="A194" i="11"/>
  <c r="J192" i="11" a="1"/>
  <c r="J192" i="11" s="1"/>
  <c r="C192" i="11"/>
  <c r="D192" i="11" s="1"/>
  <c r="E192" i="11" s="1"/>
  <c r="I192" i="11" a="1"/>
  <c r="I192" i="11" s="1"/>
  <c r="F191" i="11"/>
  <c r="G191" i="11"/>
  <c r="K190" i="11"/>
  <c r="L190" i="11" s="1"/>
  <c r="M190" i="11" s="1"/>
  <c r="H190" i="11"/>
  <c r="F108" i="11"/>
  <c r="G108" i="11"/>
  <c r="A111" i="11"/>
  <c r="B110" i="11"/>
  <c r="I109" i="11" a="1"/>
  <c r="I109" i="11" s="1"/>
  <c r="J109" i="11" a="1"/>
  <c r="J109" i="11" s="1"/>
  <c r="C109" i="11"/>
  <c r="D109" i="11" s="1"/>
  <c r="E109" i="11" s="1"/>
  <c r="H107" i="11"/>
  <c r="K107" i="11"/>
  <c r="L107" i="11" s="1"/>
  <c r="M107" i="11" s="1"/>
  <c r="H109" i="4"/>
  <c r="K109" i="4"/>
  <c r="B112" i="4"/>
  <c r="A113" i="4"/>
  <c r="J111" i="4" a="1"/>
  <c r="J111" i="4" s="1"/>
  <c r="I111" i="4" a="1"/>
  <c r="I111" i="4" s="1"/>
  <c r="C111" i="4"/>
  <c r="D111" i="4" s="1"/>
  <c r="E111" i="4" s="1"/>
  <c r="G110" i="4"/>
  <c r="F110" i="4"/>
  <c r="G109" i="2"/>
  <c r="F109" i="2"/>
  <c r="K108" i="2"/>
  <c r="L108" i="2" s="1"/>
  <c r="M108" i="2" s="1"/>
  <c r="H108" i="2"/>
  <c r="C110" i="2"/>
  <c r="D110" i="2" s="1"/>
  <c r="E110" i="2" s="1"/>
  <c r="J110" i="2" a="1"/>
  <c r="J110" i="2" s="1"/>
  <c r="I110" i="2" a="1"/>
  <c r="I110" i="2" s="1"/>
  <c r="A112" i="2"/>
  <c r="B111" i="2"/>
  <c r="C197" i="13" l="1"/>
  <c r="D197" i="13" s="1"/>
  <c r="E197" i="13" s="1"/>
  <c r="I197" i="13" a="1"/>
  <c r="I197" i="13" s="1"/>
  <c r="J197" i="13" a="1"/>
  <c r="J197" i="13" s="1"/>
  <c r="H195" i="13"/>
  <c r="K195" i="13"/>
  <c r="L195" i="13" s="1"/>
  <c r="M195" i="13" s="1"/>
  <c r="G196" i="13"/>
  <c r="F196" i="13"/>
  <c r="B198" i="13"/>
  <c r="A199" i="13"/>
  <c r="F109" i="13"/>
  <c r="G109" i="13"/>
  <c r="B111" i="13"/>
  <c r="A112" i="13"/>
  <c r="C110" i="13"/>
  <c r="D110" i="13" s="1"/>
  <c r="E110" i="13" s="1"/>
  <c r="J110" i="13" a="1"/>
  <c r="J110" i="13" s="1"/>
  <c r="I110" i="13" a="1"/>
  <c r="I110" i="13" s="1"/>
  <c r="H108" i="13"/>
  <c r="K108" i="13"/>
  <c r="L108" i="13" s="1"/>
  <c r="M108" i="13" s="1"/>
  <c r="B194" i="11"/>
  <c r="A195" i="11"/>
  <c r="K191" i="11"/>
  <c r="L191" i="11" s="1"/>
  <c r="M191" i="11" s="1"/>
  <c r="H191" i="11"/>
  <c r="F192" i="11"/>
  <c r="G192" i="11"/>
  <c r="I193" i="11" a="1"/>
  <c r="I193" i="11" s="1"/>
  <c r="C193" i="11"/>
  <c r="D193" i="11" s="1"/>
  <c r="E193" i="11" s="1"/>
  <c r="J193" i="11" a="1"/>
  <c r="J193" i="11" s="1"/>
  <c r="F109" i="11"/>
  <c r="G109" i="11"/>
  <c r="J110" i="11" a="1"/>
  <c r="J110" i="11" s="1"/>
  <c r="C110" i="11"/>
  <c r="D110" i="11" s="1"/>
  <c r="E110" i="11" s="1"/>
  <c r="I110" i="11" a="1"/>
  <c r="I110" i="11" s="1"/>
  <c r="B111" i="11"/>
  <c r="A112" i="11"/>
  <c r="K108" i="11"/>
  <c r="L108" i="11" s="1"/>
  <c r="M108" i="11" s="1"/>
  <c r="H108" i="11"/>
  <c r="A114" i="4"/>
  <c r="B113" i="4"/>
  <c r="J112" i="4" a="1"/>
  <c r="J112" i="4" s="1"/>
  <c r="C112" i="4"/>
  <c r="D112" i="4" s="1"/>
  <c r="E112" i="4" s="1"/>
  <c r="I112" i="4" a="1"/>
  <c r="I112" i="4" s="1"/>
  <c r="L109" i="4"/>
  <c r="M109" i="4" s="1"/>
  <c r="H110" i="4"/>
  <c r="K110" i="4"/>
  <c r="L110" i="4" s="1"/>
  <c r="M110" i="4" s="1"/>
  <c r="G111" i="4"/>
  <c r="F111" i="4"/>
  <c r="C111" i="2"/>
  <c r="D111" i="2" s="1"/>
  <c r="E111" i="2" s="1"/>
  <c r="I111" i="2" a="1"/>
  <c r="I111" i="2" s="1"/>
  <c r="J111" i="2" a="1"/>
  <c r="J111" i="2" s="1"/>
  <c r="A113" i="2"/>
  <c r="B112" i="2"/>
  <c r="G110" i="2"/>
  <c r="F110" i="2"/>
  <c r="K109" i="2"/>
  <c r="H109" i="2"/>
  <c r="H196" i="13" l="1"/>
  <c r="K196" i="13"/>
  <c r="L196" i="13" s="1"/>
  <c r="M196" i="13" s="1"/>
  <c r="C198" i="13"/>
  <c r="D198" i="13" s="1"/>
  <c r="E198" i="13" s="1"/>
  <c r="I198" i="13" a="1"/>
  <c r="I198" i="13" s="1"/>
  <c r="J198" i="13" a="1"/>
  <c r="J198" i="13" s="1"/>
  <c r="B199" i="13"/>
  <c r="A200" i="13"/>
  <c r="F197" i="13"/>
  <c r="G197" i="13"/>
  <c r="F110" i="13"/>
  <c r="G110" i="13"/>
  <c r="B112" i="13"/>
  <c r="A113" i="13"/>
  <c r="J111" i="13" a="1"/>
  <c r="J111" i="13" s="1"/>
  <c r="C111" i="13"/>
  <c r="D111" i="13" s="1"/>
  <c r="E111" i="13" s="1"/>
  <c r="I111" i="13" a="1"/>
  <c r="I111" i="13" s="1"/>
  <c r="H109" i="13"/>
  <c r="K109" i="13"/>
  <c r="L109" i="13" s="1"/>
  <c r="M109" i="13" s="1"/>
  <c r="K192" i="11"/>
  <c r="L192" i="11" s="1"/>
  <c r="M192" i="11" s="1"/>
  <c r="H192" i="11"/>
  <c r="A196" i="11"/>
  <c r="B195" i="11"/>
  <c r="F193" i="11"/>
  <c r="G193" i="11"/>
  <c r="J194" i="11" a="1"/>
  <c r="J194" i="11" s="1"/>
  <c r="C194" i="11"/>
  <c r="D194" i="11" s="1"/>
  <c r="E194" i="11" s="1"/>
  <c r="I194" i="11" a="1"/>
  <c r="I194" i="11" s="1"/>
  <c r="B112" i="11"/>
  <c r="A113" i="11"/>
  <c r="C111" i="11"/>
  <c r="D111" i="11" s="1"/>
  <c r="E111" i="11" s="1"/>
  <c r="I111" i="11" a="1"/>
  <c r="I111" i="11" s="1"/>
  <c r="J111" i="11" a="1"/>
  <c r="J111" i="11" s="1"/>
  <c r="F110" i="11"/>
  <c r="G110" i="11"/>
  <c r="H109" i="11"/>
  <c r="K109" i="11"/>
  <c r="L109" i="11" s="1"/>
  <c r="M109" i="11" s="1"/>
  <c r="H110" i="2"/>
  <c r="H111" i="4"/>
  <c r="K111" i="4"/>
  <c r="L111" i="4" s="1"/>
  <c r="M111" i="4" s="1"/>
  <c r="F112" i="4"/>
  <c r="G112" i="4"/>
  <c r="C113" i="4"/>
  <c r="D113" i="4" s="1"/>
  <c r="E113" i="4" s="1"/>
  <c r="J113" i="4" a="1"/>
  <c r="J113" i="4" s="1"/>
  <c r="I113" i="4" a="1"/>
  <c r="I113" i="4" s="1"/>
  <c r="A115" i="4"/>
  <c r="B114" i="4"/>
  <c r="L109" i="2"/>
  <c r="M109" i="2" s="1"/>
  <c r="K110" i="2"/>
  <c r="L110" i="2" s="1"/>
  <c r="M110" i="2" s="1"/>
  <c r="C112" i="2"/>
  <c r="D112" i="2" s="1"/>
  <c r="E112" i="2" s="1"/>
  <c r="J112" i="2" a="1"/>
  <c r="J112" i="2" s="1"/>
  <c r="I112" i="2" a="1"/>
  <c r="I112" i="2" s="1"/>
  <c r="A114" i="2"/>
  <c r="B113" i="2"/>
  <c r="G111" i="2"/>
  <c r="F111" i="2"/>
  <c r="H197" i="13" l="1"/>
  <c r="K197" i="13"/>
  <c r="L197" i="13" s="1"/>
  <c r="M197" i="13" s="1"/>
  <c r="B200" i="13"/>
  <c r="A201" i="13"/>
  <c r="J199" i="13" a="1"/>
  <c r="J199" i="13" s="1"/>
  <c r="C199" i="13"/>
  <c r="D199" i="13" s="1"/>
  <c r="E199" i="13" s="1"/>
  <c r="I199" i="13" a="1"/>
  <c r="I199" i="13" s="1"/>
  <c r="F198" i="13"/>
  <c r="G198" i="13"/>
  <c r="I112" i="13" a="1"/>
  <c r="I112" i="13" s="1"/>
  <c r="J112" i="13" a="1"/>
  <c r="J112" i="13" s="1"/>
  <c r="C112" i="13"/>
  <c r="D112" i="13" s="1"/>
  <c r="E112" i="13" s="1"/>
  <c r="A114" i="13"/>
  <c r="B113" i="13"/>
  <c r="G111" i="13"/>
  <c r="F111" i="13"/>
  <c r="H110" i="13"/>
  <c r="K110" i="13"/>
  <c r="L110" i="13" s="1"/>
  <c r="M110" i="13" s="1"/>
  <c r="F194" i="11"/>
  <c r="G194" i="11"/>
  <c r="A197" i="11"/>
  <c r="B196" i="11"/>
  <c r="C195" i="11"/>
  <c r="D195" i="11" s="1"/>
  <c r="E195" i="11" s="1"/>
  <c r="J195" i="11" a="1"/>
  <c r="J195" i="11" s="1"/>
  <c r="I195" i="11" a="1"/>
  <c r="I195" i="11" s="1"/>
  <c r="K193" i="11"/>
  <c r="L193" i="11" s="1"/>
  <c r="M193" i="11" s="1"/>
  <c r="H193" i="11"/>
  <c r="H110" i="11"/>
  <c r="K110" i="11"/>
  <c r="L110" i="11" s="1"/>
  <c r="M110" i="11" s="1"/>
  <c r="G111" i="11"/>
  <c r="F111" i="11"/>
  <c r="B113" i="11"/>
  <c r="A114" i="11"/>
  <c r="J112" i="11" a="1"/>
  <c r="J112" i="11" s="1"/>
  <c r="C112" i="11"/>
  <c r="D112" i="11" s="1"/>
  <c r="E112" i="11" s="1"/>
  <c r="I112" i="11" a="1"/>
  <c r="I112" i="11" s="1"/>
  <c r="J114" i="4" a="1"/>
  <c r="J114" i="4" s="1"/>
  <c r="C114" i="4"/>
  <c r="D114" i="4" s="1"/>
  <c r="E114" i="4" s="1"/>
  <c r="I114" i="4" a="1"/>
  <c r="I114" i="4" s="1"/>
  <c r="A116" i="4"/>
  <c r="B115" i="4"/>
  <c r="H112" i="4"/>
  <c r="K112" i="4"/>
  <c r="L112" i="4" s="1"/>
  <c r="M112" i="4" s="1"/>
  <c r="G113" i="4"/>
  <c r="F113" i="4"/>
  <c r="H111" i="2"/>
  <c r="K111" i="2"/>
  <c r="L111" i="2" s="1"/>
  <c r="M111" i="2" s="1"/>
  <c r="C113" i="2"/>
  <c r="D113" i="2" s="1"/>
  <c r="E113" i="2" s="1"/>
  <c r="J113" i="2" a="1"/>
  <c r="J113" i="2" s="1"/>
  <c r="I113" i="2" a="1"/>
  <c r="I113" i="2" s="1"/>
  <c r="A115" i="2"/>
  <c r="B114" i="2"/>
  <c r="G112" i="2"/>
  <c r="F112" i="2"/>
  <c r="H198" i="13" l="1"/>
  <c r="K198" i="13"/>
  <c r="L198" i="13" s="1"/>
  <c r="M198" i="13" s="1"/>
  <c r="B201" i="13"/>
  <c r="A202" i="13"/>
  <c r="I200" i="13" a="1"/>
  <c r="I200" i="13" s="1"/>
  <c r="C200" i="13"/>
  <c r="D200" i="13" s="1"/>
  <c r="E200" i="13" s="1"/>
  <c r="J200" i="13" a="1"/>
  <c r="J200" i="13" s="1"/>
  <c r="G199" i="13"/>
  <c r="F199" i="13"/>
  <c r="K111" i="13"/>
  <c r="L111" i="13" s="1"/>
  <c r="M111" i="13" s="1"/>
  <c r="H111" i="13"/>
  <c r="I113" i="13" a="1"/>
  <c r="I113" i="13" s="1"/>
  <c r="J113" i="13" a="1"/>
  <c r="J113" i="13" s="1"/>
  <c r="C113" i="13"/>
  <c r="D113" i="13" s="1"/>
  <c r="E113" i="13" s="1"/>
  <c r="B114" i="13"/>
  <c r="A115" i="13"/>
  <c r="G112" i="13"/>
  <c r="F112" i="13"/>
  <c r="I196" i="11" a="1"/>
  <c r="I196" i="11" s="1"/>
  <c r="J196" i="11" a="1"/>
  <c r="J196" i="11" s="1"/>
  <c r="C196" i="11"/>
  <c r="D196" i="11" s="1"/>
  <c r="E196" i="11" s="1"/>
  <c r="F195" i="11"/>
  <c r="G195" i="11"/>
  <c r="B197" i="11"/>
  <c r="A198" i="11"/>
  <c r="K194" i="11"/>
  <c r="L194" i="11" s="1"/>
  <c r="M194" i="11" s="1"/>
  <c r="H194" i="11"/>
  <c r="F112" i="11"/>
  <c r="G112" i="11"/>
  <c r="A115" i="11"/>
  <c r="B115" i="11" s="1"/>
  <c r="B114" i="11"/>
  <c r="I113" i="11" a="1"/>
  <c r="I113" i="11" s="1"/>
  <c r="J113" i="11" a="1"/>
  <c r="J113" i="11" s="1"/>
  <c r="C113" i="11"/>
  <c r="D113" i="11" s="1"/>
  <c r="E113" i="11" s="1"/>
  <c r="H111" i="11"/>
  <c r="K111" i="11"/>
  <c r="L111" i="11" s="1"/>
  <c r="M111" i="11" s="1"/>
  <c r="J115" i="4" a="1"/>
  <c r="J115" i="4" s="1"/>
  <c r="C115" i="4"/>
  <c r="D115" i="4" s="1"/>
  <c r="E115" i="4" s="1"/>
  <c r="I115" i="4" a="1"/>
  <c r="I115" i="4" s="1"/>
  <c r="A117" i="4"/>
  <c r="B116" i="4"/>
  <c r="H113" i="4"/>
  <c r="K113" i="4"/>
  <c r="L113" i="4" s="1"/>
  <c r="M113" i="4" s="1"/>
  <c r="G114" i="4"/>
  <c r="F114" i="4"/>
  <c r="K112" i="2"/>
  <c r="L112" i="2" s="1"/>
  <c r="M112" i="2" s="1"/>
  <c r="H112" i="2"/>
  <c r="C114" i="2"/>
  <c r="D114" i="2" s="1"/>
  <c r="E114" i="2" s="1"/>
  <c r="J114" i="2" a="1"/>
  <c r="J114" i="2" s="1"/>
  <c r="I114" i="2" a="1"/>
  <c r="I114" i="2" s="1"/>
  <c r="A116" i="2"/>
  <c r="B115" i="2"/>
  <c r="F113" i="2"/>
  <c r="G113" i="2"/>
  <c r="H199" i="13" l="1"/>
  <c r="K199" i="13"/>
  <c r="L199" i="13" s="1"/>
  <c r="M199" i="13" s="1"/>
  <c r="B202" i="13"/>
  <c r="A203" i="13"/>
  <c r="F200" i="13"/>
  <c r="G200" i="13"/>
  <c r="J201" i="13" a="1"/>
  <c r="J201" i="13" s="1"/>
  <c r="C201" i="13"/>
  <c r="D201" i="13" s="1"/>
  <c r="E201" i="13" s="1"/>
  <c r="I201" i="13" a="1"/>
  <c r="I201" i="13" s="1"/>
  <c r="B115" i="13"/>
  <c r="C114" i="13"/>
  <c r="D114" i="13" s="1"/>
  <c r="E114" i="13" s="1"/>
  <c r="I114" i="13" a="1"/>
  <c r="I114" i="13" s="1"/>
  <c r="J114" i="13" a="1"/>
  <c r="J114" i="13" s="1"/>
  <c r="F113" i="13"/>
  <c r="G113" i="13"/>
  <c r="H112" i="13"/>
  <c r="K112" i="13"/>
  <c r="L112" i="13" s="1"/>
  <c r="M112" i="13" s="1"/>
  <c r="B198" i="11"/>
  <c r="A199" i="11"/>
  <c r="I197" i="11" a="1"/>
  <c r="I197" i="11" s="1"/>
  <c r="J197" i="11" a="1"/>
  <c r="J197" i="11" s="1"/>
  <c r="C197" i="11"/>
  <c r="D197" i="11" s="1"/>
  <c r="E197" i="11" s="1"/>
  <c r="K195" i="11"/>
  <c r="L195" i="11" s="1"/>
  <c r="M195" i="11" s="1"/>
  <c r="H195" i="11"/>
  <c r="F196" i="11"/>
  <c r="G196" i="11"/>
  <c r="J114" i="11" a="1"/>
  <c r="J114" i="11" s="1"/>
  <c r="C114" i="11"/>
  <c r="D114" i="11" s="1"/>
  <c r="E114" i="11" s="1"/>
  <c r="I114" i="11" a="1"/>
  <c r="I114" i="11" s="1"/>
  <c r="C115" i="11"/>
  <c r="D115" i="11" s="1"/>
  <c r="E115" i="11" s="1"/>
  <c r="I115" i="11" a="1"/>
  <c r="I115" i="11" s="1"/>
  <c r="J115" i="11" a="1"/>
  <c r="J115" i="11" s="1"/>
  <c r="F113" i="11"/>
  <c r="G113" i="11"/>
  <c r="K112" i="11"/>
  <c r="L112" i="11" s="1"/>
  <c r="M112" i="11" s="1"/>
  <c r="H112" i="11"/>
  <c r="H114" i="4"/>
  <c r="K114" i="4"/>
  <c r="L114" i="4" s="1"/>
  <c r="M114" i="4" s="1"/>
  <c r="I116" i="4" a="1"/>
  <c r="I116" i="4" s="1"/>
  <c r="C116" i="4"/>
  <c r="D116" i="4" s="1"/>
  <c r="E116" i="4" s="1"/>
  <c r="J116" i="4" a="1"/>
  <c r="J116" i="4" s="1"/>
  <c r="B117" i="4"/>
  <c r="A118" i="4"/>
  <c r="G115" i="4"/>
  <c r="F115" i="4"/>
  <c r="K113" i="2"/>
  <c r="H113" i="2"/>
  <c r="I115" i="2" a="1"/>
  <c r="I115" i="2" s="1"/>
  <c r="C115" i="2"/>
  <c r="D115" i="2" s="1"/>
  <c r="E115" i="2" s="1"/>
  <c r="J115" i="2" a="1"/>
  <c r="J115" i="2" s="1"/>
  <c r="A117" i="2"/>
  <c r="B116" i="2"/>
  <c r="G114" i="2"/>
  <c r="F114" i="2"/>
  <c r="G201" i="13" l="1"/>
  <c r="F201" i="13"/>
  <c r="H200" i="13"/>
  <c r="K200" i="13"/>
  <c r="L200" i="13" s="1"/>
  <c r="M200" i="13" s="1"/>
  <c r="A204" i="13"/>
  <c r="B203" i="13"/>
  <c r="I202" i="13" a="1"/>
  <c r="I202" i="13" s="1"/>
  <c r="J202" i="13" a="1"/>
  <c r="J202" i="13" s="1"/>
  <c r="C202" i="13"/>
  <c r="D202" i="13" s="1"/>
  <c r="E202" i="13" s="1"/>
  <c r="H113" i="13"/>
  <c r="K113" i="13"/>
  <c r="L113" i="13" s="1"/>
  <c r="M113" i="13" s="1"/>
  <c r="F114" i="13"/>
  <c r="G114" i="13"/>
  <c r="J115" i="13" a="1"/>
  <c r="J115" i="13" s="1"/>
  <c r="C115" i="13"/>
  <c r="D115" i="13" s="1"/>
  <c r="E115" i="13" s="1"/>
  <c r="I115" i="13" a="1"/>
  <c r="I115" i="13" s="1"/>
  <c r="K196" i="11"/>
  <c r="L196" i="11" s="1"/>
  <c r="M196" i="11" s="1"/>
  <c r="H196" i="11"/>
  <c r="G197" i="11"/>
  <c r="F197" i="11"/>
  <c r="A200" i="11"/>
  <c r="B199" i="11"/>
  <c r="I198" i="11" a="1"/>
  <c r="I198" i="11" s="1"/>
  <c r="J198" i="11" a="1"/>
  <c r="J198" i="11" s="1"/>
  <c r="C198" i="11"/>
  <c r="D198" i="11" s="1"/>
  <c r="E198" i="11" s="1"/>
  <c r="H113" i="11"/>
  <c r="K113" i="11"/>
  <c r="L113" i="11" s="1"/>
  <c r="M113" i="11" s="1"/>
  <c r="G115" i="11"/>
  <c r="F115" i="11"/>
  <c r="F114" i="11"/>
  <c r="G114" i="11"/>
  <c r="H115" i="4"/>
  <c r="K115" i="4"/>
  <c r="L115" i="4" s="1"/>
  <c r="M115" i="4" s="1"/>
  <c r="B118" i="4"/>
  <c r="A119" i="4"/>
  <c r="J117" i="4" a="1"/>
  <c r="J117" i="4" s="1"/>
  <c r="I117" i="4" a="1"/>
  <c r="I117" i="4" s="1"/>
  <c r="C117" i="4"/>
  <c r="D117" i="4" s="1"/>
  <c r="E117" i="4" s="1"/>
  <c r="G116" i="4"/>
  <c r="F116" i="4"/>
  <c r="L113" i="2"/>
  <c r="M113" i="2" s="1"/>
  <c r="K114" i="2"/>
  <c r="H114" i="2"/>
  <c r="J116" i="2" a="1"/>
  <c r="J116" i="2" s="1"/>
  <c r="I116" i="2" a="1"/>
  <c r="I116" i="2" s="1"/>
  <c r="C116" i="2"/>
  <c r="D116" i="2" s="1"/>
  <c r="E116" i="2" s="1"/>
  <c r="B117" i="2"/>
  <c r="A118" i="2"/>
  <c r="G115" i="2"/>
  <c r="F115" i="2"/>
  <c r="G202" i="13" l="1"/>
  <c r="F202" i="13"/>
  <c r="J203" i="13" a="1"/>
  <c r="J203" i="13" s="1"/>
  <c r="I203" i="13" a="1"/>
  <c r="I203" i="13" s="1"/>
  <c r="C203" i="13"/>
  <c r="D203" i="13" s="1"/>
  <c r="E203" i="13" s="1"/>
  <c r="B204" i="13"/>
  <c r="A205" i="13"/>
  <c r="K201" i="13"/>
  <c r="L201" i="13" s="1"/>
  <c r="M201" i="13" s="1"/>
  <c r="H201" i="13"/>
  <c r="G115" i="13"/>
  <c r="F115" i="13"/>
  <c r="H114" i="13"/>
  <c r="K114" i="13"/>
  <c r="L114" i="13" s="1"/>
  <c r="M114" i="13" s="1"/>
  <c r="F198" i="11"/>
  <c r="G198" i="11"/>
  <c r="C199" i="11"/>
  <c r="D199" i="11" s="1"/>
  <c r="E199" i="11" s="1"/>
  <c r="I199" i="11" a="1"/>
  <c r="I199" i="11" s="1"/>
  <c r="J199" i="11" a="1"/>
  <c r="J199" i="11" s="1"/>
  <c r="A201" i="11"/>
  <c r="B200" i="11"/>
  <c r="H197" i="11"/>
  <c r="K197" i="11"/>
  <c r="L197" i="11" s="1"/>
  <c r="M197" i="11" s="1"/>
  <c r="H114" i="11"/>
  <c r="K114" i="11"/>
  <c r="L114" i="11" s="1"/>
  <c r="M114" i="11" s="1"/>
  <c r="H115" i="11"/>
  <c r="K115" i="11"/>
  <c r="L115" i="11" s="1"/>
  <c r="M115" i="11" s="1"/>
  <c r="H116" i="4"/>
  <c r="K116" i="4"/>
  <c r="L116" i="4" s="1"/>
  <c r="M116" i="4" s="1"/>
  <c r="F117" i="4"/>
  <c r="G117" i="4"/>
  <c r="B119" i="4"/>
  <c r="A120" i="4"/>
  <c r="C118" i="4"/>
  <c r="D118" i="4" s="1"/>
  <c r="E118" i="4" s="1"/>
  <c r="J118" i="4" a="1"/>
  <c r="J118" i="4" s="1"/>
  <c r="I118" i="4" a="1"/>
  <c r="I118" i="4" s="1"/>
  <c r="L114" i="2"/>
  <c r="M114" i="2" s="1"/>
  <c r="I117" i="2" a="1"/>
  <c r="I117" i="2" s="1"/>
  <c r="J117" i="2" a="1"/>
  <c r="J117" i="2" s="1"/>
  <c r="C117" i="2"/>
  <c r="D117" i="2" s="1"/>
  <c r="E117" i="2" s="1"/>
  <c r="K115" i="2"/>
  <c r="L115" i="2" s="1"/>
  <c r="M115" i="2" s="1"/>
  <c r="H115" i="2"/>
  <c r="B118" i="2"/>
  <c r="A119" i="2"/>
  <c r="G116" i="2"/>
  <c r="F116" i="2"/>
  <c r="A206" i="13" l="1"/>
  <c r="B205" i="13"/>
  <c r="C204" i="13"/>
  <c r="D204" i="13" s="1"/>
  <c r="E204" i="13" s="1"/>
  <c r="I204" i="13" a="1"/>
  <c r="I204" i="13" s="1"/>
  <c r="J204" i="13" a="1"/>
  <c r="J204" i="13" s="1"/>
  <c r="G203" i="13"/>
  <c r="F203" i="13"/>
  <c r="K202" i="13"/>
  <c r="L202" i="13" s="1"/>
  <c r="M202" i="13" s="1"/>
  <c r="H202" i="13"/>
  <c r="K115" i="13"/>
  <c r="L115" i="13" s="1"/>
  <c r="M115" i="13" s="1"/>
  <c r="H115" i="13"/>
  <c r="I200" i="11" a="1"/>
  <c r="I200" i="11" s="1"/>
  <c r="J200" i="11" a="1"/>
  <c r="J200" i="11" s="1"/>
  <c r="C200" i="11"/>
  <c r="D200" i="11" s="1"/>
  <c r="E200" i="11" s="1"/>
  <c r="G199" i="11"/>
  <c r="F199" i="11"/>
  <c r="A202" i="11"/>
  <c r="B201" i="11"/>
  <c r="K198" i="11"/>
  <c r="L198" i="11" s="1"/>
  <c r="M198" i="11" s="1"/>
  <c r="H198" i="11"/>
  <c r="G118" i="4"/>
  <c r="F118" i="4"/>
  <c r="A121" i="4"/>
  <c r="B120" i="4"/>
  <c r="J119" i="4" a="1"/>
  <c r="J119" i="4" s="1"/>
  <c r="I119" i="4" a="1"/>
  <c r="I119" i="4" s="1"/>
  <c r="C119" i="4"/>
  <c r="D119" i="4" s="1"/>
  <c r="E119" i="4" s="1"/>
  <c r="H117" i="4"/>
  <c r="K117" i="4"/>
  <c r="L117" i="4" s="1"/>
  <c r="M117" i="4" s="1"/>
  <c r="K116" i="2"/>
  <c r="H116" i="2"/>
  <c r="B119" i="2"/>
  <c r="A120" i="2"/>
  <c r="J118" i="2" a="1"/>
  <c r="J118" i="2" s="1"/>
  <c r="I118" i="2" a="1"/>
  <c r="I118" i="2" s="1"/>
  <c r="C118" i="2"/>
  <c r="D118" i="2" s="1"/>
  <c r="E118" i="2" s="1"/>
  <c r="G117" i="2"/>
  <c r="F117" i="2"/>
  <c r="B206" i="13" l="1"/>
  <c r="A207" i="13"/>
  <c r="H203" i="13"/>
  <c r="K203" i="13"/>
  <c r="L203" i="13" s="1"/>
  <c r="M203" i="13" s="1"/>
  <c r="F204" i="13"/>
  <c r="G204" i="13"/>
  <c r="C205" i="13"/>
  <c r="D205" i="13" s="1"/>
  <c r="E205" i="13" s="1"/>
  <c r="I205" i="13" a="1"/>
  <c r="I205" i="13" s="1"/>
  <c r="J205" i="13" a="1"/>
  <c r="J205" i="13" s="1"/>
  <c r="I201" i="11" a="1"/>
  <c r="I201" i="11" s="1"/>
  <c r="J201" i="11" a="1"/>
  <c r="J201" i="11" s="1"/>
  <c r="C201" i="11"/>
  <c r="D201" i="11" s="1"/>
  <c r="E201" i="11" s="1"/>
  <c r="A203" i="11"/>
  <c r="B202" i="11"/>
  <c r="H199" i="11"/>
  <c r="K199" i="11"/>
  <c r="L199" i="11" s="1"/>
  <c r="M199" i="11" s="1"/>
  <c r="G200" i="11"/>
  <c r="F200" i="11"/>
  <c r="G119" i="4"/>
  <c r="F119" i="4"/>
  <c r="I120" i="4" a="1"/>
  <c r="I120" i="4" s="1"/>
  <c r="J120" i="4" a="1"/>
  <c r="J120" i="4" s="1"/>
  <c r="C120" i="4"/>
  <c r="D120" i="4" s="1"/>
  <c r="E120" i="4" s="1"/>
  <c r="B121" i="4"/>
  <c r="A122" i="4"/>
  <c r="H118" i="4"/>
  <c r="K118" i="4"/>
  <c r="L118" i="4" s="1"/>
  <c r="M118" i="4" s="1"/>
  <c r="L116" i="2"/>
  <c r="M116" i="2" s="1"/>
  <c r="K117" i="2"/>
  <c r="L117" i="2" s="1"/>
  <c r="M117" i="2" s="1"/>
  <c r="H117" i="2"/>
  <c r="G118" i="2"/>
  <c r="F118" i="2"/>
  <c r="A121" i="2"/>
  <c r="B120" i="2"/>
  <c r="I119" i="2" a="1"/>
  <c r="I119" i="2" s="1"/>
  <c r="C119" i="2"/>
  <c r="D119" i="2" s="1"/>
  <c r="E119" i="2" s="1"/>
  <c r="J119" i="2" a="1"/>
  <c r="J119" i="2" s="1"/>
  <c r="F205" i="13" l="1"/>
  <c r="G205" i="13"/>
  <c r="H204" i="13"/>
  <c r="K204" i="13"/>
  <c r="L204" i="13" s="1"/>
  <c r="M204" i="13" s="1"/>
  <c r="A208" i="13"/>
  <c r="B207" i="13"/>
  <c r="C206" i="13"/>
  <c r="D206" i="13" s="1"/>
  <c r="E206" i="13" s="1"/>
  <c r="I206" i="13" a="1"/>
  <c r="I206" i="13" s="1"/>
  <c r="J206" i="13" a="1"/>
  <c r="J206" i="13" s="1"/>
  <c r="H200" i="11"/>
  <c r="K200" i="11"/>
  <c r="L200" i="11" s="1"/>
  <c r="M200" i="11" s="1"/>
  <c r="C202" i="11"/>
  <c r="D202" i="11" s="1"/>
  <c r="E202" i="11" s="1"/>
  <c r="I202" i="11" a="1"/>
  <c r="I202" i="11" s="1"/>
  <c r="J202" i="11" a="1"/>
  <c r="J202" i="11" s="1"/>
  <c r="B203" i="11"/>
  <c r="A204" i="11"/>
  <c r="F201" i="11"/>
  <c r="G201" i="11"/>
  <c r="B122" i="4"/>
  <c r="A123" i="4"/>
  <c r="I121" i="4" a="1"/>
  <c r="I121" i="4" s="1"/>
  <c r="C121" i="4"/>
  <c r="D121" i="4" s="1"/>
  <c r="E121" i="4" s="1"/>
  <c r="J121" i="4" a="1"/>
  <c r="J121" i="4" s="1"/>
  <c r="G120" i="4"/>
  <c r="F120" i="4"/>
  <c r="H119" i="4"/>
  <c r="K119" i="4"/>
  <c r="L119" i="4" s="1"/>
  <c r="M119" i="4" s="1"/>
  <c r="F119" i="2"/>
  <c r="G119" i="2"/>
  <c r="A122" i="2"/>
  <c r="B121" i="2"/>
  <c r="H118" i="2"/>
  <c r="K118" i="2"/>
  <c r="L118" i="2" s="1"/>
  <c r="M118" i="2" s="1"/>
  <c r="C120" i="2"/>
  <c r="D120" i="2" s="1"/>
  <c r="E120" i="2" s="1"/>
  <c r="J120" i="2" a="1"/>
  <c r="J120" i="2" s="1"/>
  <c r="I120" i="2" a="1"/>
  <c r="I120" i="2" s="1"/>
  <c r="H205" i="13" l="1"/>
  <c r="K205" i="13"/>
  <c r="L205" i="13" s="1"/>
  <c r="M205" i="13" s="1"/>
  <c r="F206" i="13"/>
  <c r="G206" i="13"/>
  <c r="J207" i="13" a="1"/>
  <c r="J207" i="13" s="1"/>
  <c r="C207" i="13"/>
  <c r="D207" i="13" s="1"/>
  <c r="E207" i="13" s="1"/>
  <c r="I207" i="13" a="1"/>
  <c r="I207" i="13" s="1"/>
  <c r="B208" i="13"/>
  <c r="A209" i="13"/>
  <c r="H201" i="11"/>
  <c r="K201" i="11"/>
  <c r="L201" i="11" s="1"/>
  <c r="M201" i="11" s="1"/>
  <c r="B204" i="11"/>
  <c r="A205" i="11"/>
  <c r="C203" i="11"/>
  <c r="D203" i="11" s="1"/>
  <c r="E203" i="11" s="1"/>
  <c r="I203" i="11" a="1"/>
  <c r="I203" i="11" s="1"/>
  <c r="J203" i="11" a="1"/>
  <c r="J203" i="11" s="1"/>
  <c r="F202" i="11"/>
  <c r="G202" i="11"/>
  <c r="H120" i="4"/>
  <c r="K120" i="4"/>
  <c r="F121" i="4"/>
  <c r="G121" i="4"/>
  <c r="B123" i="4"/>
  <c r="A124" i="4"/>
  <c r="C122" i="4"/>
  <c r="D122" i="4" s="1"/>
  <c r="E122" i="4" s="1"/>
  <c r="J122" i="4" a="1"/>
  <c r="J122" i="4" s="1"/>
  <c r="I122" i="4" a="1"/>
  <c r="I122" i="4" s="1"/>
  <c r="G120" i="2"/>
  <c r="F120" i="2"/>
  <c r="J121" i="2" a="1"/>
  <c r="J121" i="2" s="1"/>
  <c r="C121" i="2"/>
  <c r="D121" i="2" s="1"/>
  <c r="E121" i="2" s="1"/>
  <c r="I121" i="2" a="1"/>
  <c r="I121" i="2" s="1"/>
  <c r="A123" i="2"/>
  <c r="B122" i="2"/>
  <c r="K119" i="2"/>
  <c r="H119" i="2"/>
  <c r="A210" i="13" l="1"/>
  <c r="B209" i="13"/>
  <c r="I208" i="13" a="1"/>
  <c r="I208" i="13" s="1"/>
  <c r="J208" i="13" a="1"/>
  <c r="J208" i="13" s="1"/>
  <c r="C208" i="13"/>
  <c r="D208" i="13" s="1"/>
  <c r="E208" i="13" s="1"/>
  <c r="G207" i="13"/>
  <c r="F207" i="13"/>
  <c r="H206" i="13"/>
  <c r="K206" i="13"/>
  <c r="L206" i="13" s="1"/>
  <c r="M206" i="13" s="1"/>
  <c r="H202" i="11"/>
  <c r="K202" i="11"/>
  <c r="L202" i="11" s="1"/>
  <c r="M202" i="11" s="1"/>
  <c r="G203" i="11"/>
  <c r="F203" i="11"/>
  <c r="B205" i="11"/>
  <c r="A206" i="11"/>
  <c r="J204" i="11" a="1"/>
  <c r="J204" i="11" s="1"/>
  <c r="C204" i="11"/>
  <c r="D204" i="11" s="1"/>
  <c r="E204" i="11" s="1"/>
  <c r="I204" i="11" a="1"/>
  <c r="I204" i="11" s="1"/>
  <c r="L120" i="4"/>
  <c r="M120" i="4" s="1"/>
  <c r="G122" i="4"/>
  <c r="F122" i="4"/>
  <c r="J123" i="4" a="1"/>
  <c r="J123" i="4" s="1"/>
  <c r="C123" i="4"/>
  <c r="D123" i="4" s="1"/>
  <c r="E123" i="4" s="1"/>
  <c r="I123" i="4" a="1"/>
  <c r="I123" i="4" s="1"/>
  <c r="A125" i="4"/>
  <c r="B124" i="4"/>
  <c r="H121" i="4"/>
  <c r="K121" i="4"/>
  <c r="L121" i="4" s="1"/>
  <c r="M121" i="4" s="1"/>
  <c r="L119" i="2"/>
  <c r="M119" i="2" s="1"/>
  <c r="H120" i="2"/>
  <c r="J122" i="2" a="1"/>
  <c r="J122" i="2" s="1"/>
  <c r="C122" i="2"/>
  <c r="D122" i="2" s="1"/>
  <c r="E122" i="2" s="1"/>
  <c r="I122" i="2" a="1"/>
  <c r="I122" i="2" s="1"/>
  <c r="B123" i="2"/>
  <c r="A124" i="2"/>
  <c r="G121" i="2"/>
  <c r="F121" i="2"/>
  <c r="K120" i="2"/>
  <c r="L120" i="2" s="1"/>
  <c r="M120" i="2" s="1"/>
  <c r="B210" i="13" l="1"/>
  <c r="A211" i="13"/>
  <c r="G208" i="13"/>
  <c r="F208" i="13"/>
  <c r="K207" i="13"/>
  <c r="L207" i="13" s="1"/>
  <c r="M207" i="13" s="1"/>
  <c r="H207" i="13"/>
  <c r="J209" i="13" a="1"/>
  <c r="J209" i="13" s="1"/>
  <c r="C209" i="13"/>
  <c r="D209" i="13" s="1"/>
  <c r="E209" i="13" s="1"/>
  <c r="I209" i="13" a="1"/>
  <c r="I209" i="13" s="1"/>
  <c r="A207" i="11"/>
  <c r="B206" i="11"/>
  <c r="K203" i="11"/>
  <c r="L203" i="11" s="1"/>
  <c r="M203" i="11" s="1"/>
  <c r="H203" i="11"/>
  <c r="F204" i="11"/>
  <c r="G204" i="11"/>
  <c r="I205" i="11" a="1"/>
  <c r="I205" i="11" s="1"/>
  <c r="J205" i="11" a="1"/>
  <c r="J205" i="11" s="1"/>
  <c r="C205" i="11"/>
  <c r="D205" i="11" s="1"/>
  <c r="E205" i="11" s="1"/>
  <c r="I124" i="4" a="1"/>
  <c r="I124" i="4" s="1"/>
  <c r="C124" i="4"/>
  <c r="D124" i="4" s="1"/>
  <c r="E124" i="4" s="1"/>
  <c r="J124" i="4" a="1"/>
  <c r="J124" i="4" s="1"/>
  <c r="A126" i="4"/>
  <c r="B125" i="4"/>
  <c r="G123" i="4"/>
  <c r="F123" i="4"/>
  <c r="H122" i="4"/>
  <c r="K122" i="4"/>
  <c r="L122" i="4" s="1"/>
  <c r="M122" i="4" s="1"/>
  <c r="K121" i="2"/>
  <c r="L121" i="2" s="1"/>
  <c r="M121" i="2" s="1"/>
  <c r="H121" i="2"/>
  <c r="A125" i="2"/>
  <c r="B124" i="2"/>
  <c r="I123" i="2" a="1"/>
  <c r="I123" i="2" s="1"/>
  <c r="J123" i="2" a="1"/>
  <c r="J123" i="2" s="1"/>
  <c r="C123" i="2"/>
  <c r="D123" i="2" s="1"/>
  <c r="E123" i="2" s="1"/>
  <c r="G122" i="2"/>
  <c r="F122" i="2"/>
  <c r="G209" i="13" l="1"/>
  <c r="F209" i="13"/>
  <c r="H208" i="13"/>
  <c r="K208" i="13"/>
  <c r="L208" i="13" s="1"/>
  <c r="M208" i="13" s="1"/>
  <c r="B211" i="13"/>
  <c r="A212" i="13"/>
  <c r="B212" i="13" s="1"/>
  <c r="C210" i="13"/>
  <c r="D210" i="13" s="1"/>
  <c r="E210" i="13" s="1"/>
  <c r="I210" i="13" a="1"/>
  <c r="I210" i="13" s="1"/>
  <c r="J210" i="13" a="1"/>
  <c r="J210" i="13" s="1"/>
  <c r="H204" i="11"/>
  <c r="K204" i="11"/>
  <c r="L204" i="11" s="1"/>
  <c r="M204" i="11" s="1"/>
  <c r="G205" i="11"/>
  <c r="F205" i="11"/>
  <c r="I206" i="11" a="1"/>
  <c r="I206" i="11" s="1"/>
  <c r="C206" i="11"/>
  <c r="D206" i="11" s="1"/>
  <c r="E206" i="11" s="1"/>
  <c r="J206" i="11" a="1"/>
  <c r="J206" i="11" s="1"/>
  <c r="B207" i="11"/>
  <c r="A208" i="11"/>
  <c r="H123" i="4"/>
  <c r="K123" i="4"/>
  <c r="L123" i="4" s="1"/>
  <c r="M123" i="4" s="1"/>
  <c r="C125" i="4"/>
  <c r="D125" i="4" s="1"/>
  <c r="E125" i="4" s="1"/>
  <c r="J125" i="4" a="1"/>
  <c r="J125" i="4" s="1"/>
  <c r="I125" i="4" a="1"/>
  <c r="I125" i="4" s="1"/>
  <c r="B126" i="4"/>
  <c r="A127" i="4"/>
  <c r="F124" i="4"/>
  <c r="G124" i="4"/>
  <c r="K122" i="2"/>
  <c r="H122" i="2"/>
  <c r="F123" i="2"/>
  <c r="G123" i="2"/>
  <c r="I124" i="2" a="1"/>
  <c r="I124" i="2" s="1"/>
  <c r="C124" i="2"/>
  <c r="D124" i="2" s="1"/>
  <c r="E124" i="2" s="1"/>
  <c r="J124" i="2" a="1"/>
  <c r="J124" i="2" s="1"/>
  <c r="A126" i="2"/>
  <c r="B125" i="2"/>
  <c r="F210" i="13" l="1"/>
  <c r="G210" i="13"/>
  <c r="I212" i="13" a="1"/>
  <c r="I212" i="13" s="1"/>
  <c r="J212" i="13" a="1"/>
  <c r="J212" i="13" s="1"/>
  <c r="C212" i="13"/>
  <c r="D212" i="13" s="1"/>
  <c r="E212" i="13" s="1"/>
  <c r="J211" i="13" a="1"/>
  <c r="J211" i="13" s="1"/>
  <c r="I211" i="13" a="1"/>
  <c r="I211" i="13" s="1"/>
  <c r="C211" i="13"/>
  <c r="D211" i="13" s="1"/>
  <c r="E211" i="13" s="1"/>
  <c r="K209" i="13"/>
  <c r="L209" i="13" s="1"/>
  <c r="M209" i="13" s="1"/>
  <c r="H209" i="13"/>
  <c r="B208" i="11"/>
  <c r="A209" i="11"/>
  <c r="C207" i="11"/>
  <c r="D207" i="11" s="1"/>
  <c r="E207" i="11" s="1"/>
  <c r="I207" i="11" a="1"/>
  <c r="I207" i="11" s="1"/>
  <c r="J207" i="11" a="1"/>
  <c r="J207" i="11" s="1"/>
  <c r="F206" i="11"/>
  <c r="G206" i="11"/>
  <c r="H205" i="11"/>
  <c r="K205" i="11"/>
  <c r="L205" i="11" s="1"/>
  <c r="M205" i="11" s="1"/>
  <c r="H124" i="4"/>
  <c r="K124" i="4"/>
  <c r="L124" i="4" s="1"/>
  <c r="M124" i="4" s="1"/>
  <c r="A128" i="4"/>
  <c r="B127" i="4"/>
  <c r="C126" i="4"/>
  <c r="D126" i="4" s="1"/>
  <c r="E126" i="4" s="1"/>
  <c r="J126" i="4" a="1"/>
  <c r="J126" i="4" s="1"/>
  <c r="I126" i="4" a="1"/>
  <c r="I126" i="4" s="1"/>
  <c r="F125" i="4"/>
  <c r="G125" i="4"/>
  <c r="L122" i="2"/>
  <c r="M122" i="2" s="1"/>
  <c r="I125" i="2" a="1"/>
  <c r="I125" i="2" s="1"/>
  <c r="C125" i="2"/>
  <c r="D125" i="2" s="1"/>
  <c r="E125" i="2" s="1"/>
  <c r="J125" i="2" a="1"/>
  <c r="J125" i="2" s="1"/>
  <c r="A127" i="2"/>
  <c r="B126" i="2"/>
  <c r="G124" i="2"/>
  <c r="F124" i="2"/>
  <c r="K123" i="2"/>
  <c r="H123" i="2"/>
  <c r="G211" i="13" l="1"/>
  <c r="F211" i="13"/>
  <c r="F212" i="13"/>
  <c r="G212" i="13"/>
  <c r="H210" i="13"/>
  <c r="K210" i="13"/>
  <c r="L210" i="13" s="1"/>
  <c r="M210" i="13" s="1"/>
  <c r="H206" i="11"/>
  <c r="K206" i="11"/>
  <c r="L206" i="11" s="1"/>
  <c r="M206" i="11" s="1"/>
  <c r="G207" i="11"/>
  <c r="F207" i="11"/>
  <c r="B209" i="11"/>
  <c r="A210" i="11"/>
  <c r="J208" i="11" a="1"/>
  <c r="J208" i="11" s="1"/>
  <c r="C208" i="11"/>
  <c r="D208" i="11" s="1"/>
  <c r="E208" i="11" s="1"/>
  <c r="I208" i="11" a="1"/>
  <c r="I208" i="11" s="1"/>
  <c r="H125" i="4"/>
  <c r="K125" i="4"/>
  <c r="L125" i="4" s="1"/>
  <c r="M125" i="4" s="1"/>
  <c r="G126" i="4"/>
  <c r="F126" i="4"/>
  <c r="J127" i="4" a="1"/>
  <c r="J127" i="4" s="1"/>
  <c r="I127" i="4" a="1"/>
  <c r="I127" i="4" s="1"/>
  <c r="C127" i="4"/>
  <c r="D127" i="4" s="1"/>
  <c r="E127" i="4" s="1"/>
  <c r="A129" i="4"/>
  <c r="B128" i="4"/>
  <c r="L123" i="2"/>
  <c r="M123" i="2" s="1"/>
  <c r="H124" i="2"/>
  <c r="K124" i="2"/>
  <c r="L124" i="2" s="1"/>
  <c r="M124" i="2" s="1"/>
  <c r="A128" i="2"/>
  <c r="B127" i="2"/>
  <c r="C126" i="2"/>
  <c r="D126" i="2" s="1"/>
  <c r="E126" i="2" s="1"/>
  <c r="I126" i="2" a="1"/>
  <c r="I126" i="2" s="1"/>
  <c r="J126" i="2" a="1"/>
  <c r="J126" i="2" s="1"/>
  <c r="G125" i="2"/>
  <c r="F125" i="2"/>
  <c r="H212" i="13" l="1"/>
  <c r="K212" i="13"/>
  <c r="L212" i="13" s="1"/>
  <c r="M212" i="13" s="1"/>
  <c r="K211" i="13"/>
  <c r="L211" i="13" s="1"/>
  <c r="M211" i="13" s="1"/>
  <c r="H211" i="13"/>
  <c r="F208" i="11"/>
  <c r="G208" i="11"/>
  <c r="A211" i="11"/>
  <c r="B210" i="11"/>
  <c r="I209" i="11" a="1"/>
  <c r="I209" i="11" s="1"/>
  <c r="J209" i="11" a="1"/>
  <c r="J209" i="11" s="1"/>
  <c r="C209" i="11"/>
  <c r="D209" i="11" s="1"/>
  <c r="E209" i="11" s="1"/>
  <c r="K207" i="11"/>
  <c r="L207" i="11" s="1"/>
  <c r="M207" i="11" s="1"/>
  <c r="H207" i="11"/>
  <c r="I128" i="4" a="1"/>
  <c r="I128" i="4" s="1"/>
  <c r="J128" i="4" a="1"/>
  <c r="J128" i="4" s="1"/>
  <c r="C128" i="4"/>
  <c r="D128" i="4" s="1"/>
  <c r="E128" i="4" s="1"/>
  <c r="B129" i="4"/>
  <c r="A130" i="4"/>
  <c r="G127" i="4"/>
  <c r="F127" i="4"/>
  <c r="H126" i="4"/>
  <c r="K126" i="4"/>
  <c r="L126" i="4" s="1"/>
  <c r="M126" i="4" s="1"/>
  <c r="K125" i="2"/>
  <c r="L125" i="2" s="1"/>
  <c r="M125" i="2" s="1"/>
  <c r="H125" i="2"/>
  <c r="G126" i="2"/>
  <c r="F126" i="2"/>
  <c r="C127" i="2"/>
  <c r="D127" i="2" s="1"/>
  <c r="E127" i="2" s="1"/>
  <c r="J127" i="2" a="1"/>
  <c r="J127" i="2" s="1"/>
  <c r="I127" i="2" a="1"/>
  <c r="I127" i="2" s="1"/>
  <c r="A129" i="2"/>
  <c r="B128" i="2"/>
  <c r="G209" i="11" l="1"/>
  <c r="F209" i="11"/>
  <c r="I210" i="11" a="1"/>
  <c r="I210" i="11" s="1"/>
  <c r="J210" i="11" a="1"/>
  <c r="J210" i="11" s="1"/>
  <c r="C210" i="11"/>
  <c r="D210" i="11" s="1"/>
  <c r="E210" i="11" s="1"/>
  <c r="B211" i="11"/>
  <c r="A212" i="11"/>
  <c r="B212" i="11" s="1"/>
  <c r="H208" i="11"/>
  <c r="K208" i="11"/>
  <c r="L208" i="11" s="1"/>
  <c r="M208" i="11" s="1"/>
  <c r="H126" i="2"/>
  <c r="H127" i="4"/>
  <c r="K127" i="4"/>
  <c r="B130" i="4"/>
  <c r="A131" i="4"/>
  <c r="J129" i="4" a="1"/>
  <c r="J129" i="4" s="1"/>
  <c r="C129" i="4"/>
  <c r="D129" i="4" s="1"/>
  <c r="E129" i="4" s="1"/>
  <c r="I129" i="4" a="1"/>
  <c r="I129" i="4" s="1"/>
  <c r="G128" i="4"/>
  <c r="F128" i="4"/>
  <c r="C128" i="2"/>
  <c r="D128" i="2" s="1"/>
  <c r="E128" i="2" s="1"/>
  <c r="J128" i="2" a="1"/>
  <c r="J128" i="2" s="1"/>
  <c r="I128" i="2" a="1"/>
  <c r="I128" i="2" s="1"/>
  <c r="B129" i="2"/>
  <c r="A130" i="2"/>
  <c r="F127" i="2"/>
  <c r="G127" i="2"/>
  <c r="K126" i="2"/>
  <c r="L126" i="2" s="1"/>
  <c r="M126" i="2" s="1"/>
  <c r="F210" i="11" l="1"/>
  <c r="G210" i="11"/>
  <c r="H209" i="11"/>
  <c r="K209" i="11"/>
  <c r="L209" i="11" s="1"/>
  <c r="M209" i="11" s="1"/>
  <c r="J212" i="11" a="1"/>
  <c r="J212" i="11" s="1"/>
  <c r="C212" i="11"/>
  <c r="D212" i="11" s="1"/>
  <c r="E212" i="11" s="1"/>
  <c r="I212" i="11" a="1"/>
  <c r="I212" i="11" s="1"/>
  <c r="C211" i="11"/>
  <c r="D211" i="11" s="1"/>
  <c r="E211" i="11" s="1"/>
  <c r="I211" i="11" a="1"/>
  <c r="I211" i="11" s="1"/>
  <c r="J211" i="11" a="1"/>
  <c r="J211" i="11" s="1"/>
  <c r="L127" i="4"/>
  <c r="M127" i="4" s="1"/>
  <c r="H128" i="4"/>
  <c r="K128" i="4"/>
  <c r="F129" i="4"/>
  <c r="G129" i="4"/>
  <c r="A132" i="4"/>
  <c r="B131" i="4"/>
  <c r="C130" i="4"/>
  <c r="D130" i="4" s="1"/>
  <c r="E130" i="4" s="1"/>
  <c r="J130" i="4" a="1"/>
  <c r="J130" i="4" s="1"/>
  <c r="I130" i="4" a="1"/>
  <c r="I130" i="4" s="1"/>
  <c r="K127" i="2"/>
  <c r="L127" i="2" s="1"/>
  <c r="M127" i="2" s="1"/>
  <c r="H127" i="2"/>
  <c r="C129" i="2"/>
  <c r="D129" i="2" s="1"/>
  <c r="E129" i="2" s="1"/>
  <c r="J129" i="2" a="1"/>
  <c r="J129" i="2" s="1"/>
  <c r="I129" i="2" a="1"/>
  <c r="I129" i="2" s="1"/>
  <c r="A131" i="2"/>
  <c r="B130" i="2"/>
  <c r="F128" i="2"/>
  <c r="G128" i="2"/>
  <c r="F211" i="11" l="1"/>
  <c r="G211" i="11"/>
  <c r="F212" i="11"/>
  <c r="G212" i="11"/>
  <c r="H210" i="11"/>
  <c r="K210" i="11"/>
  <c r="L210" i="11" s="1"/>
  <c r="M210" i="11" s="1"/>
  <c r="L128" i="4"/>
  <c r="M128" i="4" s="1"/>
  <c r="G130" i="4"/>
  <c r="F130" i="4"/>
  <c r="J131" i="4" a="1"/>
  <c r="J131" i="4" s="1"/>
  <c r="C131" i="4"/>
  <c r="D131" i="4" s="1"/>
  <c r="E131" i="4" s="1"/>
  <c r="I131" i="4" a="1"/>
  <c r="I131" i="4" s="1"/>
  <c r="A133" i="4"/>
  <c r="B132" i="4"/>
  <c r="H129" i="4"/>
  <c r="K129" i="4"/>
  <c r="L129" i="4" s="1"/>
  <c r="M129" i="4" s="1"/>
  <c r="G129" i="2"/>
  <c r="F129" i="2"/>
  <c r="H128" i="2"/>
  <c r="K128" i="2"/>
  <c r="L128" i="2" s="1"/>
  <c r="M128" i="2" s="1"/>
  <c r="C130" i="2"/>
  <c r="D130" i="2" s="1"/>
  <c r="E130" i="2" s="1"/>
  <c r="I130" i="2" a="1"/>
  <c r="I130" i="2" s="1"/>
  <c r="J130" i="2" a="1"/>
  <c r="J130" i="2" s="1"/>
  <c r="A132" i="2"/>
  <c r="B131" i="2"/>
  <c r="H212" i="11" l="1"/>
  <c r="K212" i="11"/>
  <c r="L212" i="11" s="1"/>
  <c r="M212" i="11" s="1"/>
  <c r="K211" i="11"/>
  <c r="L211" i="11" s="1"/>
  <c r="M211" i="11" s="1"/>
  <c r="H211" i="11"/>
  <c r="I132" i="4" a="1"/>
  <c r="I132" i="4" s="1"/>
  <c r="C132" i="4"/>
  <c r="D132" i="4" s="1"/>
  <c r="E132" i="4" s="1"/>
  <c r="J132" i="4" a="1"/>
  <c r="J132" i="4" s="1"/>
  <c r="B133" i="4"/>
  <c r="A134" i="4"/>
  <c r="G131" i="4"/>
  <c r="F131" i="4"/>
  <c r="H130" i="4"/>
  <c r="K130" i="4"/>
  <c r="L130" i="4" s="1"/>
  <c r="M130" i="4" s="1"/>
  <c r="H129" i="2"/>
  <c r="K129" i="2"/>
  <c r="L129" i="2" s="1"/>
  <c r="M129" i="2" s="1"/>
  <c r="J131" i="2" a="1"/>
  <c r="J131" i="2" s="1"/>
  <c r="C131" i="2"/>
  <c r="D131" i="2" s="1"/>
  <c r="E131" i="2" s="1"/>
  <c r="I131" i="2" a="1"/>
  <c r="I131" i="2" s="1"/>
  <c r="B132" i="2"/>
  <c r="A133" i="2"/>
  <c r="F130" i="2"/>
  <c r="G130" i="2"/>
  <c r="H131" i="4" l="1"/>
  <c r="K131" i="4"/>
  <c r="B134" i="4"/>
  <c r="A135" i="4"/>
  <c r="I133" i="4" a="1"/>
  <c r="I133" i="4" s="1"/>
  <c r="J133" i="4" a="1"/>
  <c r="J133" i="4" s="1"/>
  <c r="C133" i="4"/>
  <c r="D133" i="4" s="1"/>
  <c r="E133" i="4" s="1"/>
  <c r="G132" i="4"/>
  <c r="F132" i="4"/>
  <c r="J132" i="2" a="1"/>
  <c r="J132" i="2" s="1"/>
  <c r="C132" i="2"/>
  <c r="D132" i="2" s="1"/>
  <c r="E132" i="2" s="1"/>
  <c r="I132" i="2" a="1"/>
  <c r="I132" i="2" s="1"/>
  <c r="H130" i="2"/>
  <c r="K130" i="2"/>
  <c r="L130" i="2" s="1"/>
  <c r="M130" i="2" s="1"/>
  <c r="B133" i="2"/>
  <c r="A134" i="2"/>
  <c r="F131" i="2"/>
  <c r="G131" i="2"/>
  <c r="L131" i="4" l="1"/>
  <c r="M131" i="4" s="1"/>
  <c r="H132" i="4"/>
  <c r="K132" i="4"/>
  <c r="L132" i="4" s="1"/>
  <c r="M132" i="4" s="1"/>
  <c r="F133" i="4"/>
  <c r="G133" i="4"/>
  <c r="B135" i="4"/>
  <c r="A136" i="4"/>
  <c r="C134" i="4"/>
  <c r="D134" i="4" s="1"/>
  <c r="E134" i="4" s="1"/>
  <c r="J134" i="4" a="1"/>
  <c r="J134" i="4" s="1"/>
  <c r="I134" i="4" a="1"/>
  <c r="I134" i="4" s="1"/>
  <c r="K131" i="2"/>
  <c r="H131" i="2"/>
  <c r="A135" i="2"/>
  <c r="B134" i="2"/>
  <c r="J133" i="2" a="1"/>
  <c r="J133" i="2" s="1"/>
  <c r="C133" i="2"/>
  <c r="D133" i="2" s="1"/>
  <c r="E133" i="2" s="1"/>
  <c r="I133" i="2" a="1"/>
  <c r="I133" i="2" s="1"/>
  <c r="F132" i="2"/>
  <c r="G132" i="2"/>
  <c r="G134" i="4" l="1"/>
  <c r="F134" i="4"/>
  <c r="A137" i="4"/>
  <c r="B136" i="4"/>
  <c r="J135" i="4" a="1"/>
  <c r="J135" i="4" s="1"/>
  <c r="I135" i="4" a="1"/>
  <c r="I135" i="4" s="1"/>
  <c r="C135" i="4"/>
  <c r="D135" i="4" s="1"/>
  <c r="E135" i="4" s="1"/>
  <c r="H133" i="4"/>
  <c r="K133" i="4"/>
  <c r="L133" i="4" s="1"/>
  <c r="M133" i="4" s="1"/>
  <c r="L131" i="2"/>
  <c r="M131" i="2" s="1"/>
  <c r="K132" i="2"/>
  <c r="H132" i="2"/>
  <c r="G133" i="2"/>
  <c r="F133" i="2"/>
  <c r="J134" i="2" a="1"/>
  <c r="J134" i="2" s="1"/>
  <c r="I134" i="2" a="1"/>
  <c r="I134" i="2" s="1"/>
  <c r="C134" i="2"/>
  <c r="D134" i="2" s="1"/>
  <c r="E134" i="2" s="1"/>
  <c r="A136" i="2"/>
  <c r="B135" i="2"/>
  <c r="G135" i="4" l="1"/>
  <c r="F135" i="4"/>
  <c r="I136" i="4" a="1"/>
  <c r="I136" i="4" s="1"/>
  <c r="C136" i="4"/>
  <c r="D136" i="4" s="1"/>
  <c r="E136" i="4" s="1"/>
  <c r="J136" i="4" a="1"/>
  <c r="J136" i="4" s="1"/>
  <c r="B137" i="4"/>
  <c r="A138" i="4"/>
  <c r="H134" i="4"/>
  <c r="K134" i="4"/>
  <c r="L134" i="4" s="1"/>
  <c r="M134" i="4" s="1"/>
  <c r="L132" i="2"/>
  <c r="M132" i="2" s="1"/>
  <c r="B136" i="2"/>
  <c r="A137" i="2"/>
  <c r="J135" i="2" a="1"/>
  <c r="J135" i="2" s="1"/>
  <c r="C135" i="2"/>
  <c r="D135" i="2" s="1"/>
  <c r="E135" i="2" s="1"/>
  <c r="I135" i="2" a="1"/>
  <c r="I135" i="2" s="1"/>
  <c r="G134" i="2"/>
  <c r="F134" i="2"/>
  <c r="K133" i="2"/>
  <c r="H133" i="2"/>
  <c r="B138" i="4" l="1"/>
  <c r="A139" i="4"/>
  <c r="I137" i="4" a="1"/>
  <c r="I137" i="4" s="1"/>
  <c r="C137" i="4"/>
  <c r="D137" i="4" s="1"/>
  <c r="E137" i="4" s="1"/>
  <c r="J137" i="4" a="1"/>
  <c r="J137" i="4" s="1"/>
  <c r="H135" i="4"/>
  <c r="K135" i="4"/>
  <c r="L135" i="4" s="1"/>
  <c r="M135" i="4" s="1"/>
  <c r="G136" i="4"/>
  <c r="F136" i="4"/>
  <c r="L133" i="2"/>
  <c r="M133" i="2" s="1"/>
  <c r="H134" i="2"/>
  <c r="K134" i="2"/>
  <c r="L134" i="2" s="1"/>
  <c r="M134" i="2" s="1"/>
  <c r="G135" i="2"/>
  <c r="F135" i="2"/>
  <c r="A138" i="2"/>
  <c r="B137" i="2"/>
  <c r="J136" i="2" a="1"/>
  <c r="J136" i="2" s="1"/>
  <c r="I136" i="2" a="1"/>
  <c r="I136" i="2" s="1"/>
  <c r="C136" i="2"/>
  <c r="D136" i="2" s="1"/>
  <c r="E136" i="2" s="1"/>
  <c r="H136" i="4" l="1"/>
  <c r="K136" i="4"/>
  <c r="F137" i="4"/>
  <c r="G137" i="4"/>
  <c r="A140" i="4"/>
  <c r="B139" i="4"/>
  <c r="C138" i="4"/>
  <c r="D138" i="4" s="1"/>
  <c r="E138" i="4" s="1"/>
  <c r="J138" i="4" a="1"/>
  <c r="J138" i="4" s="1"/>
  <c r="I138" i="4" a="1"/>
  <c r="I138" i="4" s="1"/>
  <c r="F136" i="2"/>
  <c r="G136" i="2"/>
  <c r="A139" i="2"/>
  <c r="B138" i="2"/>
  <c r="J137" i="2" a="1"/>
  <c r="J137" i="2" s="1"/>
  <c r="I137" i="2" a="1"/>
  <c r="I137" i="2" s="1"/>
  <c r="C137" i="2"/>
  <c r="D137" i="2" s="1"/>
  <c r="E137" i="2" s="1"/>
  <c r="H135" i="2"/>
  <c r="K135" i="2"/>
  <c r="L135" i="2" s="1"/>
  <c r="M135" i="2" s="1"/>
  <c r="L136" i="4" l="1"/>
  <c r="M136" i="4" s="1"/>
  <c r="G138" i="4"/>
  <c r="F138" i="4"/>
  <c r="A141" i="4"/>
  <c r="B140" i="4"/>
  <c r="H137" i="4"/>
  <c r="K137" i="4"/>
  <c r="L137" i="4" s="1"/>
  <c r="M137" i="4" s="1"/>
  <c r="J139" i="4" a="1"/>
  <c r="J139" i="4" s="1"/>
  <c r="I139" i="4" a="1"/>
  <c r="I139" i="4" s="1"/>
  <c r="C139" i="4"/>
  <c r="D139" i="4" s="1"/>
  <c r="E139" i="4" s="1"/>
  <c r="G137" i="2"/>
  <c r="F137" i="2"/>
  <c r="J138" i="2" a="1"/>
  <c r="J138" i="2" s="1"/>
  <c r="C138" i="2"/>
  <c r="D138" i="2" s="1"/>
  <c r="E138" i="2" s="1"/>
  <c r="I138" i="2" a="1"/>
  <c r="I138" i="2" s="1"/>
  <c r="A140" i="2"/>
  <c r="B139" i="2"/>
  <c r="H136" i="2"/>
  <c r="K136" i="2"/>
  <c r="L136" i="2" s="1"/>
  <c r="M136" i="2" s="1"/>
  <c r="G139" i="4" l="1"/>
  <c r="F139" i="4"/>
  <c r="H138" i="4"/>
  <c r="K138" i="4"/>
  <c r="L138" i="4" s="1"/>
  <c r="M138" i="4" s="1"/>
  <c r="J140" i="4" a="1"/>
  <c r="J140" i="4" s="1"/>
  <c r="I140" i="4" a="1"/>
  <c r="I140" i="4" s="1"/>
  <c r="C140" i="4"/>
  <c r="D140" i="4" s="1"/>
  <c r="E140" i="4" s="1"/>
  <c r="A142" i="4"/>
  <c r="B141" i="4"/>
  <c r="A141" i="2"/>
  <c r="B140" i="2"/>
  <c r="I139" i="2" a="1"/>
  <c r="I139" i="2" s="1"/>
  <c r="C139" i="2"/>
  <c r="D139" i="2" s="1"/>
  <c r="E139" i="2" s="1"/>
  <c r="J139" i="2" a="1"/>
  <c r="J139" i="2" s="1"/>
  <c r="F138" i="2"/>
  <c r="G138" i="2"/>
  <c r="H137" i="2"/>
  <c r="K137" i="2"/>
  <c r="L137" i="2" s="1"/>
  <c r="M137" i="2" s="1"/>
  <c r="I141" i="4" l="1" a="1"/>
  <c r="I141" i="4" s="1"/>
  <c r="J141" i="4" a="1"/>
  <c r="J141" i="4" s="1"/>
  <c r="C141" i="4"/>
  <c r="D141" i="4" s="1"/>
  <c r="E141" i="4" s="1"/>
  <c r="A143" i="4"/>
  <c r="B142" i="4"/>
  <c r="F140" i="4"/>
  <c r="G140" i="4"/>
  <c r="H139" i="4"/>
  <c r="K139" i="4"/>
  <c r="L139" i="4" s="1"/>
  <c r="M139" i="4" s="1"/>
  <c r="H138" i="2"/>
  <c r="K138" i="2"/>
  <c r="L138" i="2" s="1"/>
  <c r="M138" i="2" s="1"/>
  <c r="C140" i="2"/>
  <c r="D140" i="2" s="1"/>
  <c r="E140" i="2" s="1"/>
  <c r="I140" i="2" a="1"/>
  <c r="I140" i="2" s="1"/>
  <c r="J140" i="2" a="1"/>
  <c r="J140" i="2" s="1"/>
  <c r="G139" i="2"/>
  <c r="F139" i="2"/>
  <c r="B141" i="2"/>
  <c r="A142" i="2"/>
  <c r="C142" i="4" l="1"/>
  <c r="D142" i="4" s="1"/>
  <c r="E142" i="4" s="1"/>
  <c r="J142" i="4" a="1"/>
  <c r="J142" i="4" s="1"/>
  <c r="I142" i="4" a="1"/>
  <c r="I142" i="4" s="1"/>
  <c r="B143" i="4"/>
  <c r="A144" i="4"/>
  <c r="H140" i="4"/>
  <c r="K140" i="4"/>
  <c r="L140" i="4" s="1"/>
  <c r="M140" i="4" s="1"/>
  <c r="G141" i="4"/>
  <c r="F141" i="4"/>
  <c r="C141" i="2"/>
  <c r="D141" i="2" s="1"/>
  <c r="E141" i="2" s="1"/>
  <c r="I141" i="2" a="1"/>
  <c r="I141" i="2" s="1"/>
  <c r="J141" i="2" a="1"/>
  <c r="J141" i="2" s="1"/>
  <c r="B142" i="2"/>
  <c r="A143" i="2"/>
  <c r="H139" i="2"/>
  <c r="K139" i="2"/>
  <c r="L139" i="2" s="1"/>
  <c r="M139" i="2" s="1"/>
  <c r="G140" i="2"/>
  <c r="F140" i="2"/>
  <c r="H141" i="4" l="1"/>
  <c r="K141" i="4"/>
  <c r="A145" i="4"/>
  <c r="B144" i="4"/>
  <c r="J143" i="4" a="1"/>
  <c r="J143" i="4" s="1"/>
  <c r="I143" i="4" a="1"/>
  <c r="I143" i="4" s="1"/>
  <c r="C143" i="4"/>
  <c r="D143" i="4" s="1"/>
  <c r="E143" i="4" s="1"/>
  <c r="G142" i="4"/>
  <c r="F142" i="4"/>
  <c r="K140" i="2"/>
  <c r="H140" i="2"/>
  <c r="B143" i="2"/>
  <c r="A144" i="2"/>
  <c r="J142" i="2" a="1"/>
  <c r="J142" i="2" s="1"/>
  <c r="C142" i="2"/>
  <c r="D142" i="2" s="1"/>
  <c r="E142" i="2" s="1"/>
  <c r="I142" i="2" a="1"/>
  <c r="I142" i="2" s="1"/>
  <c r="F141" i="2"/>
  <c r="G141" i="2"/>
  <c r="L141" i="4" l="1"/>
  <c r="M141" i="4" s="1"/>
  <c r="H142" i="4"/>
  <c r="K142" i="4"/>
  <c r="L142" i="4" s="1"/>
  <c r="M142" i="4" s="1"/>
  <c r="G143" i="4"/>
  <c r="F143" i="4"/>
  <c r="J144" i="4" a="1"/>
  <c r="J144" i="4" s="1"/>
  <c r="I144" i="4" a="1"/>
  <c r="I144" i="4" s="1"/>
  <c r="C144" i="4"/>
  <c r="D144" i="4" s="1"/>
  <c r="E144" i="4" s="1"/>
  <c r="B145" i="4"/>
  <c r="A146" i="4"/>
  <c r="L140" i="2"/>
  <c r="M140" i="2" s="1"/>
  <c r="K141" i="2"/>
  <c r="L141" i="2" s="1"/>
  <c r="M141" i="2" s="1"/>
  <c r="H141" i="2"/>
  <c r="F142" i="2"/>
  <c r="K142" i="2" s="1"/>
  <c r="G142" i="2"/>
  <c r="H142" i="2" s="1"/>
  <c r="A145" i="2"/>
  <c r="B144" i="2"/>
  <c r="C143" i="2"/>
  <c r="D143" i="2" s="1"/>
  <c r="E143" i="2" s="1"/>
  <c r="J143" i="2" a="1"/>
  <c r="J143" i="2" s="1"/>
  <c r="I143" i="2" a="1"/>
  <c r="I143" i="2" s="1"/>
  <c r="B146" i="4" l="1"/>
  <c r="A147" i="4"/>
  <c r="J145" i="4" a="1"/>
  <c r="J145" i="4" s="1"/>
  <c r="I145" i="4" a="1"/>
  <c r="I145" i="4" s="1"/>
  <c r="C145" i="4"/>
  <c r="D145" i="4" s="1"/>
  <c r="E145" i="4" s="1"/>
  <c r="G144" i="4"/>
  <c r="F144" i="4"/>
  <c r="H143" i="4"/>
  <c r="K143" i="4"/>
  <c r="L143" i="4" s="1"/>
  <c r="M143" i="4" s="1"/>
  <c r="L142" i="2"/>
  <c r="M142" i="2" s="1"/>
  <c r="I144" i="2" a="1"/>
  <c r="I144" i="2" s="1"/>
  <c r="C144" i="2"/>
  <c r="D144" i="2" s="1"/>
  <c r="E144" i="2" s="1"/>
  <c r="J144" i="2" a="1"/>
  <c r="J144" i="2" s="1"/>
  <c r="G143" i="2"/>
  <c r="F143" i="2"/>
  <c r="A146" i="2"/>
  <c r="B145" i="2"/>
  <c r="H144" i="4" l="1"/>
  <c r="K144" i="4"/>
  <c r="G145" i="4"/>
  <c r="F145" i="4"/>
  <c r="A148" i="4"/>
  <c r="B147" i="4"/>
  <c r="I146" i="4" a="1"/>
  <c r="I146" i="4" s="1"/>
  <c r="J146" i="4" a="1"/>
  <c r="J146" i="4" s="1"/>
  <c r="C146" i="4"/>
  <c r="D146" i="4" s="1"/>
  <c r="E146" i="4" s="1"/>
  <c r="B146" i="2"/>
  <c r="A147" i="2"/>
  <c r="J145" i="2" a="1"/>
  <c r="J145" i="2" s="1"/>
  <c r="I145" i="2" a="1"/>
  <c r="I145" i="2" s="1"/>
  <c r="C145" i="2"/>
  <c r="D145" i="2" s="1"/>
  <c r="E145" i="2" s="1"/>
  <c r="K143" i="2"/>
  <c r="H143" i="2"/>
  <c r="G144" i="2"/>
  <c r="F144" i="2"/>
  <c r="G146" i="4" l="1"/>
  <c r="F146" i="4"/>
  <c r="J147" i="4" a="1"/>
  <c r="J147" i="4" s="1"/>
  <c r="I147" i="4" a="1"/>
  <c r="I147" i="4" s="1"/>
  <c r="C147" i="4"/>
  <c r="D147" i="4" s="1"/>
  <c r="E147" i="4" s="1"/>
  <c r="B148" i="4"/>
  <c r="A149" i="4"/>
  <c r="H145" i="4"/>
  <c r="K145" i="4"/>
  <c r="L145" i="4" s="1"/>
  <c r="M145" i="4" s="1"/>
  <c r="L144" i="4"/>
  <c r="M144" i="4" s="1"/>
  <c r="L143" i="2"/>
  <c r="M143" i="2" s="1"/>
  <c r="H144" i="2"/>
  <c r="K144" i="2"/>
  <c r="L144" i="2" s="1"/>
  <c r="M144" i="2" s="1"/>
  <c r="G145" i="2"/>
  <c r="F145" i="2"/>
  <c r="A148" i="2"/>
  <c r="B147" i="2"/>
  <c r="C146" i="2"/>
  <c r="D146" i="2" s="1"/>
  <c r="E146" i="2" s="1"/>
  <c r="I146" i="2" a="1"/>
  <c r="I146" i="2" s="1"/>
  <c r="J146" i="2" a="1"/>
  <c r="J146" i="2" s="1"/>
  <c r="B149" i="4" l="1"/>
  <c r="A150" i="4"/>
  <c r="I148" i="4" a="1"/>
  <c r="I148" i="4" s="1"/>
  <c r="J148" i="4" a="1"/>
  <c r="J148" i="4" s="1"/>
  <c r="C148" i="4"/>
  <c r="D148" i="4" s="1"/>
  <c r="E148" i="4" s="1"/>
  <c r="G147" i="4"/>
  <c r="F147" i="4"/>
  <c r="H146" i="4"/>
  <c r="K146" i="4"/>
  <c r="L146" i="4" s="1"/>
  <c r="M146" i="4" s="1"/>
  <c r="F146" i="2"/>
  <c r="G146" i="2"/>
  <c r="J147" i="2" a="1"/>
  <c r="J147" i="2" s="1"/>
  <c r="I147" i="2" a="1"/>
  <c r="I147" i="2" s="1"/>
  <c r="C147" i="2"/>
  <c r="D147" i="2" s="1"/>
  <c r="E147" i="2" s="1"/>
  <c r="A149" i="2"/>
  <c r="B148" i="2"/>
  <c r="H145" i="2"/>
  <c r="K145" i="2"/>
  <c r="L145" i="2" s="1"/>
  <c r="M145" i="2" s="1"/>
  <c r="H147" i="4" l="1"/>
  <c r="K147" i="4"/>
  <c r="G148" i="4"/>
  <c r="F148" i="4"/>
  <c r="B150" i="4"/>
  <c r="A151" i="4"/>
  <c r="J149" i="4" a="1"/>
  <c r="J149" i="4" s="1"/>
  <c r="I149" i="4" a="1"/>
  <c r="I149" i="4" s="1"/>
  <c r="C149" i="4"/>
  <c r="D149" i="4" s="1"/>
  <c r="E149" i="4" s="1"/>
  <c r="A150" i="2"/>
  <c r="B149" i="2"/>
  <c r="J148" i="2" a="1"/>
  <c r="J148" i="2" s="1"/>
  <c r="I148" i="2" a="1"/>
  <c r="I148" i="2" s="1"/>
  <c r="C148" i="2"/>
  <c r="D148" i="2" s="1"/>
  <c r="E148" i="2" s="1"/>
  <c r="G147" i="2"/>
  <c r="F147" i="2"/>
  <c r="H146" i="2"/>
  <c r="K146" i="2"/>
  <c r="L146" i="2" s="1"/>
  <c r="M146" i="2" s="1"/>
  <c r="G149" i="4" l="1"/>
  <c r="F149" i="4"/>
  <c r="A152" i="4"/>
  <c r="B151" i="4"/>
  <c r="J150" i="4" a="1"/>
  <c r="J150" i="4" s="1"/>
  <c r="I150" i="4" a="1"/>
  <c r="I150" i="4" s="1"/>
  <c r="C150" i="4"/>
  <c r="D150" i="4" s="1"/>
  <c r="E150" i="4" s="1"/>
  <c r="H148" i="4"/>
  <c r="K148" i="4"/>
  <c r="L148" i="4" s="1"/>
  <c r="M148" i="4" s="1"/>
  <c r="L147" i="4"/>
  <c r="M147" i="4" s="1"/>
  <c r="H147" i="2"/>
  <c r="K147" i="2"/>
  <c r="L147" i="2" s="1"/>
  <c r="M147" i="2" s="1"/>
  <c r="G148" i="2"/>
  <c r="F148" i="2"/>
  <c r="J149" i="2" a="1"/>
  <c r="J149" i="2" s="1"/>
  <c r="I149" i="2" a="1"/>
  <c r="I149" i="2" s="1"/>
  <c r="C149" i="2"/>
  <c r="D149" i="2" s="1"/>
  <c r="E149" i="2" s="1"/>
  <c r="A151" i="2"/>
  <c r="B150" i="2"/>
  <c r="G150" i="4" l="1"/>
  <c r="F150" i="4"/>
  <c r="J151" i="4" a="1"/>
  <c r="J151" i="4" s="1"/>
  <c r="I151" i="4" a="1"/>
  <c r="I151" i="4" s="1"/>
  <c r="C151" i="4"/>
  <c r="D151" i="4" s="1"/>
  <c r="E151" i="4" s="1"/>
  <c r="B152" i="4"/>
  <c r="A153" i="4"/>
  <c r="H149" i="4"/>
  <c r="K149" i="4"/>
  <c r="L149" i="4" s="1"/>
  <c r="M149" i="4" s="1"/>
  <c r="C150" i="2"/>
  <c r="D150" i="2" s="1"/>
  <c r="E150" i="2" s="1"/>
  <c r="J150" i="2" a="1"/>
  <c r="J150" i="2" s="1"/>
  <c r="I150" i="2" a="1"/>
  <c r="I150" i="2" s="1"/>
  <c r="K148" i="2"/>
  <c r="H148" i="2"/>
  <c r="A152" i="2"/>
  <c r="B151" i="2"/>
  <c r="F149" i="2"/>
  <c r="K149" i="2" s="1"/>
  <c r="L149" i="2" s="1"/>
  <c r="M149" i="2" s="1"/>
  <c r="G149" i="2"/>
  <c r="H149" i="2" s="1"/>
  <c r="A154" i="4" l="1"/>
  <c r="B153" i="4"/>
  <c r="J152" i="4" a="1"/>
  <c r="J152" i="4" s="1"/>
  <c r="C152" i="4"/>
  <c r="D152" i="4" s="1"/>
  <c r="E152" i="4" s="1"/>
  <c r="I152" i="4" a="1"/>
  <c r="I152" i="4" s="1"/>
  <c r="H150" i="4"/>
  <c r="K150" i="4"/>
  <c r="L150" i="4" s="1"/>
  <c r="M150" i="4" s="1"/>
  <c r="G151" i="4"/>
  <c r="F151" i="4"/>
  <c r="L148" i="2"/>
  <c r="M148" i="2" s="1"/>
  <c r="A153" i="2"/>
  <c r="B152" i="2"/>
  <c r="C151" i="2"/>
  <c r="D151" i="2" s="1"/>
  <c r="E151" i="2" s="1"/>
  <c r="I151" i="2" a="1"/>
  <c r="I151" i="2" s="1"/>
  <c r="J151" i="2" a="1"/>
  <c r="J151" i="2" s="1"/>
  <c r="F150" i="2"/>
  <c r="G150" i="2"/>
  <c r="H151" i="4" l="1"/>
  <c r="K151" i="4"/>
  <c r="G152" i="4"/>
  <c r="F152" i="4"/>
  <c r="J153" i="4" a="1"/>
  <c r="J153" i="4" s="1"/>
  <c r="C153" i="4"/>
  <c r="D153" i="4" s="1"/>
  <c r="E153" i="4" s="1"/>
  <c r="I153" i="4" a="1"/>
  <c r="I153" i="4" s="1"/>
  <c r="B154" i="4"/>
  <c r="A155" i="4"/>
  <c r="K150" i="2"/>
  <c r="H150" i="2"/>
  <c r="F151" i="2"/>
  <c r="G151" i="2"/>
  <c r="I152" i="2" a="1"/>
  <c r="I152" i="2" s="1"/>
  <c r="C152" i="2"/>
  <c r="D152" i="2" s="1"/>
  <c r="E152" i="2" s="1"/>
  <c r="J152" i="2" a="1"/>
  <c r="J152" i="2" s="1"/>
  <c r="A154" i="2"/>
  <c r="B153" i="2"/>
  <c r="L151" i="4" l="1"/>
  <c r="M151" i="4" s="1"/>
  <c r="A156" i="4"/>
  <c r="B155" i="4"/>
  <c r="C154" i="4"/>
  <c r="D154" i="4" s="1"/>
  <c r="E154" i="4" s="1"/>
  <c r="J154" i="4" a="1"/>
  <c r="J154" i="4" s="1"/>
  <c r="I154" i="4" a="1"/>
  <c r="I154" i="4" s="1"/>
  <c r="F153" i="4"/>
  <c r="G153" i="4"/>
  <c r="H152" i="4"/>
  <c r="K152" i="4"/>
  <c r="L152" i="4" s="1"/>
  <c r="M152" i="4" s="1"/>
  <c r="L150" i="2"/>
  <c r="M150" i="2" s="1"/>
  <c r="J153" i="2" a="1"/>
  <c r="J153" i="2" s="1"/>
  <c r="C153" i="2"/>
  <c r="D153" i="2" s="1"/>
  <c r="E153" i="2" s="1"/>
  <c r="I153" i="2" a="1"/>
  <c r="I153" i="2" s="1"/>
  <c r="A155" i="2"/>
  <c r="B154" i="2"/>
  <c r="G152" i="2"/>
  <c r="F152" i="2"/>
  <c r="H151" i="2"/>
  <c r="K151" i="2"/>
  <c r="L151" i="2" s="1"/>
  <c r="M151" i="2" s="1"/>
  <c r="H153" i="4" l="1"/>
  <c r="K153" i="4"/>
  <c r="L153" i="4" s="1"/>
  <c r="M153" i="4" s="1"/>
  <c r="G154" i="4"/>
  <c r="F154" i="4"/>
  <c r="J155" i="4" a="1"/>
  <c r="J155" i="4" s="1"/>
  <c r="C155" i="4"/>
  <c r="D155" i="4" s="1"/>
  <c r="E155" i="4" s="1"/>
  <c r="I155" i="4" a="1"/>
  <c r="I155" i="4" s="1"/>
  <c r="B156" i="4"/>
  <c r="A157" i="4"/>
  <c r="H152" i="2"/>
  <c r="K152" i="2"/>
  <c r="L152" i="2" s="1"/>
  <c r="M152" i="2" s="1"/>
  <c r="B155" i="2"/>
  <c r="A156" i="2"/>
  <c r="J154" i="2" a="1"/>
  <c r="J154" i="2" s="1"/>
  <c r="I154" i="2" a="1"/>
  <c r="I154" i="2" s="1"/>
  <c r="C154" i="2"/>
  <c r="D154" i="2" s="1"/>
  <c r="E154" i="2" s="1"/>
  <c r="F153" i="2"/>
  <c r="K153" i="2" s="1"/>
  <c r="L153" i="2" s="1"/>
  <c r="M153" i="2" s="1"/>
  <c r="G153" i="2"/>
  <c r="H153" i="2" s="1"/>
  <c r="C156" i="4" l="1"/>
  <c r="D156" i="4" s="1"/>
  <c r="E156" i="4" s="1"/>
  <c r="I156" i="4" a="1"/>
  <c r="I156" i="4" s="1"/>
  <c r="J156" i="4" a="1"/>
  <c r="J156" i="4" s="1"/>
  <c r="B157" i="4"/>
  <c r="A158" i="4"/>
  <c r="G155" i="4"/>
  <c r="F155" i="4"/>
  <c r="H154" i="4"/>
  <c r="K154" i="4"/>
  <c r="L154" i="4" s="1"/>
  <c r="M154" i="4" s="1"/>
  <c r="G154" i="2"/>
  <c r="F154" i="2"/>
  <c r="A157" i="2"/>
  <c r="B156" i="2"/>
  <c r="J155" i="2" a="1"/>
  <c r="J155" i="2" s="1"/>
  <c r="I155" i="2" a="1"/>
  <c r="I155" i="2" s="1"/>
  <c r="C155" i="2"/>
  <c r="D155" i="2" s="1"/>
  <c r="E155" i="2" s="1"/>
  <c r="H155" i="4" l="1"/>
  <c r="K155" i="4"/>
  <c r="L155" i="4" s="1"/>
  <c r="M155" i="4" s="1"/>
  <c r="B158" i="4"/>
  <c r="A159" i="4"/>
  <c r="J157" i="4" a="1"/>
  <c r="J157" i="4" s="1"/>
  <c r="C157" i="4"/>
  <c r="D157" i="4" s="1"/>
  <c r="E157" i="4" s="1"/>
  <c r="I157" i="4" a="1"/>
  <c r="I157" i="4" s="1"/>
  <c r="G156" i="4"/>
  <c r="F156" i="4"/>
  <c r="F155" i="2"/>
  <c r="G155" i="2"/>
  <c r="C156" i="2"/>
  <c r="D156" i="2" s="1"/>
  <c r="E156" i="2" s="1"/>
  <c r="I156" i="2" a="1"/>
  <c r="I156" i="2" s="1"/>
  <c r="J156" i="2" a="1"/>
  <c r="J156" i="2" s="1"/>
  <c r="A158" i="2"/>
  <c r="B157" i="2"/>
  <c r="K154" i="2"/>
  <c r="L154" i="2" s="1"/>
  <c r="M154" i="2" s="1"/>
  <c r="H154" i="2"/>
  <c r="H156" i="4" l="1"/>
  <c r="K156" i="4"/>
  <c r="F157" i="4"/>
  <c r="G157" i="4"/>
  <c r="A160" i="4"/>
  <c r="B159" i="4"/>
  <c r="C158" i="4"/>
  <c r="D158" i="4" s="1"/>
  <c r="E158" i="4" s="1"/>
  <c r="J158" i="4" a="1"/>
  <c r="J158" i="4" s="1"/>
  <c r="I158" i="4" a="1"/>
  <c r="I158" i="4" s="1"/>
  <c r="C157" i="2"/>
  <c r="D157" i="2" s="1"/>
  <c r="E157" i="2" s="1"/>
  <c r="I157" i="2" a="1"/>
  <c r="I157" i="2" s="1"/>
  <c r="J157" i="2" a="1"/>
  <c r="J157" i="2" s="1"/>
  <c r="A159" i="2"/>
  <c r="B158" i="2"/>
  <c r="F156" i="2"/>
  <c r="G156" i="2"/>
  <c r="H155" i="2"/>
  <c r="K155" i="2"/>
  <c r="L155" i="2" s="1"/>
  <c r="M155" i="2" s="1"/>
  <c r="L156" i="4" l="1"/>
  <c r="M156" i="4" s="1"/>
  <c r="G158" i="4"/>
  <c r="F158" i="4"/>
  <c r="J159" i="4" a="1"/>
  <c r="J159" i="4" s="1"/>
  <c r="C159" i="4"/>
  <c r="D159" i="4" s="1"/>
  <c r="E159" i="4" s="1"/>
  <c r="I159" i="4" a="1"/>
  <c r="I159" i="4" s="1"/>
  <c r="B160" i="4"/>
  <c r="A161" i="4"/>
  <c r="H157" i="4"/>
  <c r="K157" i="4"/>
  <c r="L157" i="4" s="1"/>
  <c r="M157" i="4" s="1"/>
  <c r="K156" i="2"/>
  <c r="H156" i="2"/>
  <c r="J158" i="2" a="1"/>
  <c r="J158" i="2" s="1"/>
  <c r="I158" i="2" a="1"/>
  <c r="I158" i="2" s="1"/>
  <c r="C158" i="2"/>
  <c r="D158" i="2" s="1"/>
  <c r="E158" i="2" s="1"/>
  <c r="A160" i="2"/>
  <c r="B159" i="2"/>
  <c r="F157" i="2"/>
  <c r="G157" i="2"/>
  <c r="B161" i="4" l="1"/>
  <c r="A162" i="4"/>
  <c r="C160" i="4"/>
  <c r="D160" i="4" s="1"/>
  <c r="E160" i="4" s="1"/>
  <c r="J160" i="4" a="1"/>
  <c r="J160" i="4" s="1"/>
  <c r="I160" i="4" a="1"/>
  <c r="I160" i="4" s="1"/>
  <c r="F159" i="4"/>
  <c r="G159" i="4"/>
  <c r="H158" i="4"/>
  <c r="K158" i="4"/>
  <c r="L158" i="4" s="1"/>
  <c r="M158" i="4" s="1"/>
  <c r="L156" i="2"/>
  <c r="M156" i="2" s="1"/>
  <c r="H157" i="2"/>
  <c r="K157" i="2"/>
  <c r="L157" i="2" s="1"/>
  <c r="M157" i="2" s="1"/>
  <c r="J159" i="2" a="1"/>
  <c r="J159" i="2" s="1"/>
  <c r="I159" i="2" a="1"/>
  <c r="I159" i="2" s="1"/>
  <c r="C159" i="2"/>
  <c r="D159" i="2" s="1"/>
  <c r="E159" i="2" s="1"/>
  <c r="A161" i="2"/>
  <c r="B160" i="2"/>
  <c r="G158" i="2"/>
  <c r="F158" i="2"/>
  <c r="H159" i="4" l="1"/>
  <c r="K159" i="4"/>
  <c r="L159" i="4" s="1"/>
  <c r="M159" i="4" s="1"/>
  <c r="F160" i="4"/>
  <c r="G160" i="4"/>
  <c r="B162" i="4"/>
  <c r="A163" i="4"/>
  <c r="J161" i="4" a="1"/>
  <c r="J161" i="4" s="1"/>
  <c r="C161" i="4"/>
  <c r="D161" i="4" s="1"/>
  <c r="E161" i="4" s="1"/>
  <c r="I161" i="4" a="1"/>
  <c r="I161" i="4" s="1"/>
  <c r="A162" i="2"/>
  <c r="B161" i="2"/>
  <c r="K158" i="2"/>
  <c r="L158" i="2" s="1"/>
  <c r="M158" i="2" s="1"/>
  <c r="H158" i="2"/>
  <c r="J160" i="2" a="1"/>
  <c r="J160" i="2" s="1"/>
  <c r="C160" i="2"/>
  <c r="D160" i="2" s="1"/>
  <c r="E160" i="2" s="1"/>
  <c r="I160" i="2" a="1"/>
  <c r="I160" i="2" s="1"/>
  <c r="F159" i="2"/>
  <c r="G159" i="2"/>
  <c r="G161" i="4" l="1"/>
  <c r="F161" i="4"/>
  <c r="A164" i="4"/>
  <c r="B163" i="4"/>
  <c r="I162" i="4" a="1"/>
  <c r="I162" i="4" s="1"/>
  <c r="C162" i="4"/>
  <c r="D162" i="4" s="1"/>
  <c r="E162" i="4" s="1"/>
  <c r="J162" i="4" a="1"/>
  <c r="J162" i="4" s="1"/>
  <c r="H160" i="4"/>
  <c r="K160" i="4"/>
  <c r="L160" i="4" s="1"/>
  <c r="M160" i="4" s="1"/>
  <c r="H159" i="2"/>
  <c r="K159" i="2"/>
  <c r="L159" i="2" s="1"/>
  <c r="M159" i="2" s="1"/>
  <c r="F160" i="2"/>
  <c r="G160" i="2"/>
  <c r="J161" i="2" a="1"/>
  <c r="J161" i="2" s="1"/>
  <c r="I161" i="2" a="1"/>
  <c r="I161" i="2" s="1"/>
  <c r="C161" i="2"/>
  <c r="D161" i="2" s="1"/>
  <c r="E161" i="2" s="1"/>
  <c r="A163" i="2"/>
  <c r="B162" i="2"/>
  <c r="G162" i="4" l="1"/>
  <c r="F162" i="4"/>
  <c r="J163" i="4" a="1"/>
  <c r="J163" i="4" s="1"/>
  <c r="I163" i="4" a="1"/>
  <c r="I163" i="4" s="1"/>
  <c r="C163" i="4"/>
  <c r="D163" i="4" s="1"/>
  <c r="E163" i="4" s="1"/>
  <c r="B164" i="4"/>
  <c r="A165" i="4"/>
  <c r="H161" i="4"/>
  <c r="K161" i="4"/>
  <c r="L161" i="4" s="1"/>
  <c r="M161" i="4" s="1"/>
  <c r="A164" i="2"/>
  <c r="B163" i="2"/>
  <c r="G161" i="2"/>
  <c r="F161" i="2"/>
  <c r="C162" i="2"/>
  <c r="D162" i="2" s="1"/>
  <c r="E162" i="2" s="1"/>
  <c r="I162" i="2" a="1"/>
  <c r="I162" i="2" s="1"/>
  <c r="J162" i="2" a="1"/>
  <c r="J162" i="2" s="1"/>
  <c r="K160" i="2"/>
  <c r="L160" i="2" s="1"/>
  <c r="M160" i="2" s="1"/>
  <c r="H160" i="2"/>
  <c r="G163" i="4" l="1"/>
  <c r="F163" i="4"/>
  <c r="I164" i="4" a="1"/>
  <c r="I164" i="4" s="1"/>
  <c r="J164" i="4" a="1"/>
  <c r="J164" i="4" s="1"/>
  <c r="C164" i="4"/>
  <c r="D164" i="4" s="1"/>
  <c r="E164" i="4" s="1"/>
  <c r="H162" i="4"/>
  <c r="K162" i="4"/>
  <c r="L162" i="4" s="1"/>
  <c r="M162" i="4" s="1"/>
  <c r="B165" i="4"/>
  <c r="A166" i="4"/>
  <c r="F162" i="2"/>
  <c r="G162" i="2"/>
  <c r="H161" i="2"/>
  <c r="K161" i="2"/>
  <c r="L161" i="2" s="1"/>
  <c r="M161" i="2" s="1"/>
  <c r="J163" i="2" a="1"/>
  <c r="J163" i="2" s="1"/>
  <c r="I163" i="2" a="1"/>
  <c r="I163" i="2" s="1"/>
  <c r="C163" i="2"/>
  <c r="D163" i="2" s="1"/>
  <c r="E163" i="2" s="1"/>
  <c r="A165" i="2"/>
  <c r="B164" i="2"/>
  <c r="G164" i="4" l="1"/>
  <c r="F164" i="4"/>
  <c r="B166" i="4"/>
  <c r="A167" i="4"/>
  <c r="J165" i="4" a="1"/>
  <c r="J165" i="4" s="1"/>
  <c r="I165" i="4" a="1"/>
  <c r="I165" i="4" s="1"/>
  <c r="C165" i="4"/>
  <c r="D165" i="4" s="1"/>
  <c r="E165" i="4" s="1"/>
  <c r="H163" i="4"/>
  <c r="K163" i="4"/>
  <c r="L163" i="4" s="1"/>
  <c r="M163" i="4" s="1"/>
  <c r="J164" i="2" a="1"/>
  <c r="J164" i="2" s="1"/>
  <c r="I164" i="2" a="1"/>
  <c r="I164" i="2" s="1"/>
  <c r="C164" i="2"/>
  <c r="D164" i="2" s="1"/>
  <c r="E164" i="2" s="1"/>
  <c r="B165" i="2"/>
  <c r="A166" i="2"/>
  <c r="G163" i="2"/>
  <c r="F163" i="2"/>
  <c r="K162" i="2"/>
  <c r="L162" i="2" s="1"/>
  <c r="M162" i="2" s="1"/>
  <c r="H162" i="2"/>
  <c r="G165" i="4" l="1"/>
  <c r="F165" i="4"/>
  <c r="A168" i="4"/>
  <c r="B167" i="4"/>
  <c r="J166" i="4" a="1"/>
  <c r="J166" i="4" s="1"/>
  <c r="I166" i="4" a="1"/>
  <c r="I166" i="4" s="1"/>
  <c r="C166" i="4"/>
  <c r="D166" i="4" s="1"/>
  <c r="E166" i="4" s="1"/>
  <c r="H164" i="4"/>
  <c r="K164" i="4"/>
  <c r="L164" i="4" s="1"/>
  <c r="M164" i="4" s="1"/>
  <c r="H163" i="2"/>
  <c r="K163" i="2"/>
  <c r="A167" i="2"/>
  <c r="B166" i="2"/>
  <c r="I165" i="2" a="1"/>
  <c r="I165" i="2" s="1"/>
  <c r="C165" i="2"/>
  <c r="D165" i="2" s="1"/>
  <c r="E165" i="2" s="1"/>
  <c r="J165" i="2" a="1"/>
  <c r="J165" i="2" s="1"/>
  <c r="F164" i="2"/>
  <c r="G164" i="2"/>
  <c r="G166" i="4" l="1"/>
  <c r="F166" i="4"/>
  <c r="J167" i="4" a="1"/>
  <c r="J167" i="4" s="1"/>
  <c r="I167" i="4" a="1"/>
  <c r="I167" i="4" s="1"/>
  <c r="C167" i="4"/>
  <c r="D167" i="4" s="1"/>
  <c r="E167" i="4" s="1"/>
  <c r="B168" i="4"/>
  <c r="A169" i="4"/>
  <c r="H165" i="4"/>
  <c r="K165" i="4"/>
  <c r="L165" i="4" s="1"/>
  <c r="M165" i="4" s="1"/>
  <c r="L163" i="2"/>
  <c r="M163" i="2" s="1"/>
  <c r="H164" i="2"/>
  <c r="K164" i="2"/>
  <c r="L164" i="2" s="1"/>
  <c r="M164" i="2" s="1"/>
  <c r="F165" i="2"/>
  <c r="G165" i="2"/>
  <c r="J166" i="2" a="1"/>
  <c r="J166" i="2" s="1"/>
  <c r="I166" i="2" a="1"/>
  <c r="I166" i="2" s="1"/>
  <c r="C166" i="2"/>
  <c r="D166" i="2" s="1"/>
  <c r="E166" i="2" s="1"/>
  <c r="A168" i="2"/>
  <c r="B167" i="2"/>
  <c r="B169" i="4" l="1"/>
  <c r="A170" i="4"/>
  <c r="J168" i="4" a="1"/>
  <c r="J168" i="4" s="1"/>
  <c r="I168" i="4" a="1"/>
  <c r="I168" i="4" s="1"/>
  <c r="C168" i="4"/>
  <c r="D168" i="4" s="1"/>
  <c r="E168" i="4" s="1"/>
  <c r="G167" i="4"/>
  <c r="F167" i="4"/>
  <c r="H166" i="4"/>
  <c r="K166" i="4"/>
  <c r="L166" i="4" s="1"/>
  <c r="M166" i="4" s="1"/>
  <c r="F166" i="2"/>
  <c r="G166" i="2"/>
  <c r="H165" i="2"/>
  <c r="K165" i="2"/>
  <c r="L165" i="2" s="1"/>
  <c r="M165" i="2" s="1"/>
  <c r="I167" i="2" a="1"/>
  <c r="I167" i="2" s="1"/>
  <c r="J167" i="2" a="1"/>
  <c r="J167" i="2" s="1"/>
  <c r="C167" i="2"/>
  <c r="D167" i="2" s="1"/>
  <c r="E167" i="2" s="1"/>
  <c r="A169" i="2"/>
  <c r="B168" i="2"/>
  <c r="G168" i="4" l="1"/>
  <c r="F168" i="4"/>
  <c r="B170" i="4"/>
  <c r="A171" i="4"/>
  <c r="H167" i="4"/>
  <c r="K167" i="4"/>
  <c r="L167" i="4" s="1"/>
  <c r="M167" i="4" s="1"/>
  <c r="J169" i="4" a="1"/>
  <c r="J169" i="4" s="1"/>
  <c r="I169" i="4" a="1"/>
  <c r="I169" i="4" s="1"/>
  <c r="C169" i="4"/>
  <c r="D169" i="4" s="1"/>
  <c r="E169" i="4" s="1"/>
  <c r="J168" i="2" a="1"/>
  <c r="J168" i="2" s="1"/>
  <c r="C168" i="2"/>
  <c r="D168" i="2" s="1"/>
  <c r="E168" i="2" s="1"/>
  <c r="I168" i="2" a="1"/>
  <c r="I168" i="2" s="1"/>
  <c r="B169" i="2"/>
  <c r="A170" i="2"/>
  <c r="G167" i="2"/>
  <c r="F167" i="2"/>
  <c r="K166" i="2"/>
  <c r="L166" i="2" s="1"/>
  <c r="M166" i="2" s="1"/>
  <c r="H166" i="2"/>
  <c r="F169" i="4" l="1"/>
  <c r="G169" i="4"/>
  <c r="H168" i="4"/>
  <c r="K168" i="4"/>
  <c r="L168" i="4" s="1"/>
  <c r="M168" i="4" s="1"/>
  <c r="A172" i="4"/>
  <c r="B171" i="4"/>
  <c r="I170" i="4" a="1"/>
  <c r="I170" i="4" s="1"/>
  <c r="C170" i="4"/>
  <c r="D170" i="4" s="1"/>
  <c r="E170" i="4" s="1"/>
  <c r="J170" i="4" a="1"/>
  <c r="J170" i="4" s="1"/>
  <c r="H167" i="2"/>
  <c r="K167" i="2"/>
  <c r="L167" i="2" s="1"/>
  <c r="M167" i="2" s="1"/>
  <c r="A171" i="2"/>
  <c r="B170" i="2"/>
  <c r="J169" i="2" a="1"/>
  <c r="J169" i="2" s="1"/>
  <c r="C169" i="2"/>
  <c r="D169" i="2" s="1"/>
  <c r="E169" i="2" s="1"/>
  <c r="I169" i="2" a="1"/>
  <c r="I169" i="2" s="1"/>
  <c r="F168" i="2"/>
  <c r="G168" i="2"/>
  <c r="G170" i="4" l="1"/>
  <c r="F170" i="4"/>
  <c r="J171" i="4" a="1"/>
  <c r="J171" i="4" s="1"/>
  <c r="I171" i="4" a="1"/>
  <c r="I171" i="4" s="1"/>
  <c r="C171" i="4"/>
  <c r="D171" i="4" s="1"/>
  <c r="E171" i="4" s="1"/>
  <c r="B172" i="4"/>
  <c r="A173" i="4"/>
  <c r="H169" i="4"/>
  <c r="K169" i="4"/>
  <c r="L169" i="4" s="1"/>
  <c r="M169" i="4" s="1"/>
  <c r="I170" i="2" a="1"/>
  <c r="I170" i="2" s="1"/>
  <c r="J170" i="2" a="1"/>
  <c r="J170" i="2" s="1"/>
  <c r="C170" i="2"/>
  <c r="D170" i="2" s="1"/>
  <c r="E170" i="2" s="1"/>
  <c r="A172" i="2"/>
  <c r="B171" i="2"/>
  <c r="K168" i="2"/>
  <c r="L168" i="2" s="1"/>
  <c r="M168" i="2" s="1"/>
  <c r="H168" i="2"/>
  <c r="F169" i="2"/>
  <c r="G169" i="2"/>
  <c r="C172" i="4" l="1"/>
  <c r="D172" i="4" s="1"/>
  <c r="E172" i="4" s="1"/>
  <c r="I172" i="4" a="1"/>
  <c r="I172" i="4" s="1"/>
  <c r="J172" i="4" a="1"/>
  <c r="J172" i="4" s="1"/>
  <c r="B173" i="4"/>
  <c r="A174" i="4"/>
  <c r="G171" i="4"/>
  <c r="F171" i="4"/>
  <c r="H170" i="4"/>
  <c r="K170" i="4"/>
  <c r="L170" i="4" s="1"/>
  <c r="M170" i="4" s="1"/>
  <c r="J171" i="2" a="1"/>
  <c r="J171" i="2" s="1"/>
  <c r="C171" i="2"/>
  <c r="D171" i="2" s="1"/>
  <c r="E171" i="2" s="1"/>
  <c r="I171" i="2" a="1"/>
  <c r="I171" i="2" s="1"/>
  <c r="A173" i="2"/>
  <c r="B172" i="2"/>
  <c r="H169" i="2"/>
  <c r="K169" i="2"/>
  <c r="L169" i="2" s="1"/>
  <c r="M169" i="2" s="1"/>
  <c r="F170" i="2"/>
  <c r="G170" i="2"/>
  <c r="J173" i="4" l="1" a="1"/>
  <c r="J173" i="4" s="1"/>
  <c r="C173" i="4"/>
  <c r="D173" i="4" s="1"/>
  <c r="E173" i="4" s="1"/>
  <c r="I173" i="4" a="1"/>
  <c r="I173" i="4" s="1"/>
  <c r="H171" i="4"/>
  <c r="K171" i="4"/>
  <c r="L171" i="4" s="1"/>
  <c r="M171" i="4" s="1"/>
  <c r="A175" i="4"/>
  <c r="B174" i="4"/>
  <c r="F172" i="4"/>
  <c r="G172" i="4"/>
  <c r="K170" i="2"/>
  <c r="L170" i="2" s="1"/>
  <c r="M170" i="2" s="1"/>
  <c r="H170" i="2"/>
  <c r="A174" i="2"/>
  <c r="B173" i="2"/>
  <c r="I172" i="2" a="1"/>
  <c r="I172" i="2" s="1"/>
  <c r="J172" i="2" a="1"/>
  <c r="J172" i="2" s="1"/>
  <c r="C172" i="2"/>
  <c r="D172" i="2" s="1"/>
  <c r="E172" i="2" s="1"/>
  <c r="G171" i="2"/>
  <c r="F171" i="2"/>
  <c r="G173" i="4" l="1"/>
  <c r="F173" i="4"/>
  <c r="H172" i="4"/>
  <c r="K172" i="4"/>
  <c r="L172" i="4" s="1"/>
  <c r="M172" i="4" s="1"/>
  <c r="C174" i="4"/>
  <c r="D174" i="4" s="1"/>
  <c r="E174" i="4" s="1"/>
  <c r="J174" i="4" a="1"/>
  <c r="J174" i="4" s="1"/>
  <c r="I174" i="4" a="1"/>
  <c r="I174" i="4" s="1"/>
  <c r="A176" i="4"/>
  <c r="B175" i="4"/>
  <c r="J173" i="2" a="1"/>
  <c r="J173" i="2" s="1"/>
  <c r="I173" i="2" a="1"/>
  <c r="I173" i="2" s="1"/>
  <c r="C173" i="2"/>
  <c r="D173" i="2" s="1"/>
  <c r="E173" i="2" s="1"/>
  <c r="K171" i="2"/>
  <c r="L171" i="2" s="1"/>
  <c r="M171" i="2" s="1"/>
  <c r="H171" i="2"/>
  <c r="A175" i="2"/>
  <c r="B174" i="2"/>
  <c r="F172" i="2"/>
  <c r="G172" i="2"/>
  <c r="J175" i="4" l="1" a="1"/>
  <c r="J175" i="4" s="1"/>
  <c r="C175" i="4"/>
  <c r="D175" i="4" s="1"/>
  <c r="E175" i="4" s="1"/>
  <c r="I175" i="4" a="1"/>
  <c r="I175" i="4" s="1"/>
  <c r="B176" i="4"/>
  <c r="A177" i="4"/>
  <c r="G174" i="4"/>
  <c r="F174" i="4"/>
  <c r="H173" i="4"/>
  <c r="K173" i="4"/>
  <c r="C174" i="2"/>
  <c r="D174" i="2" s="1"/>
  <c r="E174" i="2" s="1"/>
  <c r="J174" i="2" a="1"/>
  <c r="J174" i="2" s="1"/>
  <c r="I174" i="2" a="1"/>
  <c r="I174" i="2" s="1"/>
  <c r="A176" i="2"/>
  <c r="B175" i="2"/>
  <c r="K172" i="2"/>
  <c r="H172" i="2"/>
  <c r="G173" i="2"/>
  <c r="F173" i="2"/>
  <c r="B177" i="4" l="1"/>
  <c r="A178" i="4"/>
  <c r="C176" i="4"/>
  <c r="D176" i="4" s="1"/>
  <c r="E176" i="4" s="1"/>
  <c r="J176" i="4" a="1"/>
  <c r="J176" i="4" s="1"/>
  <c r="I176" i="4" a="1"/>
  <c r="I176" i="4" s="1"/>
  <c r="G175" i="4"/>
  <c r="F175" i="4"/>
  <c r="L173" i="4"/>
  <c r="M173" i="4" s="1"/>
  <c r="H174" i="4"/>
  <c r="K174" i="4"/>
  <c r="L174" i="4" s="1"/>
  <c r="M174" i="4" s="1"/>
  <c r="L172" i="2"/>
  <c r="M172" i="2" s="1"/>
  <c r="H173" i="2"/>
  <c r="K173" i="2"/>
  <c r="L173" i="2" s="1"/>
  <c r="M173" i="2" s="1"/>
  <c r="C175" i="2"/>
  <c r="D175" i="2" s="1"/>
  <c r="E175" i="2" s="1"/>
  <c r="I175" i="2" a="1"/>
  <c r="I175" i="2" s="1"/>
  <c r="J175" i="2" a="1"/>
  <c r="J175" i="2" s="1"/>
  <c r="B176" i="2"/>
  <c r="A177" i="2"/>
  <c r="F174" i="2"/>
  <c r="G174" i="2"/>
  <c r="H175" i="4" l="1"/>
  <c r="K175" i="4"/>
  <c r="F176" i="4"/>
  <c r="G176" i="4"/>
  <c r="A179" i="4"/>
  <c r="B178" i="4"/>
  <c r="J177" i="4" a="1"/>
  <c r="J177" i="4" s="1"/>
  <c r="I177" i="4" a="1"/>
  <c r="I177" i="4" s="1"/>
  <c r="C177" i="4"/>
  <c r="D177" i="4" s="1"/>
  <c r="E177" i="4" s="1"/>
  <c r="B177" i="2"/>
  <c r="A178" i="2"/>
  <c r="K174" i="2"/>
  <c r="H174" i="2"/>
  <c r="J176" i="2" a="1"/>
  <c r="J176" i="2" s="1"/>
  <c r="C176" i="2"/>
  <c r="D176" i="2" s="1"/>
  <c r="E176" i="2" s="1"/>
  <c r="I176" i="2" a="1"/>
  <c r="I176" i="2" s="1"/>
  <c r="G175" i="2"/>
  <c r="F175" i="2"/>
  <c r="G177" i="4" l="1"/>
  <c r="F177" i="4"/>
  <c r="I178" i="4" a="1"/>
  <c r="I178" i="4" s="1"/>
  <c r="J178" i="4" a="1"/>
  <c r="J178" i="4" s="1"/>
  <c r="C178" i="4"/>
  <c r="D178" i="4" s="1"/>
  <c r="E178" i="4" s="1"/>
  <c r="H176" i="4"/>
  <c r="K176" i="4"/>
  <c r="L176" i="4" s="1"/>
  <c r="M176" i="4" s="1"/>
  <c r="A180" i="4"/>
  <c r="B179" i="4"/>
  <c r="L175" i="4"/>
  <c r="M175" i="4" s="1"/>
  <c r="L174" i="2"/>
  <c r="M174" i="2" s="1"/>
  <c r="H175" i="2"/>
  <c r="K175" i="2"/>
  <c r="L175" i="2" s="1"/>
  <c r="M175" i="2" s="1"/>
  <c r="F176" i="2"/>
  <c r="G176" i="2"/>
  <c r="A179" i="2"/>
  <c r="B178" i="2"/>
  <c r="J177" i="2" a="1"/>
  <c r="J177" i="2" s="1"/>
  <c r="I177" i="2" a="1"/>
  <c r="I177" i="2" s="1"/>
  <c r="C177" i="2"/>
  <c r="D177" i="2" s="1"/>
  <c r="E177" i="2" s="1"/>
  <c r="G178" i="4" l="1"/>
  <c r="F178" i="4"/>
  <c r="J179" i="4" a="1"/>
  <c r="J179" i="4" s="1"/>
  <c r="C179" i="4"/>
  <c r="D179" i="4" s="1"/>
  <c r="E179" i="4" s="1"/>
  <c r="I179" i="4" a="1"/>
  <c r="I179" i="4" s="1"/>
  <c r="B180" i="4"/>
  <c r="A181" i="4"/>
  <c r="H177" i="4"/>
  <c r="K177" i="4"/>
  <c r="L177" i="4" s="1"/>
  <c r="M177" i="4" s="1"/>
  <c r="F177" i="2"/>
  <c r="G177" i="2"/>
  <c r="I178" i="2" a="1"/>
  <c r="I178" i="2" s="1"/>
  <c r="J178" i="2" a="1"/>
  <c r="J178" i="2" s="1"/>
  <c r="C178" i="2"/>
  <c r="D178" i="2" s="1"/>
  <c r="E178" i="2" s="1"/>
  <c r="B179" i="2"/>
  <c r="A180" i="2"/>
  <c r="K176" i="2"/>
  <c r="L176" i="2" s="1"/>
  <c r="M176" i="2" s="1"/>
  <c r="H176" i="2"/>
  <c r="C180" i="4" l="1"/>
  <c r="D180" i="4" s="1"/>
  <c r="E180" i="4" s="1"/>
  <c r="J180" i="4" a="1"/>
  <c r="J180" i="4" s="1"/>
  <c r="I180" i="4" a="1"/>
  <c r="I180" i="4" s="1"/>
  <c r="F179" i="4"/>
  <c r="G179" i="4"/>
  <c r="A182" i="4"/>
  <c r="B181" i="4"/>
  <c r="H178" i="4"/>
  <c r="K178" i="4"/>
  <c r="L178" i="4" s="1"/>
  <c r="M178" i="4" s="1"/>
  <c r="B180" i="2"/>
  <c r="A181" i="2"/>
  <c r="J179" i="2" a="1"/>
  <c r="J179" i="2" s="1"/>
  <c r="I179" i="2" a="1"/>
  <c r="I179" i="2" s="1"/>
  <c r="C179" i="2"/>
  <c r="D179" i="2" s="1"/>
  <c r="E179" i="2" s="1"/>
  <c r="F178" i="2"/>
  <c r="K178" i="2" s="1"/>
  <c r="L178" i="2" s="1"/>
  <c r="M178" i="2" s="1"/>
  <c r="G178" i="2"/>
  <c r="H178" i="2" s="1"/>
  <c r="H177" i="2"/>
  <c r="K177" i="2"/>
  <c r="L177" i="2" s="1"/>
  <c r="M177" i="2" s="1"/>
  <c r="J181" i="4" l="1" a="1"/>
  <c r="J181" i="4" s="1"/>
  <c r="I181" i="4" a="1"/>
  <c r="I181" i="4" s="1"/>
  <c r="C181" i="4"/>
  <c r="D181" i="4" s="1"/>
  <c r="E181" i="4" s="1"/>
  <c r="H179" i="4"/>
  <c r="K179" i="4"/>
  <c r="L179" i="4" s="1"/>
  <c r="M179" i="4" s="1"/>
  <c r="A183" i="4"/>
  <c r="B182" i="4"/>
  <c r="G180" i="4"/>
  <c r="F180" i="4"/>
  <c r="F179" i="2"/>
  <c r="G179" i="2"/>
  <c r="A182" i="2"/>
  <c r="B181" i="2"/>
  <c r="C180" i="2"/>
  <c r="D180" i="2" s="1"/>
  <c r="E180" i="2" s="1"/>
  <c r="J180" i="2" a="1"/>
  <c r="J180" i="2" s="1"/>
  <c r="I180" i="2" a="1"/>
  <c r="I180" i="2" s="1"/>
  <c r="I182" i="4" l="1" a="1"/>
  <c r="I182" i="4" s="1"/>
  <c r="J182" i="4" a="1"/>
  <c r="J182" i="4" s="1"/>
  <c r="C182" i="4"/>
  <c r="D182" i="4" s="1"/>
  <c r="E182" i="4" s="1"/>
  <c r="H180" i="4"/>
  <c r="K180" i="4"/>
  <c r="L180" i="4" s="1"/>
  <c r="M180" i="4" s="1"/>
  <c r="A184" i="4"/>
  <c r="B183" i="4"/>
  <c r="G181" i="4"/>
  <c r="F181" i="4"/>
  <c r="F180" i="2"/>
  <c r="G180" i="2"/>
  <c r="C181" i="2"/>
  <c r="D181" i="2" s="1"/>
  <c r="E181" i="2" s="1"/>
  <c r="J181" i="2" a="1"/>
  <c r="J181" i="2" s="1"/>
  <c r="I181" i="2" a="1"/>
  <c r="I181" i="2" s="1"/>
  <c r="A183" i="2"/>
  <c r="B182" i="2"/>
  <c r="H179" i="2"/>
  <c r="K179" i="2"/>
  <c r="L179" i="2" s="1"/>
  <c r="M179" i="2" s="1"/>
  <c r="H181" i="4" l="1"/>
  <c r="K181" i="4"/>
  <c r="L181" i="4" s="1"/>
  <c r="M181" i="4" s="1"/>
  <c r="B184" i="4"/>
  <c r="A185" i="4"/>
  <c r="J183" i="4" a="1"/>
  <c r="J183" i="4" s="1"/>
  <c r="C183" i="4"/>
  <c r="D183" i="4" s="1"/>
  <c r="E183" i="4" s="1"/>
  <c r="I183" i="4" a="1"/>
  <c r="I183" i="4" s="1"/>
  <c r="G182" i="4"/>
  <c r="F182" i="4"/>
  <c r="J182" i="2" a="1"/>
  <c r="J182" i="2" s="1"/>
  <c r="I182" i="2" a="1"/>
  <c r="I182" i="2" s="1"/>
  <c r="C182" i="2"/>
  <c r="D182" i="2" s="1"/>
  <c r="E182" i="2" s="1"/>
  <c r="A184" i="2"/>
  <c r="B183" i="2"/>
  <c r="G181" i="2"/>
  <c r="F181" i="2"/>
  <c r="K181" i="2" s="1"/>
  <c r="K180" i="2"/>
  <c r="L180" i="2" s="1"/>
  <c r="M180" i="2" s="1"/>
  <c r="H180" i="2"/>
  <c r="H182" i="4" l="1"/>
  <c r="K182" i="4"/>
  <c r="L182" i="4" s="1"/>
  <c r="M182" i="4" s="1"/>
  <c r="F183" i="4"/>
  <c r="G183" i="4"/>
  <c r="B185" i="4"/>
  <c r="A186" i="4"/>
  <c r="C184" i="4"/>
  <c r="D184" i="4" s="1"/>
  <c r="E184" i="4" s="1"/>
  <c r="J184" i="4" a="1"/>
  <c r="J184" i="4" s="1"/>
  <c r="I184" i="4" a="1"/>
  <c r="I184" i="4" s="1"/>
  <c r="H181" i="2"/>
  <c r="L181" i="2" s="1"/>
  <c r="M181" i="2" s="1"/>
  <c r="I183" i="2" a="1"/>
  <c r="I183" i="2" s="1"/>
  <c r="J183" i="2" a="1"/>
  <c r="J183" i="2" s="1"/>
  <c r="C183" i="2"/>
  <c r="D183" i="2" s="1"/>
  <c r="E183" i="2" s="1"/>
  <c r="A185" i="2"/>
  <c r="B184" i="2"/>
  <c r="G182" i="2"/>
  <c r="F182" i="2"/>
  <c r="G184" i="4" l="1"/>
  <c r="F184" i="4"/>
  <c r="J185" i="4" a="1"/>
  <c r="J185" i="4" s="1"/>
  <c r="C185" i="4"/>
  <c r="D185" i="4" s="1"/>
  <c r="E185" i="4" s="1"/>
  <c r="I185" i="4" a="1"/>
  <c r="I185" i="4" s="1"/>
  <c r="H183" i="4"/>
  <c r="K183" i="4"/>
  <c r="L183" i="4" s="1"/>
  <c r="M183" i="4" s="1"/>
  <c r="A187" i="4"/>
  <c r="B186" i="4"/>
  <c r="K182" i="2"/>
  <c r="H182" i="2"/>
  <c r="I184" i="2" a="1"/>
  <c r="I184" i="2" s="1"/>
  <c r="J184" i="2" a="1"/>
  <c r="J184" i="2" s="1"/>
  <c r="C184" i="2"/>
  <c r="D184" i="2" s="1"/>
  <c r="E184" i="2" s="1"/>
  <c r="A186" i="2"/>
  <c r="B185" i="2"/>
  <c r="F183" i="2"/>
  <c r="G183" i="2"/>
  <c r="I186" i="4" l="1" a="1"/>
  <c r="I186" i="4" s="1"/>
  <c r="J186" i="4" a="1"/>
  <c r="J186" i="4" s="1"/>
  <c r="C186" i="4"/>
  <c r="D186" i="4" s="1"/>
  <c r="E186" i="4" s="1"/>
  <c r="A188" i="4"/>
  <c r="B187" i="4"/>
  <c r="G185" i="4"/>
  <c r="F185" i="4"/>
  <c r="H184" i="4"/>
  <c r="K184" i="4"/>
  <c r="L184" i="4" s="1"/>
  <c r="M184" i="4" s="1"/>
  <c r="L182" i="2"/>
  <c r="M182" i="2" s="1"/>
  <c r="H183" i="2"/>
  <c r="K183" i="2"/>
  <c r="L183" i="2" s="1"/>
  <c r="M183" i="2" s="1"/>
  <c r="C185" i="2"/>
  <c r="D185" i="2" s="1"/>
  <c r="E185" i="2" s="1"/>
  <c r="I185" i="2" a="1"/>
  <c r="I185" i="2" s="1"/>
  <c r="J185" i="2" a="1"/>
  <c r="J185" i="2" s="1"/>
  <c r="A187" i="2"/>
  <c r="B186" i="2"/>
  <c r="F184" i="2"/>
  <c r="G184" i="2"/>
  <c r="H185" i="4" l="1"/>
  <c r="K185" i="4"/>
  <c r="L185" i="4" s="1"/>
  <c r="M185" i="4" s="1"/>
  <c r="J187" i="4" a="1"/>
  <c r="J187" i="4" s="1"/>
  <c r="C187" i="4"/>
  <c r="D187" i="4" s="1"/>
  <c r="E187" i="4" s="1"/>
  <c r="I187" i="4" a="1"/>
  <c r="I187" i="4" s="1"/>
  <c r="B188" i="4"/>
  <c r="A189" i="4"/>
  <c r="G186" i="4"/>
  <c r="F186" i="4"/>
  <c r="C186" i="2"/>
  <c r="D186" i="2" s="1"/>
  <c r="E186" i="2" s="1"/>
  <c r="I186" i="2" a="1"/>
  <c r="I186" i="2" s="1"/>
  <c r="J186" i="2" a="1"/>
  <c r="J186" i="2" s="1"/>
  <c r="K184" i="2"/>
  <c r="L184" i="2" s="1"/>
  <c r="M184" i="2" s="1"/>
  <c r="H184" i="2"/>
  <c r="A188" i="2"/>
  <c r="B187" i="2"/>
  <c r="G185" i="2"/>
  <c r="F185" i="2"/>
  <c r="H186" i="4" l="1"/>
  <c r="K186" i="4"/>
  <c r="L186" i="4" s="1"/>
  <c r="M186" i="4" s="1"/>
  <c r="A190" i="4"/>
  <c r="B189" i="4"/>
  <c r="C188" i="4"/>
  <c r="D188" i="4" s="1"/>
  <c r="E188" i="4" s="1"/>
  <c r="J188" i="4" a="1"/>
  <c r="J188" i="4" s="1"/>
  <c r="I188" i="4" a="1"/>
  <c r="I188" i="4" s="1"/>
  <c r="F187" i="4"/>
  <c r="G187" i="4"/>
  <c r="K185" i="2"/>
  <c r="L185" i="2" s="1"/>
  <c r="M185" i="2" s="1"/>
  <c r="H185" i="2"/>
  <c r="J187" i="2" a="1"/>
  <c r="J187" i="2" s="1"/>
  <c r="C187" i="2"/>
  <c r="D187" i="2" s="1"/>
  <c r="E187" i="2" s="1"/>
  <c r="I187" i="2" a="1"/>
  <c r="I187" i="2" s="1"/>
  <c r="A189" i="2"/>
  <c r="B188" i="2"/>
  <c r="F186" i="2"/>
  <c r="G186" i="2"/>
  <c r="H187" i="4" l="1"/>
  <c r="K187" i="4"/>
  <c r="L187" i="4" s="1"/>
  <c r="M187" i="4" s="1"/>
  <c r="G188" i="4"/>
  <c r="F188" i="4"/>
  <c r="J189" i="4" a="1"/>
  <c r="J189" i="4" s="1"/>
  <c r="I189" i="4" a="1"/>
  <c r="I189" i="4" s="1"/>
  <c r="C189" i="4"/>
  <c r="D189" i="4" s="1"/>
  <c r="E189" i="4" s="1"/>
  <c r="A191" i="4"/>
  <c r="B190" i="4"/>
  <c r="H186" i="2"/>
  <c r="K186" i="2"/>
  <c r="L186" i="2" s="1"/>
  <c r="M186" i="2" s="1"/>
  <c r="J188" i="2" a="1"/>
  <c r="J188" i="2" s="1"/>
  <c r="I188" i="2" a="1"/>
  <c r="I188" i="2" s="1"/>
  <c r="C188" i="2"/>
  <c r="D188" i="2" s="1"/>
  <c r="E188" i="2" s="1"/>
  <c r="A190" i="2"/>
  <c r="B189" i="2"/>
  <c r="G187" i="2"/>
  <c r="F187" i="2"/>
  <c r="A192" i="4" l="1"/>
  <c r="B191" i="4"/>
  <c r="I190" i="4" a="1"/>
  <c r="I190" i="4" s="1"/>
  <c r="J190" i="4" a="1"/>
  <c r="J190" i="4" s="1"/>
  <c r="C190" i="4"/>
  <c r="D190" i="4" s="1"/>
  <c r="E190" i="4" s="1"/>
  <c r="G189" i="4"/>
  <c r="F189" i="4"/>
  <c r="H188" i="4"/>
  <c r="K188" i="4"/>
  <c r="L188" i="4" s="1"/>
  <c r="M188" i="4" s="1"/>
  <c r="K187" i="2"/>
  <c r="H187" i="2"/>
  <c r="J189" i="2" a="1"/>
  <c r="J189" i="2" s="1"/>
  <c r="C189" i="2"/>
  <c r="D189" i="2" s="1"/>
  <c r="E189" i="2" s="1"/>
  <c r="I189" i="2" a="1"/>
  <c r="I189" i="2" s="1"/>
  <c r="B190" i="2"/>
  <c r="A191" i="2"/>
  <c r="F188" i="2"/>
  <c r="G188" i="2"/>
  <c r="H189" i="4" l="1"/>
  <c r="K189" i="4"/>
  <c r="L189" i="4" s="1"/>
  <c r="M189" i="4" s="1"/>
  <c r="G190" i="4"/>
  <c r="F190" i="4"/>
  <c r="J191" i="4" a="1"/>
  <c r="J191" i="4" s="1"/>
  <c r="I191" i="4" a="1"/>
  <c r="I191" i="4" s="1"/>
  <c r="C191" i="4"/>
  <c r="D191" i="4" s="1"/>
  <c r="E191" i="4" s="1"/>
  <c r="B192" i="4"/>
  <c r="A193" i="4"/>
  <c r="L187" i="2"/>
  <c r="M187" i="2" s="1"/>
  <c r="F189" i="2"/>
  <c r="G189" i="2"/>
  <c r="K188" i="2"/>
  <c r="H188" i="2"/>
  <c r="A192" i="2"/>
  <c r="B191" i="2"/>
  <c r="I190" i="2" a="1"/>
  <c r="I190" i="2" s="1"/>
  <c r="C190" i="2"/>
  <c r="D190" i="2" s="1"/>
  <c r="E190" i="2" s="1"/>
  <c r="J190" i="2" a="1"/>
  <c r="J190" i="2" s="1"/>
  <c r="F191" i="4" l="1"/>
  <c r="G191" i="4"/>
  <c r="B193" i="4"/>
  <c r="A194" i="4"/>
  <c r="C192" i="4"/>
  <c r="D192" i="4" s="1"/>
  <c r="E192" i="4" s="1"/>
  <c r="J192" i="4" a="1"/>
  <c r="J192" i="4" s="1"/>
  <c r="I192" i="4" a="1"/>
  <c r="I192" i="4" s="1"/>
  <c r="H190" i="4"/>
  <c r="K190" i="4"/>
  <c r="L190" i="4" s="1"/>
  <c r="M190" i="4" s="1"/>
  <c r="L188" i="2"/>
  <c r="M188" i="2" s="1"/>
  <c r="F190" i="2"/>
  <c r="K190" i="2" s="1"/>
  <c r="G190" i="2"/>
  <c r="I191" i="2" a="1"/>
  <c r="I191" i="2" s="1"/>
  <c r="J191" i="2" a="1"/>
  <c r="J191" i="2" s="1"/>
  <c r="C191" i="2"/>
  <c r="D191" i="2" s="1"/>
  <c r="E191" i="2" s="1"/>
  <c r="B192" i="2"/>
  <c r="A193" i="2"/>
  <c r="K189" i="2"/>
  <c r="H189" i="2"/>
  <c r="G192" i="4" l="1"/>
  <c r="F192" i="4"/>
  <c r="A195" i="4"/>
  <c r="B194" i="4"/>
  <c r="J193" i="4" a="1"/>
  <c r="J193" i="4" s="1"/>
  <c r="I193" i="4" a="1"/>
  <c r="I193" i="4" s="1"/>
  <c r="C193" i="4"/>
  <c r="D193" i="4" s="1"/>
  <c r="E193" i="4" s="1"/>
  <c r="H191" i="4"/>
  <c r="K191" i="4"/>
  <c r="L191" i="4" s="1"/>
  <c r="M191" i="4" s="1"/>
  <c r="L189" i="2"/>
  <c r="M189" i="2" s="1"/>
  <c r="L190" i="2"/>
  <c r="M190" i="2" s="1"/>
  <c r="H190" i="2"/>
  <c r="A194" i="2"/>
  <c r="B193" i="2"/>
  <c r="J192" i="2" a="1"/>
  <c r="J192" i="2" s="1"/>
  <c r="I192" i="2" a="1"/>
  <c r="I192" i="2" s="1"/>
  <c r="C192" i="2"/>
  <c r="D192" i="2" s="1"/>
  <c r="E192" i="2" s="1"/>
  <c r="G191" i="2"/>
  <c r="F191" i="2"/>
  <c r="I194" i="4" l="1" a="1"/>
  <c r="I194" i="4" s="1"/>
  <c r="C194" i="4"/>
  <c r="D194" i="4" s="1"/>
  <c r="E194" i="4" s="1"/>
  <c r="J194" i="4" a="1"/>
  <c r="J194" i="4" s="1"/>
  <c r="A196" i="4"/>
  <c r="B195" i="4"/>
  <c r="G193" i="4"/>
  <c r="F193" i="4"/>
  <c r="H192" i="4"/>
  <c r="K192" i="4"/>
  <c r="L192" i="4" s="1"/>
  <c r="M192" i="4" s="1"/>
  <c r="H191" i="2"/>
  <c r="K191" i="2"/>
  <c r="L191" i="2" s="1"/>
  <c r="M191" i="2" s="1"/>
  <c r="G192" i="2"/>
  <c r="F192" i="2"/>
  <c r="C193" i="2"/>
  <c r="D193" i="2" s="1"/>
  <c r="E193" i="2" s="1"/>
  <c r="J193" i="2" a="1"/>
  <c r="J193" i="2" s="1"/>
  <c r="I193" i="2" a="1"/>
  <c r="I193" i="2" s="1"/>
  <c r="A195" i="2"/>
  <c r="B194" i="2"/>
  <c r="J195" i="4" l="1" a="1"/>
  <c r="J195" i="4" s="1"/>
  <c r="I195" i="4" a="1"/>
  <c r="I195" i="4" s="1"/>
  <c r="C195" i="4"/>
  <c r="D195" i="4" s="1"/>
  <c r="E195" i="4" s="1"/>
  <c r="B196" i="4"/>
  <c r="A197" i="4"/>
  <c r="H193" i="4"/>
  <c r="K193" i="4"/>
  <c r="L193" i="4" s="1"/>
  <c r="M193" i="4" s="1"/>
  <c r="G194" i="4"/>
  <c r="F194" i="4"/>
  <c r="A196" i="2"/>
  <c r="B195" i="2"/>
  <c r="J194" i="2" a="1"/>
  <c r="J194" i="2" s="1"/>
  <c r="C194" i="2"/>
  <c r="D194" i="2" s="1"/>
  <c r="E194" i="2" s="1"/>
  <c r="I194" i="2" a="1"/>
  <c r="I194" i="2" s="1"/>
  <c r="F193" i="2"/>
  <c r="G193" i="2"/>
  <c r="K192" i="2"/>
  <c r="L192" i="2" s="1"/>
  <c r="M192" i="2" s="1"/>
  <c r="H192" i="2"/>
  <c r="H194" i="4" l="1"/>
  <c r="K194" i="4"/>
  <c r="L194" i="4" s="1"/>
  <c r="M194" i="4" s="1"/>
  <c r="B197" i="4"/>
  <c r="A198" i="4"/>
  <c r="C196" i="4"/>
  <c r="D196" i="4" s="1"/>
  <c r="E196" i="4" s="1"/>
  <c r="J196" i="4" a="1"/>
  <c r="J196" i="4" s="1"/>
  <c r="I196" i="4" a="1"/>
  <c r="I196" i="4" s="1"/>
  <c r="F195" i="4"/>
  <c r="G195" i="4"/>
  <c r="H193" i="2"/>
  <c r="J195" i="2" a="1"/>
  <c r="J195" i="2" s="1"/>
  <c r="I195" i="2" a="1"/>
  <c r="I195" i="2" s="1"/>
  <c r="C195" i="2"/>
  <c r="D195" i="2" s="1"/>
  <c r="E195" i="2" s="1"/>
  <c r="F194" i="2"/>
  <c r="G194" i="2"/>
  <c r="K193" i="2"/>
  <c r="L193" i="2" s="1"/>
  <c r="M193" i="2" s="1"/>
  <c r="B196" i="2"/>
  <c r="A197" i="2"/>
  <c r="H195" i="4" l="1"/>
  <c r="K195" i="4"/>
  <c r="G196" i="4"/>
  <c r="F196" i="4"/>
  <c r="A199" i="4"/>
  <c r="B198" i="4"/>
  <c r="J197" i="4" a="1"/>
  <c r="J197" i="4" s="1"/>
  <c r="C197" i="4"/>
  <c r="D197" i="4" s="1"/>
  <c r="E197" i="4" s="1"/>
  <c r="I197" i="4" a="1"/>
  <c r="I197" i="4" s="1"/>
  <c r="A198" i="2"/>
  <c r="B197" i="2"/>
  <c r="K194" i="2"/>
  <c r="H194" i="2"/>
  <c r="I196" i="2" a="1"/>
  <c r="I196" i="2" s="1"/>
  <c r="C196" i="2"/>
  <c r="D196" i="2" s="1"/>
  <c r="E196" i="2" s="1"/>
  <c r="J196" i="2" a="1"/>
  <c r="J196" i="2" s="1"/>
  <c r="G195" i="2"/>
  <c r="F195" i="2"/>
  <c r="L195" i="4" l="1"/>
  <c r="M195" i="4" s="1"/>
  <c r="G197" i="4"/>
  <c r="F197" i="4"/>
  <c r="I198" i="4" a="1"/>
  <c r="I198" i="4" s="1"/>
  <c r="C198" i="4"/>
  <c r="D198" i="4" s="1"/>
  <c r="E198" i="4" s="1"/>
  <c r="J198" i="4" a="1"/>
  <c r="J198" i="4" s="1"/>
  <c r="A200" i="4"/>
  <c r="B199" i="4"/>
  <c r="H196" i="4"/>
  <c r="K196" i="4"/>
  <c r="L196" i="4" s="1"/>
  <c r="M196" i="4" s="1"/>
  <c r="L194" i="2"/>
  <c r="M194" i="2" s="1"/>
  <c r="F196" i="2"/>
  <c r="G196" i="2"/>
  <c r="J197" i="2" a="1"/>
  <c r="J197" i="2" s="1"/>
  <c r="C197" i="2"/>
  <c r="D197" i="2" s="1"/>
  <c r="E197" i="2" s="1"/>
  <c r="I197" i="2" a="1"/>
  <c r="I197" i="2" s="1"/>
  <c r="H195" i="2"/>
  <c r="K195" i="2"/>
  <c r="L195" i="2" s="1"/>
  <c r="M195" i="2" s="1"/>
  <c r="A199" i="2"/>
  <c r="B198" i="2"/>
  <c r="J199" i="4" l="1" a="1"/>
  <c r="J199" i="4" s="1"/>
  <c r="I199" i="4" a="1"/>
  <c r="I199" i="4" s="1"/>
  <c r="C199" i="4"/>
  <c r="D199" i="4" s="1"/>
  <c r="E199" i="4" s="1"/>
  <c r="B200" i="4"/>
  <c r="A201" i="4"/>
  <c r="G198" i="4"/>
  <c r="F198" i="4"/>
  <c r="H197" i="4"/>
  <c r="K197" i="4"/>
  <c r="L197" i="4" s="1"/>
  <c r="M197" i="4" s="1"/>
  <c r="J198" i="2" a="1"/>
  <c r="J198" i="2" s="1"/>
  <c r="C198" i="2"/>
  <c r="D198" i="2" s="1"/>
  <c r="E198" i="2" s="1"/>
  <c r="I198" i="2" a="1"/>
  <c r="I198" i="2" s="1"/>
  <c r="A200" i="2"/>
  <c r="B199" i="2"/>
  <c r="G197" i="2"/>
  <c r="F197" i="2"/>
  <c r="K196" i="2"/>
  <c r="L196" i="2" s="1"/>
  <c r="M196" i="2" s="1"/>
  <c r="H196" i="2"/>
  <c r="B201" i="4" l="1"/>
  <c r="A202" i="4"/>
  <c r="C200" i="4"/>
  <c r="D200" i="4" s="1"/>
  <c r="E200" i="4" s="1"/>
  <c r="J200" i="4" a="1"/>
  <c r="J200" i="4" s="1"/>
  <c r="I200" i="4" a="1"/>
  <c r="I200" i="4" s="1"/>
  <c r="H198" i="4"/>
  <c r="K198" i="4"/>
  <c r="L198" i="4" s="1"/>
  <c r="M198" i="4" s="1"/>
  <c r="F199" i="4"/>
  <c r="G199" i="4"/>
  <c r="H197" i="2"/>
  <c r="K197" i="2"/>
  <c r="L197" i="2" s="1"/>
  <c r="M197" i="2" s="1"/>
  <c r="C199" i="2"/>
  <c r="D199" i="2" s="1"/>
  <c r="E199" i="2" s="1"/>
  <c r="I199" i="2" a="1"/>
  <c r="I199" i="2" s="1"/>
  <c r="J199" i="2" a="1"/>
  <c r="J199" i="2" s="1"/>
  <c r="A201" i="2"/>
  <c r="B200" i="2"/>
  <c r="F198" i="2"/>
  <c r="G198" i="2"/>
  <c r="H199" i="4" l="1"/>
  <c r="K199" i="4"/>
  <c r="L199" i="4" s="1"/>
  <c r="M199" i="4" s="1"/>
  <c r="G200" i="4"/>
  <c r="F200" i="4"/>
  <c r="A203" i="4"/>
  <c r="B202" i="4"/>
  <c r="J201" i="4" a="1"/>
  <c r="J201" i="4" s="1"/>
  <c r="I201" i="4" a="1"/>
  <c r="I201" i="4" s="1"/>
  <c r="C201" i="4"/>
  <c r="D201" i="4" s="1"/>
  <c r="E201" i="4" s="1"/>
  <c r="K198" i="2"/>
  <c r="L198" i="2" s="1"/>
  <c r="M198" i="2" s="1"/>
  <c r="H198" i="2"/>
  <c r="J200" i="2" a="1"/>
  <c r="J200" i="2" s="1"/>
  <c r="I200" i="2" a="1"/>
  <c r="I200" i="2" s="1"/>
  <c r="C200" i="2"/>
  <c r="D200" i="2" s="1"/>
  <c r="E200" i="2" s="1"/>
  <c r="B201" i="2"/>
  <c r="A202" i="2"/>
  <c r="G199" i="2"/>
  <c r="F199" i="2"/>
  <c r="G201" i="4" l="1"/>
  <c r="F201" i="4"/>
  <c r="I202" i="4" a="1"/>
  <c r="I202" i="4" s="1"/>
  <c r="C202" i="4"/>
  <c r="D202" i="4" s="1"/>
  <c r="E202" i="4" s="1"/>
  <c r="J202" i="4" a="1"/>
  <c r="J202" i="4" s="1"/>
  <c r="A204" i="4"/>
  <c r="B203" i="4"/>
  <c r="H200" i="4"/>
  <c r="K200" i="4"/>
  <c r="L200" i="4" s="1"/>
  <c r="M200" i="4" s="1"/>
  <c r="A203" i="2"/>
  <c r="B202" i="2"/>
  <c r="J201" i="2" a="1"/>
  <c r="J201" i="2" s="1"/>
  <c r="C201" i="2"/>
  <c r="D201" i="2" s="1"/>
  <c r="E201" i="2" s="1"/>
  <c r="I201" i="2" a="1"/>
  <c r="I201" i="2" s="1"/>
  <c r="H199" i="2"/>
  <c r="K199" i="2"/>
  <c r="L199" i="2" s="1"/>
  <c r="M199" i="2" s="1"/>
  <c r="F200" i="2"/>
  <c r="G200" i="2"/>
  <c r="B204" i="4" l="1"/>
  <c r="A205" i="4"/>
  <c r="J203" i="4" a="1"/>
  <c r="J203" i="4" s="1"/>
  <c r="C203" i="4"/>
  <c r="D203" i="4" s="1"/>
  <c r="E203" i="4" s="1"/>
  <c r="I203" i="4" a="1"/>
  <c r="I203" i="4" s="1"/>
  <c r="G202" i="4"/>
  <c r="F202" i="4"/>
  <c r="H201" i="4"/>
  <c r="K201" i="4"/>
  <c r="L201" i="4" s="1"/>
  <c r="M201" i="4" s="1"/>
  <c r="H200" i="2"/>
  <c r="K200" i="2"/>
  <c r="L200" i="2" s="1"/>
  <c r="M200" i="2" s="1"/>
  <c r="F201" i="2"/>
  <c r="G201" i="2"/>
  <c r="I202" i="2" a="1"/>
  <c r="I202" i="2" s="1"/>
  <c r="C202" i="2"/>
  <c r="D202" i="2" s="1"/>
  <c r="E202" i="2" s="1"/>
  <c r="J202" i="2" a="1"/>
  <c r="J202" i="2" s="1"/>
  <c r="A204" i="2"/>
  <c r="B203" i="2"/>
  <c r="H202" i="4" l="1"/>
  <c r="K202" i="4"/>
  <c r="L202" i="4" s="1"/>
  <c r="M202" i="4" s="1"/>
  <c r="F203" i="4"/>
  <c r="G203" i="4"/>
  <c r="B205" i="4"/>
  <c r="A206" i="4"/>
  <c r="C204" i="4"/>
  <c r="D204" i="4" s="1"/>
  <c r="E204" i="4" s="1"/>
  <c r="J204" i="4" a="1"/>
  <c r="J204" i="4" s="1"/>
  <c r="I204" i="4" a="1"/>
  <c r="I204" i="4" s="1"/>
  <c r="J203" i="2" a="1"/>
  <c r="J203" i="2" s="1"/>
  <c r="I203" i="2" a="1"/>
  <c r="I203" i="2" s="1"/>
  <c r="C203" i="2"/>
  <c r="D203" i="2" s="1"/>
  <c r="E203" i="2" s="1"/>
  <c r="B204" i="2"/>
  <c r="A205" i="2"/>
  <c r="F202" i="2"/>
  <c r="K202" i="2" s="1"/>
  <c r="G202" i="2"/>
  <c r="H202" i="2" s="1"/>
  <c r="K201" i="2"/>
  <c r="L201" i="2" s="1"/>
  <c r="M201" i="2" s="1"/>
  <c r="H201" i="2"/>
  <c r="A207" i="4" l="1"/>
  <c r="B206" i="4"/>
  <c r="G204" i="4"/>
  <c r="F204" i="4"/>
  <c r="J205" i="4" a="1"/>
  <c r="J205" i="4" s="1"/>
  <c r="I205" i="4" a="1"/>
  <c r="I205" i="4" s="1"/>
  <c r="C205" i="4"/>
  <c r="D205" i="4" s="1"/>
  <c r="E205" i="4" s="1"/>
  <c r="H203" i="4"/>
  <c r="K203" i="4"/>
  <c r="L203" i="4" s="1"/>
  <c r="M203" i="4" s="1"/>
  <c r="L202" i="2"/>
  <c r="M202" i="2" s="1"/>
  <c r="B205" i="2"/>
  <c r="A206" i="2"/>
  <c r="J204" i="2" a="1"/>
  <c r="J204" i="2" s="1"/>
  <c r="I204" i="2" a="1"/>
  <c r="I204" i="2" s="1"/>
  <c r="C204" i="2"/>
  <c r="D204" i="2" s="1"/>
  <c r="E204" i="2" s="1"/>
  <c r="G203" i="2"/>
  <c r="F203" i="2"/>
  <c r="H204" i="4" l="1"/>
  <c r="K204" i="4"/>
  <c r="I206" i="4" a="1"/>
  <c r="I206" i="4" s="1"/>
  <c r="C206" i="4"/>
  <c r="D206" i="4" s="1"/>
  <c r="E206" i="4" s="1"/>
  <c r="J206" i="4" a="1"/>
  <c r="J206" i="4" s="1"/>
  <c r="G205" i="4"/>
  <c r="F205" i="4"/>
  <c r="A208" i="4"/>
  <c r="B207" i="4"/>
  <c r="K203" i="2"/>
  <c r="H203" i="2"/>
  <c r="F204" i="2"/>
  <c r="G204" i="2"/>
  <c r="A207" i="2"/>
  <c r="B206" i="2"/>
  <c r="C205" i="2"/>
  <c r="D205" i="2" s="1"/>
  <c r="E205" i="2" s="1"/>
  <c r="I205" i="2" a="1"/>
  <c r="I205" i="2" s="1"/>
  <c r="J205" i="2" a="1"/>
  <c r="J205" i="2" s="1"/>
  <c r="L204" i="4" l="1"/>
  <c r="M204" i="4" s="1"/>
  <c r="C207" i="4"/>
  <c r="D207" i="4" s="1"/>
  <c r="E207" i="4" s="1"/>
  <c r="J207" i="4" a="1"/>
  <c r="J207" i="4" s="1"/>
  <c r="I207" i="4" a="1"/>
  <c r="I207" i="4" s="1"/>
  <c r="B208" i="4"/>
  <c r="A209" i="4"/>
  <c r="H205" i="4"/>
  <c r="K205" i="4"/>
  <c r="L205" i="4" s="1"/>
  <c r="M205" i="4" s="1"/>
  <c r="G206" i="4"/>
  <c r="F206" i="4"/>
  <c r="L203" i="2"/>
  <c r="M203" i="2" s="1"/>
  <c r="I206" i="2" a="1"/>
  <c r="I206" i="2" s="1"/>
  <c r="J206" i="2" a="1"/>
  <c r="J206" i="2" s="1"/>
  <c r="C206" i="2"/>
  <c r="D206" i="2" s="1"/>
  <c r="E206" i="2" s="1"/>
  <c r="A208" i="2"/>
  <c r="B207" i="2"/>
  <c r="G205" i="2"/>
  <c r="F205" i="2"/>
  <c r="K204" i="2"/>
  <c r="L204" i="2" s="1"/>
  <c r="M204" i="2" s="1"/>
  <c r="H204" i="2"/>
  <c r="H206" i="4" l="1"/>
  <c r="K206" i="4"/>
  <c r="B209" i="4"/>
  <c r="A210" i="4"/>
  <c r="C208" i="4"/>
  <c r="D208" i="4" s="1"/>
  <c r="E208" i="4" s="1"/>
  <c r="J208" i="4" a="1"/>
  <c r="J208" i="4" s="1"/>
  <c r="I208" i="4" a="1"/>
  <c r="I208" i="4" s="1"/>
  <c r="F207" i="4"/>
  <c r="G207" i="4"/>
  <c r="K205" i="2"/>
  <c r="L205" i="2" s="1"/>
  <c r="M205" i="2" s="1"/>
  <c r="H205" i="2"/>
  <c r="J207" i="2" a="1"/>
  <c r="J207" i="2" s="1"/>
  <c r="I207" i="2" a="1"/>
  <c r="I207" i="2" s="1"/>
  <c r="C207" i="2"/>
  <c r="D207" i="2" s="1"/>
  <c r="E207" i="2" s="1"/>
  <c r="A209" i="2"/>
  <c r="B208" i="2"/>
  <c r="F206" i="2"/>
  <c r="G206" i="2"/>
  <c r="L206" i="4" l="1"/>
  <c r="M206" i="4" s="1"/>
  <c r="H207" i="4"/>
  <c r="K207" i="4"/>
  <c r="L207" i="4" s="1"/>
  <c r="M207" i="4" s="1"/>
  <c r="G208" i="4"/>
  <c r="F208" i="4"/>
  <c r="A211" i="4"/>
  <c r="B210" i="4"/>
  <c r="J209" i="4" a="1"/>
  <c r="J209" i="4" s="1"/>
  <c r="I209" i="4" a="1"/>
  <c r="I209" i="4" s="1"/>
  <c r="C209" i="4"/>
  <c r="D209" i="4" s="1"/>
  <c r="E209" i="4" s="1"/>
  <c r="I208" i="2" a="1"/>
  <c r="I208" i="2" s="1"/>
  <c r="J208" i="2" a="1"/>
  <c r="J208" i="2" s="1"/>
  <c r="C208" i="2"/>
  <c r="D208" i="2" s="1"/>
  <c r="E208" i="2" s="1"/>
  <c r="K206" i="2"/>
  <c r="H206" i="2"/>
  <c r="B209" i="2"/>
  <c r="A210" i="2"/>
  <c r="F207" i="2"/>
  <c r="G207" i="2"/>
  <c r="G209" i="4" l="1"/>
  <c r="F209" i="4"/>
  <c r="I210" i="4" a="1"/>
  <c r="I210" i="4" s="1"/>
  <c r="C210" i="4"/>
  <c r="D210" i="4" s="1"/>
  <c r="E210" i="4" s="1"/>
  <c r="J210" i="4" a="1"/>
  <c r="J210" i="4" s="1"/>
  <c r="A212" i="4"/>
  <c r="B212" i="4" s="1"/>
  <c r="B211" i="4"/>
  <c r="H208" i="4"/>
  <c r="K208" i="4"/>
  <c r="L208" i="4" s="1"/>
  <c r="M208" i="4" s="1"/>
  <c r="L206" i="2"/>
  <c r="M206" i="2" s="1"/>
  <c r="K207" i="2"/>
  <c r="L207" i="2" s="1"/>
  <c r="M207" i="2" s="1"/>
  <c r="H207" i="2"/>
  <c r="A211" i="2"/>
  <c r="B210" i="2"/>
  <c r="C209" i="2"/>
  <c r="D209" i="2" s="1"/>
  <c r="E209" i="2" s="1"/>
  <c r="I209" i="2" a="1"/>
  <c r="I209" i="2" s="1"/>
  <c r="J209" i="2" a="1"/>
  <c r="J209" i="2" s="1"/>
  <c r="F208" i="2"/>
  <c r="G208" i="2"/>
  <c r="C211" i="4" l="1"/>
  <c r="D211" i="4" s="1"/>
  <c r="E211" i="4" s="1"/>
  <c r="J211" i="4" a="1"/>
  <c r="J211" i="4" s="1"/>
  <c r="I211" i="4" a="1"/>
  <c r="I211" i="4" s="1"/>
  <c r="C212" i="4"/>
  <c r="D212" i="4" s="1"/>
  <c r="E212" i="4" s="1"/>
  <c r="J212" i="4" a="1"/>
  <c r="J212" i="4" s="1"/>
  <c r="I212" i="4" a="1"/>
  <c r="I212" i="4" s="1"/>
  <c r="G210" i="4"/>
  <c r="F210" i="4"/>
  <c r="H209" i="4"/>
  <c r="K209" i="4"/>
  <c r="L209" i="4" s="1"/>
  <c r="M209" i="4" s="1"/>
  <c r="H208" i="2"/>
  <c r="K208" i="2"/>
  <c r="L208" i="2" s="1"/>
  <c r="M208" i="2" s="1"/>
  <c r="F209" i="2"/>
  <c r="G209" i="2"/>
  <c r="J210" i="2" a="1"/>
  <c r="J210" i="2" s="1"/>
  <c r="I210" i="2" a="1"/>
  <c r="I210" i="2" s="1"/>
  <c r="C210" i="2"/>
  <c r="D210" i="2" s="1"/>
  <c r="E210" i="2" s="1"/>
  <c r="A212" i="2"/>
  <c r="B212" i="2" s="1"/>
  <c r="B211" i="2"/>
  <c r="H210" i="4" l="1"/>
  <c r="K210" i="4"/>
  <c r="G212" i="4"/>
  <c r="F212" i="4"/>
  <c r="F211" i="4"/>
  <c r="G211" i="4"/>
  <c r="C211" i="2"/>
  <c r="D211" i="2" s="1"/>
  <c r="E211" i="2" s="1"/>
  <c r="J211" i="2" a="1"/>
  <c r="J211" i="2" s="1"/>
  <c r="I211" i="2" a="1"/>
  <c r="I211" i="2" s="1"/>
  <c r="C212" i="2"/>
  <c r="D212" i="2" s="1"/>
  <c r="E212" i="2" s="1"/>
  <c r="I212" i="2" a="1"/>
  <c r="I212" i="2" s="1"/>
  <c r="J212" i="2" a="1"/>
  <c r="J212" i="2" s="1"/>
  <c r="F210" i="2"/>
  <c r="G210" i="2"/>
  <c r="H209" i="2"/>
  <c r="K209" i="2"/>
  <c r="L209" i="2" s="1"/>
  <c r="M209" i="2" s="1"/>
  <c r="L210" i="4" l="1"/>
  <c r="M210" i="4" s="1"/>
  <c r="H211" i="4"/>
  <c r="K211" i="4"/>
  <c r="L211" i="4" s="1"/>
  <c r="M211" i="4" s="1"/>
  <c r="H212" i="4"/>
  <c r="K212" i="4"/>
  <c r="L212" i="4" s="1"/>
  <c r="H210" i="2"/>
  <c r="K210" i="2"/>
  <c r="L210" i="2" s="1"/>
  <c r="M210" i="2" s="1"/>
  <c r="F212" i="2"/>
  <c r="G212" i="2"/>
  <c r="G211" i="2"/>
  <c r="F211" i="2"/>
  <c r="M212" i="4" l="1"/>
  <c r="C20" i="4" s="1"/>
  <c r="C21" i="4" s="1"/>
  <c r="L24" i="4"/>
  <c r="C25" i="4"/>
  <c r="H211" i="2"/>
  <c r="K211" i="2"/>
  <c r="L211" i="2" s="1"/>
  <c r="M211" i="2" s="1"/>
  <c r="K212" i="2"/>
  <c r="H212" i="2"/>
  <c r="C25" i="11" l="1"/>
  <c r="L24" i="11"/>
  <c r="C20" i="11"/>
  <c r="C21" i="11" s="1"/>
  <c r="C27" i="4"/>
  <c r="C64" i="3"/>
  <c r="C24" i="4" a="1"/>
  <c r="C24" i="4" s="1"/>
  <c r="C22" i="4" a="1"/>
  <c r="C22" i="4" s="1"/>
  <c r="L19" i="4" a="1"/>
  <c r="L19" i="4" s="1"/>
  <c r="L21" i="4" s="1" a="1"/>
  <c r="L21" i="4" s="1"/>
  <c r="L20" i="4" a="1"/>
  <c r="L20" i="4" s="1"/>
  <c r="L212" i="2"/>
  <c r="M212" i="2" s="1"/>
  <c r="C20" i="2" s="1"/>
  <c r="C21" i="2" s="1"/>
  <c r="C25" i="2"/>
  <c r="L24" i="2"/>
  <c r="C25" i="13" l="1"/>
  <c r="L24" i="13"/>
  <c r="C20" i="13"/>
  <c r="C21" i="13" s="1"/>
  <c r="L20" i="11" a="1"/>
  <c r="L20" i="11" s="1"/>
  <c r="C24" i="11" a="1"/>
  <c r="C24" i="11" s="1"/>
  <c r="L19" i="11" a="1"/>
  <c r="L19" i="11" s="1"/>
  <c r="L21" i="11" s="1" a="1"/>
  <c r="L21" i="11" s="1"/>
  <c r="C22" i="11" a="1"/>
  <c r="C22" i="11" s="1"/>
  <c r="C23" i="11" s="1"/>
  <c r="C27" i="11"/>
  <c r="C28" i="11"/>
  <c r="C23" i="4"/>
  <c r="C63" i="3" s="1"/>
  <c r="C62" i="3"/>
  <c r="L23" i="4" a="1"/>
  <c r="L23" i="4" s="1"/>
  <c r="L22" i="4" a="1"/>
  <c r="L22" i="4" s="1"/>
  <c r="C27" i="2"/>
  <c r="C64" i="1" s="1"/>
  <c r="L20" i="2" a="1"/>
  <c r="L20" i="2" s="1"/>
  <c r="L19" i="2" a="1"/>
  <c r="L19" i="2" s="1"/>
  <c r="L21" i="2" s="1" a="1"/>
  <c r="L21" i="2" s="1"/>
  <c r="C24" i="2" a="1"/>
  <c r="C24" i="2" s="1"/>
  <c r="C22" i="2" a="1"/>
  <c r="C22" i="2" s="1"/>
  <c r="L20" i="13" l="1" a="1"/>
  <c r="L20" i="13" s="1"/>
  <c r="C24" i="13" a="1"/>
  <c r="C24" i="13" s="1"/>
  <c r="C22" i="13" a="1"/>
  <c r="C22" i="13" s="1"/>
  <c r="C23" i="13" s="1"/>
  <c r="L19" i="13" a="1"/>
  <c r="L19" i="13" s="1"/>
  <c r="L21" i="13" s="1" a="1"/>
  <c r="L21" i="13" s="1"/>
  <c r="C27" i="13"/>
  <c r="L23" i="11" a="1"/>
  <c r="L23" i="11" s="1"/>
  <c r="L22" i="11" a="1"/>
  <c r="L22" i="11" s="1"/>
  <c r="C26" i="11" s="1"/>
  <c r="C26" i="4"/>
  <c r="C28" i="4" s="1"/>
  <c r="C61" i="3" s="1"/>
  <c r="C65" i="3" s="1"/>
  <c r="C72" i="3" s="1"/>
  <c r="C74" i="3" s="1"/>
  <c r="C113" i="3" s="1"/>
  <c r="C119" i="3" s="1"/>
  <c r="C62" i="1"/>
  <c r="C23" i="2"/>
  <c r="C63" i="1" s="1"/>
  <c r="L22" i="2" a="1"/>
  <c r="L22" i="2" s="1"/>
  <c r="L23" i="2" a="1"/>
  <c r="L23" i="2" s="1"/>
  <c r="L23" i="13" l="1" a="1"/>
  <c r="L23" i="13" s="1"/>
  <c r="L22" i="13" a="1"/>
  <c r="L22" i="13" s="1"/>
  <c r="C111" i="3"/>
  <c r="C26" i="2"/>
  <c r="C28" i="2" s="1"/>
  <c r="C61" i="1" s="1"/>
  <c r="C65" i="1" s="1"/>
  <c r="C72" i="1" s="1"/>
  <c r="C74" i="1" s="1"/>
  <c r="C113" i="1" s="1"/>
  <c r="C119" i="1" s="1"/>
  <c r="C26" i="13" l="1"/>
  <c r="C28" i="13" s="1"/>
  <c r="C1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FERNANDO</author>
  </authors>
  <commentList>
    <comment ref="C12" authorId="0" shapeId="0" xr:uid="{6034F1EA-645D-46BD-94A4-EFEBD38805E7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Längsstabdurchmesser Ø_l (DIN 488). Aus der Dropdown-Liste wählen.</t>
        </r>
      </text>
    </comment>
    <comment ref="C14" authorId="0" shapeId="0" xr:uid="{7EBA5B4F-5B78-4207-8A77-EA93EF7D7523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Bügeldurchmesser Ø_w (DIN 488). Aus der Dropdown-Liste wählen.</t>
        </r>
      </text>
    </comment>
    <comment ref="F16" authorId="0" shapeId="0" xr:uid="{8840D40B-4182-46DC-BBA9-06685FE3E675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Dropdown: Betonfestigkeitsklasse wählen. f_ck und alle abgeleiteten Werte werden aus der Tabelle im Blatt Aceros_DIN übernommen.</t>
        </r>
      </text>
    </comment>
    <comment ref="F17" authorId="0" shapeId="0" xr:uid="{49B0620E-0D16-4280-98E5-CEF593CF709E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Dropdown: Betonstahlsorte wählen. f_yk wird aus der Tabelle Aceros_DIN übernommen (B500A/B/C = 500 N/mm²).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FERNANDO</author>
  </authors>
  <commentList>
    <comment ref="C12" authorId="0" shapeId="0" xr:uid="{B33F18BD-1342-48B4-81E0-22DDD07C3013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Längsstabdurchmesser Ø_l (DIN 488). Aus der Dropdown-Liste wählen.</t>
        </r>
      </text>
    </comment>
    <comment ref="C14" authorId="0" shapeId="0" xr:uid="{809A9E1A-9517-4DFD-B415-8A78DD3B2E99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Bügeldurchmesser Ø_w (DIN 488). Aus der Dropdown-Liste wählen.</t>
        </r>
      </text>
    </comment>
    <comment ref="F16" authorId="0" shapeId="0" xr:uid="{C0943D81-363E-4EB6-B1DF-A61A2CFDAC47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Dropdown: Betonfestigkeitsklasse wählen. f_ck und alle abgeleiteten Werte werden aus der Tabelle im Blatt Aceros_DIN übernommen.</t>
        </r>
      </text>
    </comment>
    <comment ref="F17" authorId="0" shapeId="0" xr:uid="{F3F6FA24-F7D9-4F99-875D-9239A6E86FDB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Dropdown: Betonstahlsorte wählen. f_yk wird aus der Tabelle Aceros_DIN übernommen (B500A/B/C = 500 N/mm²).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FERNANDO</author>
  </authors>
  <commentList>
    <comment ref="E10" authorId="0" shapeId="0" xr:uid="{60E77A1E-FEC2-46C3-96D8-3FFB5C5BE0D0}">
      <text>
        <r>
          <rPr>
            <b/>
            <sz val="9"/>
            <color indexed="81"/>
            <rFont val="Tahoma"/>
            <charset val="1"/>
          </rPr>
          <t>Ortbetonpfähle: c_nom ≥ 50 mm (75 mm bei Betonage gegen Erdreich ohne Verrohrung) — DIN EN 1536 / DIN EN 1992-1-1/NA.</t>
        </r>
      </text>
    </comment>
    <comment ref="C12" authorId="0" shapeId="0" xr:uid="{6D356713-2099-4F13-903C-FD11B3143ECB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Längsstabdurchmesser Ø_l (DIN 488). Aus der Dropdown-Liste wählen.</t>
        </r>
      </text>
    </comment>
    <comment ref="C13" authorId="0" shapeId="0" xr:uid="{6CD04654-4855-4C31-86A5-C827CEE48414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Durchmesser der Wendel/Bügel Ø_w (DIN 488). Aus der Dropdown-Liste wählen.</t>
        </r>
      </text>
    </comment>
    <comment ref="F15" authorId="0" shapeId="0" xr:uid="{7B5A73A1-A488-4627-ACFD-85B589A92E4D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Dropdown: Betonfestigkeitsklasse wählen (C25/30 üblicher Mindestwert bei Pfählen). f_ck und abgeleitete Werte aus dem Blatt Aceros_DIN.</t>
        </r>
      </text>
    </comment>
    <comment ref="F16" authorId="0" shapeId="0" xr:uid="{6EB1509E-BBEF-4774-B53A-3092151C0B89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Dropdown: Betonstahlsorte wählen. f_yk aus der Tabelle Aceros_DIN (B500A/B/C = 500 N/mm²).</t>
        </r>
      </text>
    </comment>
    <comment ref="D38" authorId="0" shapeId="0" xr:uid="{46A62687-8B64-479C-99E4-D076DF889B35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Sección circular: d = r + 2·r_s/π → distancia desde la fibra más comprimida al centro de gravedad de las barras del semicírculo traccionado (2·r_s/π = centro de gravedad de un semianillo). Práctica del DAfStb-Heft 600 para secciones circulares.</t>
        </r>
      </text>
    </comment>
    <comment ref="F38" authorId="0" shapeId="0" xr:uid="{F0AD421A-F7FA-40D2-A63B-C340B11DA7A1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Kreisquerschnitt: d = r + 2·r_s/π → Abstand von der am stärksten gedrückten Faser zum Schwerpunkt der Stäbe im gezogenen Halbkreis (2·r_s/π = Schwerpunkt eines Halbrings). Praxis nach DAfStb-Heft 600 für Kreisquerschnitte.</t>
        </r>
      </text>
    </comment>
    <comment ref="F90" authorId="0" shapeId="0" xr:uid="{9FE94F25-3DDB-4D7B-8D61-938B2B6E07D0}">
      <text>
        <r>
          <rPr>
            <b/>
            <sz val="9"/>
            <color indexed="81"/>
            <rFont val="Tahoma"/>
            <charset val="1"/>
          </rPr>
          <t>Vorzeichenkonvention EC2/NA: Druckspannungen sind negativ. Mit zunehmendem Druck steigt V_Rd,cc und damit cotθ (flachere Druckstreben).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FERNANDO</author>
  </authors>
  <commentList>
    <comment ref="E10" authorId="0" shapeId="0" xr:uid="{EA451E9A-05F1-47A2-943F-B1323D6A3776}">
      <text>
        <r>
          <rPr>
            <b/>
            <sz val="9"/>
            <color indexed="81"/>
            <rFont val="Tahoma"/>
            <charset val="1"/>
          </rPr>
          <t>Ortbetonpfähle: c_nom ≥ 50 mm (75 mm bei Betonage gegen Erdreich ohne Verrohrung) — DIN EN 1536 / DIN EN 1992-1-1/NA.</t>
        </r>
      </text>
    </comment>
    <comment ref="C12" authorId="0" shapeId="0" xr:uid="{4400E450-04E4-4AD9-BB7C-2AE0A2ED912F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Längsstabdurchmesser Ø_l (DIN 488). Aus der Dropdown-Liste wählen.</t>
        </r>
      </text>
    </comment>
    <comment ref="C13" authorId="0" shapeId="0" xr:uid="{3118EB55-0E09-4E3A-BEDB-A447E941EA7A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Durchmesser der Wendel/Bügel Ø_w (DIN 488). Aus der Dropdown-Liste wählen.</t>
        </r>
      </text>
    </comment>
    <comment ref="F15" authorId="0" shapeId="0" xr:uid="{1144709C-72D9-43F6-A740-6DEB1351123D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Dropdown: Betonfestigkeitsklasse wählen (C25/30 üblicher Mindestwert bei Pfählen). f_ck und abgeleitete Werte aus dem Blatt Aceros_DIN.</t>
        </r>
      </text>
    </comment>
    <comment ref="F16" authorId="0" shapeId="0" xr:uid="{CEF1C16E-9FC1-4E81-A123-3E92A53E5B5E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Dropdown: Betonstahlsorte wählen. f_yk aus der Tabelle Aceros_DIN (B500A/B/C = 500 N/mm²).</t>
        </r>
      </text>
    </comment>
    <comment ref="D38" authorId="0" shapeId="0" xr:uid="{4D3EAB75-1358-4BA1-A1E1-B99368ABBD78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Sección circular: d = r + 2·r_s/π → distancia desde la fibra más comprimida al centro de gravedad de las barras del semicírculo traccionado (2·r_s/π = centro de gravedad de un semianillo). Práctica del DAfStb-Heft 600 para secciones circulares.</t>
        </r>
      </text>
    </comment>
    <comment ref="F38" authorId="0" shapeId="0" xr:uid="{32DA7F1A-966A-4000-B8C1-141740EE5AA5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Kreisquerschnitt: d = r + 2·r_s/π → Abstand von der am stärksten gedrückten Faser zum Schwerpunkt der Stäbe im gezogenen Halbkreis (2·r_s/π = Schwerpunkt eines Halbrings). Praxis nach DAfStb-Heft 600 für Kreisquerschnitte.</t>
        </r>
      </text>
    </comment>
    <comment ref="F90" authorId="0" shapeId="0" xr:uid="{F11D501E-8011-483C-B689-6ECE10BC1EF8}">
      <text>
        <r>
          <rPr>
            <b/>
            <sz val="9"/>
            <color indexed="81"/>
            <rFont val="Tahoma"/>
            <charset val="1"/>
          </rPr>
          <t>Vorzeichenkonvention EC2/NA: Druckspannungen sind negativ. Mit zunehmendem Druck steigt V_Rd,cc und damit cotθ (flachere Druckstreben).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FERNANDO</author>
  </authors>
  <commentList>
    <comment ref="C12" authorId="0" shapeId="0" xr:uid="{C2B94C1B-83A6-4195-BE48-EE8564EC0786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Diámetro de barra longitudinal Ø_l (DIN 488). Elige de la lista desplegable.</t>
        </r>
      </text>
    </comment>
    <comment ref="C14" authorId="0" shapeId="0" xr:uid="{D1C2066F-1D83-40BD-9690-17F3DEA18886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Diámetro del estribo Ø_w (DIN 488). Elige de la lista desplegable.</t>
        </r>
      </text>
    </comment>
    <comment ref="F16" authorId="0" shapeId="0" xr:uid="{975AD062-8091-4A32-9621-574C6972891D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Menú desplegable: elige la clase de hormigón. f_ck y todas las propiedades derivadas se actualizan desde la tabla de la hoja Aceros_DIN.</t>
        </r>
      </text>
    </comment>
    <comment ref="F17" authorId="0" shapeId="0" xr:uid="{0435B529-1511-44B7-B3B1-CE65124828A4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Menú desplegable: elige el tipo de acero. f_yk se toma de la tabla de Aceros_DIN (B500A/B/C = 500 N/mm²).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FERNANDO</author>
  </authors>
  <commentList>
    <comment ref="C12" authorId="0" shapeId="0" xr:uid="{1D10CDA9-E4E4-48D5-B10E-77CBC1942812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Diámetro de barra longitudinal Ø_l (DIN 488). Elige de la lista desplegable.</t>
        </r>
      </text>
    </comment>
    <comment ref="C14" authorId="0" shapeId="0" xr:uid="{9668C93F-DF85-4A05-A010-42EF62317BBA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Diámetro del estribo Ø_w (DIN 488). Elige de la lista desplegable.</t>
        </r>
      </text>
    </comment>
    <comment ref="F16" authorId="0" shapeId="0" xr:uid="{95C7C353-1F48-49CA-8858-550D8C3CFDFB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Menú desplegable: elige la clase de hormigón. f_ck y todas las propiedades derivadas se actualizan desde la tabla de la hoja Aceros_DIN.</t>
        </r>
      </text>
    </comment>
    <comment ref="F17" authorId="0" shapeId="0" xr:uid="{072DEC45-9225-4DF5-A8C0-E150B06B6C3A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Menú desplegable: elige el tipo de acero. f_yk se toma de la tabla de Aceros_DIN (B500A/B/C = 500 N/mm²).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FERNANDO</author>
  </authors>
  <commentList>
    <comment ref="E10" authorId="0" shapeId="0" xr:uid="{3B05F8F4-9E6D-4300-B8D4-8304DD511FCE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Pilotes hormigonados in situ: c_nom ≥ 50 mm (75 mm si el hormigón se coloca contra el terreno sin entubación) — DIN EN 1536 / DIN EN 1992-1-1/NA.</t>
        </r>
      </text>
    </comment>
    <comment ref="C12" authorId="0" shapeId="0" xr:uid="{36C9C9DA-FEC6-455D-A328-BA316BE586F9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Diámetro de barra longitudinal Ø_l (DIN 488). Elige de la lista desplegable.</t>
        </r>
      </text>
    </comment>
    <comment ref="C13" authorId="0" shapeId="0" xr:uid="{544345BA-0F13-47EF-BEB4-0A047CBE7822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Diámetro de la espiral/cerco Ø_w (DIN 488). Elige de la lista desplegable.</t>
        </r>
      </text>
    </comment>
    <comment ref="F15" authorId="0" shapeId="0" xr:uid="{BA8BC169-EDA4-4B75-A2DF-C986DE338259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Menú desplegable: elige la clase de hormigón (C25/30 mínimo usual en pilotes). f_ck y las propiedades derivadas se toman de la tabla de Aceros_DIN.</t>
        </r>
      </text>
    </comment>
    <comment ref="F16" authorId="0" shapeId="0" xr:uid="{A2328A99-C165-415E-B25B-000A7558DBE7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Menú desplegable: elige el tipo de acero. f_yk se toma de la tabla de Aceros_DIN (B500A/B/C = 500 N/mm²).</t>
        </r>
      </text>
    </comment>
    <comment ref="D38" authorId="0" shapeId="0" xr:uid="{D6276CFB-80B5-4774-A998-F4AE246F7D40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Sección circular: d = r + 2·r_s/π → distancia desde la fibra más comprimida al centro de gravedad de las barras del semicírculo traccionado (2·r_s/π = centro de gravedad de un semianillo). Práctica del DAfStb-Heft 600 para secciones circulares.</t>
        </r>
      </text>
    </comment>
    <comment ref="F90" authorId="0" shapeId="0" xr:uid="{3D8E70E9-DFCB-47EE-8E7E-38C8C312E890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Convenio EC2/NA: las tensiones de compresión son negativas. Con compresión aumenta V_Rd,cc y por tanto cotθ (bielas más tendidas).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FERNANDO</author>
  </authors>
  <commentList>
    <comment ref="E10" authorId="0" shapeId="0" xr:uid="{81BCE0D2-8836-4907-80A0-506BA2F2F7A4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Pilotes hormigonados in situ: c_nom ≥ 50 mm (75 mm si el hormigón se coloca contra el terreno sin entubación) — DIN EN 1536 / DIN EN 1992-1-1/NA.</t>
        </r>
      </text>
    </comment>
    <comment ref="C12" authorId="0" shapeId="0" xr:uid="{0162E223-329D-4974-B4CB-D888690F4FD6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Diámetro de barra longitudinal Ø_l (DIN 488). Elige de la lista desplegable.</t>
        </r>
      </text>
    </comment>
    <comment ref="C13" authorId="0" shapeId="0" xr:uid="{E1C7344B-E1DC-4958-B165-A684AE8E85F2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Diámetro de la espiral/cerco Ø_w (DIN 488). Elige de la lista desplegable.</t>
        </r>
      </text>
    </comment>
    <comment ref="F15" authorId="0" shapeId="0" xr:uid="{99919501-DBDE-4461-AD76-7396A7FC4B19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Menú desplegable: elige la clase de hormigón (C25/30 mínimo usual en pilotes). f_ck y las propiedades derivadas se toman de la tabla de Aceros_DIN.</t>
        </r>
      </text>
    </comment>
    <comment ref="F16" authorId="0" shapeId="0" xr:uid="{16AB840B-98F5-4315-B11E-4F6B10BFC0DF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Menú desplegable: elige el tipo de acero. f_yk se toma de la tabla de Aceros_DIN (B500A/B/C = 500 N/mm²).</t>
        </r>
      </text>
    </comment>
    <comment ref="D38" authorId="0" shapeId="0" xr:uid="{C5E5F955-E2FB-4CFF-8D5C-DE8A0F77A992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Sección circular: d = r + 2·r_s/π → distancia desde la fibra más comprimida al centro de gravedad de las barras del semicírculo traccionado (2·r_s/π = centro de gravedad de un semianillo). Práctica del DAfStb-Heft 600 para secciones circulares.</t>
        </r>
      </text>
    </comment>
    <comment ref="F90" authorId="0" shapeId="0" xr:uid="{4B811EC5-39B5-4B6B-8DE1-7BE6584B4F45}">
      <text>
        <r>
          <rPr>
            <b/>
            <sz val="9"/>
            <color indexed="81"/>
            <rFont val="Tahoma"/>
            <charset val="1"/>
          </rPr>
          <t>CESAR FERNANDO:</t>
        </r>
        <r>
          <rPr>
            <sz val="9"/>
            <color indexed="81"/>
            <rFont val="Tahoma"/>
            <charset val="1"/>
          </rPr>
          <t xml:space="preserve">
Convenio EC2/NA: las tensiones de compresión son negativas. Con compresión aumenta V_Rd,cc y por tanto cotθ (bielas más tendidas).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<sst xmlns="http://schemas.openxmlformats.org/spreadsheetml/2006/main" count="3868" uniqueCount="1313">
  <si>
    <t>DISEÑO DEL REFUERZO DE PILOTES — SECCIÓN CIRCULAR DE HORMIGÓN ARMADO</t>
  </si>
  <si>
    <t>DIN EN 1992-1-1:2011 (EC2) + DIN EN 1992-1-1/NA:2013 (Anexo Nacional alemán) · Disposición constructiva: DIN EN 1536 (pilotes perforados)</t>
  </si>
  <si>
    <t>1. DATOS DE ENTRADA  (celdas en azul = editables)</t>
  </si>
  <si>
    <t>Parámetro</t>
  </si>
  <si>
    <t>Símbolo</t>
  </si>
  <si>
    <t>Valor</t>
  </si>
  <si>
    <t>Unidad</t>
  </si>
  <si>
    <t>Referencia DIN EN 1992-1-1 / NA</t>
  </si>
  <si>
    <t>Observación</t>
  </si>
  <si>
    <t>Esfuerzo axial de diseño (compresión positiva)</t>
  </si>
  <si>
    <t>N_Ed</t>
  </si>
  <si>
    <t>kN</t>
  </si>
  <si>
    <t>Combinación ELU (EN 1990)</t>
  </si>
  <si>
    <t>Esfuerzo cortante de diseño</t>
  </si>
  <si>
    <t>V_Ed</t>
  </si>
  <si>
    <t>6.2.1</t>
  </si>
  <si>
    <t>Momento de diseño en la sección (1er orden)</t>
  </si>
  <si>
    <t>M_Ed</t>
  </si>
  <si>
    <t>kNm</t>
  </si>
  <si>
    <t>Diámetro del pilote</t>
  </si>
  <si>
    <t>D = h</t>
  </si>
  <si>
    <t>mm</t>
  </si>
  <si>
    <t>DIN EN 1536, 7.5</t>
  </si>
  <si>
    <t>Recubrimiento nominal</t>
  </si>
  <si>
    <t>c_nom</t>
  </si>
  <si>
    <t>4.4.1.1 / NA Tab. 4.4DE</t>
  </si>
  <si>
    <t>Número de barras longitudinales</t>
  </si>
  <si>
    <t>n_l</t>
  </si>
  <si>
    <t>-</t>
  </si>
  <si>
    <t>9.8.5(3)</t>
  </si>
  <si>
    <t>≥ 6 barras</t>
  </si>
  <si>
    <t>Diámetro barra longitudinal</t>
  </si>
  <si>
    <t>Ø_l</t>
  </si>
  <si>
    <t>≥ 16 mm</t>
  </si>
  <si>
    <t>Diámetro de la espiral / cerco</t>
  </si>
  <si>
    <t>Ø_w</t>
  </si>
  <si>
    <t>DIN EN 1536, 7.5.2</t>
  </si>
  <si>
    <t>≥ 6 mm</t>
  </si>
  <si>
    <t>Paso de la espiral adoptado</t>
  </si>
  <si>
    <t>s_w</t>
  </si>
  <si>
    <t>9.2.2(6) / NA</t>
  </si>
  <si>
    <t>Resistencia característica del hormigón</t>
  </si>
  <si>
    <t>f_ck</t>
  </si>
  <si>
    <t>N/mm²</t>
  </si>
  <si>
    <t>Tab. 3.1</t>
  </si>
  <si>
    <t>Límite elástico del acero</t>
  </si>
  <si>
    <t>f_yk</t>
  </si>
  <si>
    <t>3.2.2 (B500)</t>
  </si>
  <si>
    <t>Coef. parcial hormigón</t>
  </si>
  <si>
    <t>γ_c</t>
  </si>
  <si>
    <t>Tab. 2.1DE (NA)</t>
  </si>
  <si>
    <t>Coef. parcial acero</t>
  </si>
  <si>
    <t>γ_s</t>
  </si>
  <si>
    <t>Coef. de efectos de larga duración</t>
  </si>
  <si>
    <t>α_cc</t>
  </si>
  <si>
    <t>NA 3.1.6(1)</t>
  </si>
  <si>
    <t>Longitud de pandeo (0 = no considerar 2º orden)</t>
  </si>
  <si>
    <t>l_0</t>
  </si>
  <si>
    <t>5.8.3.2</t>
  </si>
  <si>
    <t>cot θ adoptado (0 = automático según NA)</t>
  </si>
  <si>
    <t>cot θ</t>
  </si>
  <si>
    <t>NA 6.2.3(2), ec. (6.7aDE)</t>
  </si>
  <si>
    <t>2. MATERIALES</t>
  </si>
  <si>
    <t>Resistencia de diseño del hormigón</t>
  </si>
  <si>
    <t>f_cd</t>
  </si>
  <si>
    <t>3.1.6(1), ec. (3.15)</t>
  </si>
  <si>
    <t>f_cd = α_cc · f_ck / γ_c</t>
  </si>
  <si>
    <t>Resistencia media a tracción</t>
  </si>
  <si>
    <t>f_ctm</t>
  </si>
  <si>
    <t>Límite elástico de diseño del acero</t>
  </si>
  <si>
    <t>f_yd</t>
  </si>
  <si>
    <t>3.2.7(2), Fig. 3.8</t>
  </si>
  <si>
    <t>Módulo de elasticidad del acero</t>
  </si>
  <si>
    <t>E_s</t>
  </si>
  <si>
    <t>3.2.7(4)</t>
  </si>
  <si>
    <t>Deformación de fluencia de diseño</t>
  </si>
  <si>
    <t>ε_yd</t>
  </si>
  <si>
    <t>3.2.7(2)</t>
  </si>
  <si>
    <t>Deformación última del hormigón (flexión)</t>
  </si>
  <si>
    <t>ε_cu2</t>
  </si>
  <si>
    <t>‰</t>
  </si>
  <si>
    <t>Tab. 3.1 / 3.1.7(3)</t>
  </si>
  <si>
    <t>Deformación del hormigón en compresión centrada</t>
  </si>
  <si>
    <t>ε_c2</t>
  </si>
  <si>
    <t>Tab. 3.1 (pivote C, 6.1 Fig. 6.1)</t>
  </si>
  <si>
    <t>Deformación última del acero</t>
  </si>
  <si>
    <t>ε_ud</t>
  </si>
  <si>
    <t>NA 3.2.7(2): ε_ud = 25 ‰</t>
  </si>
  <si>
    <t>3. GEOMETRÍA DE LA SECCIÓN</t>
  </si>
  <si>
    <t>Radio exterior</t>
  </si>
  <si>
    <t>r</t>
  </si>
  <si>
    <t>Área de hormigón</t>
  </si>
  <si>
    <t>A_c</t>
  </si>
  <si>
    <t>mm²</t>
  </si>
  <si>
    <t>Distancia del borde al eje de barras</t>
  </si>
  <si>
    <t>d_1</t>
  </si>
  <si>
    <t>4.4.1</t>
  </si>
  <si>
    <t>Radio del círculo de armadura</t>
  </si>
  <si>
    <t>r_s</t>
  </si>
  <si>
    <t>Canto útil equivalente para cortante</t>
  </si>
  <si>
    <t>d</t>
  </si>
  <si>
    <t>6.2.1 / DAfStb-Heft 600</t>
  </si>
  <si>
    <t>Brazo mecánico interno para cortante</t>
  </si>
  <si>
    <t>z</t>
  </si>
  <si>
    <t>6.2.3(1)</t>
  </si>
  <si>
    <t>Área de armadura longitudinal dispuesta</t>
  </si>
  <si>
    <t>A_s,prov</t>
  </si>
  <si>
    <t>Separación libre entre barras longitudinales</t>
  </si>
  <si>
    <t>s_l</t>
  </si>
  <si>
    <t>8.2 / DIN EN 1536, 7.5.2</t>
  </si>
  <si>
    <t>≥ 100 mm recomendado para hormigonado con tremie</t>
  </si>
  <si>
    <t>4. ESBELTEZ, IMPERFECCIONES Y EFECTOS DE SEGUNDO ORDEN</t>
  </si>
  <si>
    <t>Radio de giro de la sección circular</t>
  </si>
  <si>
    <t>i</t>
  </si>
  <si>
    <t>5.8.3.2(1)</t>
  </si>
  <si>
    <t>i = D/4 para sección circular</t>
  </si>
  <si>
    <t>Esbeltez mecánica</t>
  </si>
  <si>
    <t>λ</t>
  </si>
  <si>
    <t>5.8.3.2(1), ec. (5.14)</t>
  </si>
  <si>
    <t>Esfuerzo axial relativo</t>
  </si>
  <si>
    <t>n</t>
  </si>
  <si>
    <t>5.8.3.1(1), ec. (5.13N)</t>
  </si>
  <si>
    <t>Esbeltez límite</t>
  </si>
  <si>
    <t>λ_lim</t>
  </si>
  <si>
    <t>NA 5.8.3.1(1), ec. (5.13aDE)</t>
  </si>
  <si>
    <t>λ_lim = 25 si |n| ≤ 0,41 ; 16/√|n| en caso contrario</t>
  </si>
  <si>
    <t>¿Se deben considerar efectos de 2º orden?</t>
  </si>
  <si>
    <t>5.8.3.1(1)</t>
  </si>
  <si>
    <t>Excentricidad por imperfección geométrica</t>
  </si>
  <si>
    <t>e_i</t>
  </si>
  <si>
    <t>5.2(7), θ_i = 1/400</t>
  </si>
  <si>
    <t>Factor de esfuerzo axial (conservador = 1,0)</t>
  </si>
  <si>
    <t>K_r</t>
  </si>
  <si>
    <t>5.8.8.3(3), ec. (5.36)</t>
  </si>
  <si>
    <t>K_r = (n_u − n)/(n_u − n_bal) ≤ 1; se adopta 1,0 del lado seguro</t>
  </si>
  <si>
    <t>Factor de fluencia (φ_ef)</t>
  </si>
  <si>
    <t>K_φ</t>
  </si>
  <si>
    <t>5.8.8.3(4), ec. (5.37)</t>
  </si>
  <si>
    <t>K_φ = 1 + β·φ_ef ≥ 1; editar si se evalúa la fluencia</t>
  </si>
  <si>
    <t>Canto útil para curvatura (h/2 + i_s)</t>
  </si>
  <si>
    <t>d_χ</t>
  </si>
  <si>
    <t>5.8.8.3(2)</t>
  </si>
  <si>
    <t>Curvatura de diseño</t>
  </si>
  <si>
    <t>1/r</t>
  </si>
  <si>
    <t>1/mm</t>
  </si>
  <si>
    <t>5.8.8.3(1), ec. (5.34)</t>
  </si>
  <si>
    <t>Excentricidad de 2º orden</t>
  </si>
  <si>
    <t>e_2</t>
  </si>
  <si>
    <t>5.8.8.2(3)+(4), c = 10 ≈ π²</t>
  </si>
  <si>
    <t>Excentricidad mínima</t>
  </si>
  <si>
    <t>e_0,min</t>
  </si>
  <si>
    <t>6.1(4)</t>
  </si>
  <si>
    <t>Momento de diseño total (para el armado)</t>
  </si>
  <si>
    <t>M_Ed,tot</t>
  </si>
  <si>
    <t>5.8.8.2(1), ec. (5.31) + 6.1(4)</t>
  </si>
  <si>
    <t>M_Ed,tot = M_Ed + N_Ed·(e_i + e_2) ≥ N_Ed·e_0,min</t>
  </si>
  <si>
    <t>5. FLEXO-COMPRESIÓN — REFUERZO LONGITUDINAL (» Nomograma adimensional μ–ν–ω)</t>
  </si>
  <si>
    <t>Esfuerzo axial adimensional</t>
  </si>
  <si>
    <t>ν_Ed</t>
  </si>
  <si>
    <t>6.1 / DAfStb-Heft 600 (diagramas de interacción)</t>
  </si>
  <si>
    <t>ν_Ed = N_Ed / (A_c·f_cd)</t>
  </si>
  <si>
    <t>Momento adimensional</t>
  </si>
  <si>
    <t>μ_Ed</t>
  </si>
  <si>
    <t>6.1 / 3.1.7(3) bloque rectangular</t>
  </si>
  <si>
    <t>μ_Ed = M_Ed,tot / (A_c·h·f_cd)</t>
  </si>
  <si>
    <t>NOMOGRAMA ADIMENSIONAL μ–ν–ω PARA SECCIÓN CIRCULAR CON ARMADURA UNIFORMEMENTE REPARTIDA</t>
  </si>
  <si>
    <t>Equilibrio de la sección según DIN EN 1992-1-1, 6.1 y 3.1.7(3): bloque rectangular de compresión (λ = 0,8 ; η = 1,0 para f_ck ≤ 50 N/mm²); diagrama de deformaciones según Fig. 6.1 (pivotes B y C); acero bilineal según 3.2.7 Fig. 3.8 con rama horizontal (σ_s ≤ f_yd).</t>
  </si>
  <si>
    <t>Parámetros vinculados a la hoja Pilote_DIN</t>
  </si>
  <si>
    <t>Diámetro / canto</t>
  </si>
  <si>
    <t>h = D</t>
  </si>
  <si>
    <t>Recubrimiento al eje de barras</t>
  </si>
  <si>
    <t>Radio del anillo de armadura</t>
  </si>
  <si>
    <t>Resistencia de diseño hormigón</t>
  </si>
  <si>
    <t>Límite elástico de diseño</t>
  </si>
  <si>
    <t>Deformación última hormigón (pivote B)</t>
  </si>
  <si>
    <t>Deformación compresión centrada (pivote C)</t>
  </si>
  <si>
    <t>Esfuerzo axial adimensional solicitante</t>
  </si>
  <si>
    <t>Momento adimensional solicitante</t>
  </si>
  <si>
    <t>Número de barras equivalentes del anillo</t>
  </si>
  <si>
    <t>n_div</t>
  </si>
  <si>
    <t>Discretización del anillo de armadura (24 posiciones de área igual)</t>
  </si>
  <si>
    <t>φ [°]</t>
  </si>
  <si>
    <t>d_i [mm]</t>
  </si>
  <si>
    <t>z_i [mm]</t>
  </si>
  <si>
    <t>REJILLA DE EQUILIBRIO: para cada posición del eje neutro ξ = x/h se resuelve ω con la ecuación de fuerzas (ν_Ed = ν_c + ω·k_s) y se obtiene el momento resistente μ_Rd = μ_c + ω·k_m</t>
  </si>
  <si>
    <t>ξ = x/h</t>
  </si>
  <si>
    <t>x [mm]</t>
  </si>
  <si>
    <t>a = λ·x [mm]</t>
  </si>
  <si>
    <t>α [rad]</t>
  </si>
  <si>
    <t>A_seg [mm²]</t>
  </si>
  <si>
    <t>ν_c</t>
  </si>
  <si>
    <t>ȳ_c [mm]</t>
  </si>
  <si>
    <t>μ_c</t>
  </si>
  <si>
    <t>k_s</t>
  </si>
  <si>
    <t>k_m</t>
  </si>
  <si>
    <t>ω_req</t>
  </si>
  <si>
    <t>μ_Rd</t>
  </si>
  <si>
    <t>|μ_Rd − μ_Ed|</t>
  </si>
  <si>
    <t>SOLUCIÓN — interpolación lineal en la rejilla</t>
  </si>
  <si>
    <t>Error mínimo |μ_Rd − μ_Ed|</t>
  </si>
  <si>
    <t>Fila de la rejilla más próxima</t>
  </si>
  <si>
    <t>Posición relativa del eje neutro</t>
  </si>
  <si>
    <t>Profundidad del eje neutro</t>
  </si>
  <si>
    <t>x</t>
  </si>
  <si>
    <t>Momento resistente en esa fila</t>
  </si>
  <si>
    <t>Máximo μ_Rd de la rejilla (ω ≥ 0)</t>
  </si>
  <si>
    <t>μ_Rd,max</t>
  </si>
  <si>
    <t>Cuantía mecánica interpolada</t>
  </si>
  <si>
    <t>ω_int</t>
  </si>
  <si>
    <t>Interpolación lineal entre las dos filas que encierran μ_Ed</t>
  </si>
  <si>
    <t>m1 = μ_Rd(i)</t>
  </si>
  <si>
    <t>w1 = ω_req(i)</t>
  </si>
  <si>
    <t>fila vecina j</t>
  </si>
  <si>
    <t>m2 = μ_Rd(j)</t>
  </si>
  <si>
    <t>w2 = ω_req(j)</t>
  </si>
  <si>
    <t>μ_Rd,min de la rama válida</t>
  </si>
  <si>
    <t>Estado de la solución</t>
  </si>
  <si>
    <t>CUANTÍA MECÁNICA ADOPTADA</t>
  </si>
  <si>
    <t>ω</t>
  </si>
  <si>
    <t>ω = A_s·f_yd / (A_c·f_cd)   ·   A_s = ω·A_c·f_cd / f_yd</t>
  </si>
  <si>
    <t>Cuantía mecánica necesaria (hoja Nomograma)</t>
  </si>
  <si>
    <t>Equilibrio 6.1 + 3.1.7(3)</t>
  </si>
  <si>
    <t>ω = A_s·f_yd/(A_c·f_cd), armadura repartida en anillo</t>
  </si>
  <si>
    <t>Fig. 6.1 (dominios de deformación)</t>
  </si>
  <si>
    <t>Área de armadura longitudinal necesaria</t>
  </si>
  <si>
    <t>A_s,req</t>
  </si>
  <si>
    <t>A_s = ω·A_c·f_cd/f_yd</t>
  </si>
  <si>
    <t>6. CUANTÍAS LÍMITE Y DISPOSICIÓN DE LA ARMADURA LONGITUDINAL</t>
  </si>
  <si>
    <t>Armadura mínima de pilotes perforados</t>
  </si>
  <si>
    <t>A_s,min,pil</t>
  </si>
  <si>
    <t>9.8.5(3), Tab. 9.6N + NA</t>
  </si>
  <si>
    <t>A_c ≤ 0,5 m²: 0,5%·A_c ; 0,5–1,0 m²: 25 cm² ; &gt; 1,0 m²: 0,25%·A_c</t>
  </si>
  <si>
    <t>Armadura mínima de soportes comprimidos</t>
  </si>
  <si>
    <t>A_s,min,col</t>
  </si>
  <si>
    <t>9.5.2(2), ec. (9.12N)</t>
  </si>
  <si>
    <t>A_s,min = 0,15·|N_Ed|/f_yd</t>
  </si>
  <si>
    <t>Armadura mínima determinante</t>
  </si>
  <si>
    <t>A_s,min</t>
  </si>
  <si>
    <t>9.5.2 / 9.8.5</t>
  </si>
  <si>
    <t>Armadura máxima</t>
  </si>
  <si>
    <t>A_s,max</t>
  </si>
  <si>
    <t>NA 9.5.2(3)</t>
  </si>
  <si>
    <t>A_s,max = 0,09·A_c (también en zonas de solape)</t>
  </si>
  <si>
    <t>ARMADURA LONGITUDINAL NECESARIA (determinante)</t>
  </si>
  <si>
    <t>A_s,nec</t>
  </si>
  <si>
    <t>Armadura dispuesta  (n_l Ø_l)</t>
  </si>
  <si>
    <t>Verificación  A_s,prov ≥ A_s,nec</t>
  </si>
  <si>
    <t>Verificación  A_s,prov ≤ A_s,max</t>
  </si>
  <si>
    <t>Verificación  n_l ≥ 6  y  Ø_l ≥ 16 mm</t>
  </si>
  <si>
    <t>Verificación  separación libre s_l ≥ 100 mm</t>
  </si>
  <si>
    <t>DIN EN 1536, 7.5.2 / 8.2</t>
  </si>
  <si>
    <t>7. VERIFICACIÓN A CORTANTE (6.2 + Anexo Nacional alemán)</t>
  </si>
  <si>
    <t>Ancho equivalente del alma</t>
  </si>
  <si>
    <t>b_w</t>
  </si>
  <si>
    <t>Sección circular: b_w = D (con d según fila 38)</t>
  </si>
  <si>
    <t>Tensión normal media de compresión (≤ 0,2·f_cd)</t>
  </si>
  <si>
    <t>σ_cp</t>
  </si>
  <si>
    <t>6.2.2(1), ec. (6.2a)</t>
  </si>
  <si>
    <t>Cuantía de armadura traccionada (≤ 2 %)</t>
  </si>
  <si>
    <t>ρ_l</t>
  </si>
  <si>
    <t>6.2.2(1)</t>
  </si>
  <si>
    <t>Se considera efectiva la mitad del anillo (semicírculo traccionado)</t>
  </si>
  <si>
    <t>Factor de tamaño</t>
  </si>
  <si>
    <t>k</t>
  </si>
  <si>
    <t>Coeficiente C_Rd,c</t>
  </si>
  <si>
    <t>C_Rd,c</t>
  </si>
  <si>
    <t>NA 6.2.2(1): C_Rd,c = 0,15/γ_c</t>
  </si>
  <si>
    <t>Coeficiente del esfuerzo axial</t>
  </si>
  <si>
    <t>k_1</t>
  </si>
  <si>
    <t>NA 6.2.2(1): k_1 = 0,12</t>
  </si>
  <si>
    <t>Coeficiente κ_1 para v_min</t>
  </si>
  <si>
    <t>κ_1</t>
  </si>
  <si>
    <t>NA 6.2.2(1), ec. (6.3aDE)</t>
  </si>
  <si>
    <t>κ_1 = 0,0525 (d ≤ 600 mm) ; 0,0375 (d ≥ 800 mm)</t>
  </si>
  <si>
    <t>Resistencia unitaria mínima</t>
  </si>
  <si>
    <t>v_min</t>
  </si>
  <si>
    <t>Resistencia a cortante sin armadura transversal</t>
  </si>
  <si>
    <t>V_Rd,c</t>
  </si>
  <si>
    <t>6.2.2(1), ec. (6.2a) y (6.2b)</t>
  </si>
  <si>
    <t>¿Se requiere armadura de cortante?</t>
  </si>
  <si>
    <t>6.2.1(3)</t>
  </si>
  <si>
    <t>Tensión longitudinal del hormigón (compresión negativa)</t>
  </si>
  <si>
    <t>σ_cd</t>
  </si>
  <si>
    <t>NA 6.2.3(2)</t>
  </si>
  <si>
    <t>σ_cd = −N_Ed/A_c en el centro de gravedad (signo EC2: compresión −)</t>
  </si>
  <si>
    <t>Contribución del hormigón al esfuerzo cortante</t>
  </si>
  <si>
    <t>V_Rd,cc</t>
  </si>
  <si>
    <t>NA 6.2.3(2), ec. (6.7bDE), c = 0,5</t>
  </si>
  <si>
    <t>Inclinación de bielas calculada (límites 1,0 – 3,0)</t>
  </si>
  <si>
    <t>cot θ_calc</t>
  </si>
  <si>
    <t>Inclinación de bielas adoptada</t>
  </si>
  <si>
    <t>Se usa el valor de la fila 21 si es &gt; 0; en caso contrario el automático</t>
  </si>
  <si>
    <t>Factor de reducción de resistencia de la biela</t>
  </si>
  <si>
    <t>ν_1</t>
  </si>
  <si>
    <t>NA 6.2.3(3): ν_1 = 0,75 (≤ C50/60)</t>
  </si>
  <si>
    <t>Resistencia máxima de la biela comprimida</t>
  </si>
  <si>
    <t>V_Rd,max</t>
  </si>
  <si>
    <t>6.2.3(3), ec. (6.9)</t>
  </si>
  <si>
    <t>Verificación  V_Ed ≤ V_Rd,max</t>
  </si>
  <si>
    <t>6.2.3(3)</t>
  </si>
  <si>
    <t>Armadura transversal necesaria por cálculo</t>
  </si>
  <si>
    <t>(A_sw/s)_req</t>
  </si>
  <si>
    <t>mm²/mm</t>
  </si>
  <si>
    <t>6.2.3(3), ec. (6.8)</t>
  </si>
  <si>
    <t>A_sw/s = V_Ed/(z·f_ywd·cotθ)</t>
  </si>
  <si>
    <t>Cuantía mínima de armadura transversal</t>
  </si>
  <si>
    <t>ρ_w,min</t>
  </si>
  <si>
    <t>NA 9.2.2(5), ec. (9.5aDE)</t>
  </si>
  <si>
    <t>ρ_w,min = 0,16·f_ctm/f_yk</t>
  </si>
  <si>
    <t>Armadura transversal mínima</t>
  </si>
  <si>
    <t>(A_sw/s)_min</t>
  </si>
  <si>
    <t>9.2.2(5)</t>
  </si>
  <si>
    <t>ARMADURA TRANSVERSAL DETERMINANTE</t>
  </si>
  <si>
    <t>(A_sw/s)_nec</t>
  </si>
  <si>
    <t>Área de la espiral por paso (2 ramas cortadas)</t>
  </si>
  <si>
    <t>A_sw</t>
  </si>
  <si>
    <t>Espiral/cerco circular: 2 ramas atraviesan la fisura de cortante</t>
  </si>
  <si>
    <t>Paso máximo por cálculo</t>
  </si>
  <si>
    <t>s_req</t>
  </si>
  <si>
    <t>Separación máxima constructiva</t>
  </si>
  <si>
    <t>s_max</t>
  </si>
  <si>
    <t>NA 9.2.2(6), Tab. NA 9.1</t>
  </si>
  <si>
    <t>PASO DE ESPIRAL NECESARIO</t>
  </si>
  <si>
    <t>s_nec</t>
  </si>
  <si>
    <t>Verificación del paso adoptado  s_w ≤ s_nec</t>
  </si>
  <si>
    <t>6.2.3 / 9.2.2(6)</t>
  </si>
  <si>
    <t>Verificación de hormigonado: s_w − Ø_w ≥ 100 mm</t>
  </si>
  <si>
    <t>8. RESUMEN DE RESULTADOS Y VERIFICACIONES</t>
  </si>
  <si>
    <t>Solicitaciones de diseño (N_Ed / V_Ed / M_Ed,tot)</t>
  </si>
  <si>
    <t>Sección</t>
  </si>
  <si>
    <t>Armadura longitudinal necesaria → dispuesta</t>
  </si>
  <si>
    <t>6.1 / 9.8.5</t>
  </si>
  <si>
    <t>Armadura transversal necesaria → dispuesta</t>
  </si>
  <si>
    <t>6.2.3 / 9.2.2</t>
  </si>
  <si>
    <t>Flexo-compresión  (A_s,prov ≥ A_s,nec)</t>
  </si>
  <si>
    <t>Cuantía máxima</t>
  </si>
  <si>
    <t>Número y diámetro mínimo de barras</t>
  </si>
  <si>
    <t>Separación libre entre barras</t>
  </si>
  <si>
    <t>Biela comprimida  (V_Ed ≤ V_Rd,max)</t>
  </si>
  <si>
    <t>Paso de la espiral</t>
  </si>
  <si>
    <t>VERIFICACIÓN GLOBAL</t>
  </si>
  <si>
    <t>9. REFERENCIAS NORMATIVAS UTILIZADAS</t>
  </si>
  <si>
    <t>DIN EN 1992-1-1:2011-01 — Eurocode 2: Bemessung und Konstruktion von Stahlbeton- und Spannbetontragwerken, Teil 1-1</t>
  </si>
  <si>
    <t>DIN EN 1992-1-1/NA:2013-04 — Nationaler Anhang Deutschland (coeficientes γ_c, γ_s, α_cc, C_Rd,c, k_1, κ_1, cotθ, ν_1, ρ_w,min, A_s,max)</t>
  </si>
  <si>
    <t>§ 2.4.2.4 / Tab. 2.1DE — coeficientes parciales γ_c = 1,5 ; γ_s = 1,15</t>
  </si>
  <si>
    <t>§ 3.1.6(1) ec. (3.15) + NA — f_cd = α_cc·f_ck/γ_c con α_cc = 0,85</t>
  </si>
  <si>
    <t>§ 3.1.7(3) — distribución rectangular de tensiones (λ = 0,8 ; η = 1,0 para f_ck ≤ 50 N/mm²)</t>
  </si>
  <si>
    <t>§ 3.2.7 Fig. 3.8 + NA — diagrama del acero, f_yd = f_yk/γ_s ; ε_ud = 25 ‰</t>
  </si>
  <si>
    <t>§ 5.2(7) — imperfecciones geométricas, θ_i = 1/400 → e_i = l_0/400</t>
  </si>
  <si>
    <t>§ 5.8.3.1 + NA ec. (5.13aDE) — esbeltez límite λ_lim</t>
  </si>
  <si>
    <t>§ 5.8.8 ec. (5.31)–(5.37) — método de la curvatura nominal, e_2 = (1/r)·l_0²/c</t>
  </si>
  <si>
    <t>§ 6.1 y Fig. 6.1 — flexión compuesta, dominios de deformación; excentricidad mínima 6.1(4)</t>
  </si>
  <si>
    <t>§ 6.2.2(1) ec. (6.2a)/(6.2b) + NA ec. (6.3aDE) — V_Rd,c, C_Rd,c = 0,15/γ_c ; k_1 = 0,12 ; v_min</t>
  </si>
  <si>
    <t>§ 6.2.3(2) + NA ec. (6.7aDE)/(6.7bDE) — cotθ (1,0–3,0) y V_Rd,cc</t>
  </si>
  <si>
    <t>§ 6.2.3(3) ec. (6.8) y (6.9) + NA — A_sw/s y V_Rd,max con ν_1 = 0,75</t>
  </si>
  <si>
    <t>§ 9.2.2(5)/(6) + NA ec. (9.5aDE), Tab. NA 9.1 — ρ_w,min y separación máxima de cercos</t>
  </si>
  <si>
    <t>§ 9.5.2(2)/(3) + NA — A_s,min = 0,15·N_Ed/f_yd ; A_s,max = 0,09·A_c</t>
  </si>
  <si>
    <t>§ 9.8.5(3) Tab. 9.6N + NA — armadura mínima de pilotes, ≥ 6 barras Ø ≥ 16 mm</t>
  </si>
  <si>
    <t>DIN EN 1536:2015 § 7.5 — pilotes perforados: recubrimiento, diámetros y separaciones para hormigonado con tubo tremie</t>
  </si>
  <si>
    <t>DAfStb-Heft 600 — explicaciones al EC2/NA: secciones circulares (b_w, d, diagramas de interacción)</t>
  </si>
  <si>
    <t>NOTA METODOLÓGICA: el refuerzo longitudinal se obtiene resolviendo el equilibrio de la sección circular con armadura uniformemente repartida en anillo (24 barras equivalentes) — hoja «Nomograma». Equivale a leer los diagramas de interacción μ_Ed–ν_Ed–ω para sección circular. Simplificaciones: bloque rectangular también para x &gt; h y pivote C con ε_c2 en 3h/7; no se consideran torsión, fisuración (7.3), ni longitudes de anclaje/solape (8.4/8.7).</t>
  </si>
  <si>
    <t>6.1</t>
  </si>
  <si>
    <t>BEMESSUNG DER PFAHLBEWEHRUNG — KREISQUERSCHNITT AUS STAHLBETON</t>
  </si>
  <si>
    <t>DIN EN 1992-1-1:2011 (EC2) + DIN EN 1992-1-1/NA:2013 (Nationaler Anhang) · Konstruktive Durchbildung: DIN EN 1536 (Bohrpfähle)</t>
  </si>
  <si>
    <t>1. EINGABEDATEN  (blaue Zellen = editierbar)</t>
  </si>
  <si>
    <t>Parameter</t>
  </si>
  <si>
    <t>Symbol</t>
  </si>
  <si>
    <t>Wert</t>
  </si>
  <si>
    <t>Einheit</t>
  </si>
  <si>
    <t>Bezug DIN EN 1992-1-1 / NA</t>
  </si>
  <si>
    <t>Anmerkung</t>
  </si>
  <si>
    <t>Bemessungswert der Normalkraft (Druck positiv)</t>
  </si>
  <si>
    <t>Bemessungskombination GZT (EN 1990)</t>
  </si>
  <si>
    <t>Bemessungswert der Querkraft</t>
  </si>
  <si>
    <t>Bemessungswert des Moments im Schnitt (1. Ordnung)</t>
  </si>
  <si>
    <t>Pfahldurchmesser</t>
  </si>
  <si>
    <t>Nennmaß der Betondeckung</t>
  </si>
  <si>
    <t>Anzahl der Längsbewehrungsstäbe</t>
  </si>
  <si>
    <t>≥ 6 Stäbe</t>
  </si>
  <si>
    <t>Durchmesser Längsstab</t>
  </si>
  <si>
    <t>Durchmesser Wendel/Bügel</t>
  </si>
  <si>
    <t>Gewählte Ganghöhe der Wendel</t>
  </si>
  <si>
    <t>Charakteristische Betondruckfestigkeit</t>
  </si>
  <si>
    <t>Streckgrenze des Betonstahls</t>
  </si>
  <si>
    <t>Teilsicherheitsbeiwert Beton</t>
  </si>
  <si>
    <t>Teilsicherheitsbeiwert Betonstahl</t>
  </si>
  <si>
    <t>Beiwert Dauerstandeinfluss</t>
  </si>
  <si>
    <t>Knicklänge (0 = Theorie II. Ordnung nicht ansetzen)</t>
  </si>
  <si>
    <t>cot θ gewählt (0 = automatisch nach NA)</t>
  </si>
  <si>
    <t>2. BAUSTOFFE</t>
  </si>
  <si>
    <t>Bemessungswert der Betondruckfestigkeit</t>
  </si>
  <si>
    <t>Mittlere Betonzugfestigkeit</t>
  </si>
  <si>
    <t>Bemessungswert der Stahlstreckgrenze</t>
  </si>
  <si>
    <t>Elastizitätsmodul Betonstahl</t>
  </si>
  <si>
    <t>Bemessungswert der Fließdehnung</t>
  </si>
  <si>
    <t>Grenzdehnung des Betons (Biegung)</t>
  </si>
  <si>
    <t>Stauchung bei zentrischem Druck</t>
  </si>
  <si>
    <t>Grenzdehnung des Betonstahls</t>
  </si>
  <si>
    <t>3. QUERSCHNITTSGEOMETRIE</t>
  </si>
  <si>
    <t>Außenradius</t>
  </si>
  <si>
    <t>Betonquerschnittsfläche</t>
  </si>
  <si>
    <t>Achsabstand Bewehrung vom Rand</t>
  </si>
  <si>
    <t>Radius des Bewehrungskreises</t>
  </si>
  <si>
    <t>Rechnerische Nutzhöhe für Querkraft</t>
  </si>
  <si>
    <t>Innerer Hebelarm für Querkraft</t>
  </si>
  <si>
    <t>Vorhandene Längsbewehrungsfläche</t>
  </si>
  <si>
    <t>Lichter Abstand der Längsstäbe</t>
  </si>
  <si>
    <t>≥ 100 mm empfohlen bei Betonage mit Kontraktorrohr (Tremie)</t>
  </si>
  <si>
    <t>4. SCHLANKHEIT, IMPERFEKTIONEN UND THEORIE II. ORDNUNG</t>
  </si>
  <si>
    <t>Trägheitsradius des Kreisquerschnitts</t>
  </si>
  <si>
    <t>i = D/4 bei Kreisquerschnitt</t>
  </si>
  <si>
    <t>Mechanische Schlankheit</t>
  </si>
  <si>
    <t>Bezogene Normalkraft</t>
  </si>
  <si>
    <t>Grenzschlankheit</t>
  </si>
  <si>
    <t>λ_lim = 25 wenn |n| ≤ 0,41 ; sonst 16/√|n|</t>
  </si>
  <si>
    <t>Sind Effekte nach Theorie II. Ordnung zu berücksichtigen?</t>
  </si>
  <si>
    <t>Ausmitte infolge geometrischer Imperfektion</t>
  </si>
  <si>
    <t>Beiwert für Achslastverhältnis (konservativ = 1,0)</t>
  </si>
  <si>
    <t>K_r = (n_u − n)/(n_u − n_bal) ≤ 1; auf der sicheren Seite mit 1,0 angesetzt</t>
  </si>
  <si>
    <t>Kriechbeiwert (φ_ef)</t>
  </si>
  <si>
    <t>K_φ = 1 + β·φ_ef ≥ 1; bei Kriechnachweis anpassen</t>
  </si>
  <si>
    <t>Nutzhöhe für Krümmung (h/2 + i_s)</t>
  </si>
  <si>
    <t>Bemessungskrümmung</t>
  </si>
  <si>
    <t>Ausmitte nach Theorie II. Ordnung</t>
  </si>
  <si>
    <t>Mindestausmitte</t>
  </si>
  <si>
    <t>Bemessungsmoment gesamt (für die Bewehrung)</t>
  </si>
  <si>
    <t>5. BIEGUNG MIT LÄNGSKRAFT — LÄNGSBEWEHRUNG (» dimensionsloses μ–ν–ω-Diagramm)</t>
  </si>
  <si>
    <t>Bezogenes Moment</t>
  </si>
  <si>
    <t>Erforderlicher mechanischer Bewehrungsgrad (Blatt Nomogramm)</t>
  </si>
  <si>
    <t>ω = A_s·f_yd/(A_c·f_cd), ringförmig verteilte Bewehrung</t>
  </si>
  <si>
    <t>Bezogene Druckzonenhöhe</t>
  </si>
  <si>
    <t>Druckzonenhöhe</t>
  </si>
  <si>
    <t>Status der Lösung</t>
  </si>
  <si>
    <t>Erforderliche Längsbewehrungsfläche</t>
  </si>
  <si>
    <t>6. GRENZWERTE UND KONSTRUKTIVE DURCHBILDUNG DER LÄNGSBEWEHRUNG</t>
  </si>
  <si>
    <t>Mindestbewehrung für Bohrpfähle</t>
  </si>
  <si>
    <t>Mindestbewehrung für Druckglieder</t>
  </si>
  <si>
    <t>Maßgebende Mindestbewehrung</t>
  </si>
  <si>
    <t>Höchstbewehrung</t>
  </si>
  <si>
    <t>A_s,max = 0,09·A_c (auch in Übergreifungsbereichen)</t>
  </si>
  <si>
    <t>ERFORDERLICHE LÄNGSBEWEHRUNG (maßgebend)</t>
  </si>
  <si>
    <t>Vorhandene Bewehrung  (n_l Ø_l)</t>
  </si>
  <si>
    <t>Nachweis  A_s,vorh ≥ A_s,erf</t>
  </si>
  <si>
    <t>Nachweis  A_s,vorh ≤ A_s,max</t>
  </si>
  <si>
    <t>Nachweis  n_l ≥ 6  und  Ø_l ≥ 16 mm</t>
  </si>
  <si>
    <t>Nachweis  lichter Abstand s_l ≥ 100 mm</t>
  </si>
  <si>
    <t>7. NACHWEIS DER QUERKRAFTTRAGFÄHIGKEIT (6.2 + Nationaler Anhang)</t>
  </si>
  <si>
    <t>Rechnerische Stegbreite</t>
  </si>
  <si>
    <t>Kreisquerschnitt: b_w = D (mit d gemäß Zeile 38)</t>
  </si>
  <si>
    <t>Mittlere Betonlängsdruckspannung (≤ 0,2·f_cd)</t>
  </si>
  <si>
    <t>Längsbewehrungsgrad der Zugzone (≤ 2 %)</t>
  </si>
  <si>
    <t>Es wird die Hälfte des Bewehrungsrings als wirksam angesetzt (gezogener Halbkreis)</t>
  </si>
  <si>
    <t>Maßstabsfaktor</t>
  </si>
  <si>
    <t>Beiwert C_Rd,c</t>
  </si>
  <si>
    <t>Beiwert für Normalkraft</t>
  </si>
  <si>
    <t>Beiwert κ_1 für v_min</t>
  </si>
  <si>
    <t>Mindestwert der Querkrafttragfähigkeit</t>
  </si>
  <si>
    <t>Querkrafttragfähigkeit ohne Querkraftbewehrung</t>
  </si>
  <si>
    <t>Ist Querkraftbewehrung erforderlich?</t>
  </si>
  <si>
    <t>Betonlängsspannung (Druck negativ)</t>
  </si>
  <si>
    <t>σ_cd = −N_Ed/A_c im Schwerpunkt (EC2-Vorzeichen: Druck −)</t>
  </si>
  <si>
    <t>Betontraganteil der Querkraft</t>
  </si>
  <si>
    <t>Rechnerische Druckstrebenneigung (Grenzen 1,0 – 3,0)</t>
  </si>
  <si>
    <t>Gewählte Druckstrebenneigung</t>
  </si>
  <si>
    <t>Es wird der Wert aus Zeile 21 verwendet, falls &gt; 0; sonst der automatische Wert</t>
  </si>
  <si>
    <t>Abminderungsbeiwert der Druckstrebenfestigkeit</t>
  </si>
  <si>
    <t>Grenztragfähigkeit der Druckstrebe</t>
  </si>
  <si>
    <t>Nachweis  V_Ed ≤ V_Rd,max</t>
  </si>
  <si>
    <t>Rechnerisch erforderliche Querkraftbewehrung</t>
  </si>
  <si>
    <t>Mindestquerkraftbewehrungsgrad</t>
  </si>
  <si>
    <t>Mindestquerkraftbewehrung</t>
  </si>
  <si>
    <t>MASSGEBENDE QUERKRAFTBEWEHRUNG</t>
  </si>
  <si>
    <t>Wendelfläche je Ganghöhe (2 geschnittene Schenkel)</t>
  </si>
  <si>
    <t>Kreisförmige Wendel/Bügel: 2 Schenkel durchqueren den Schubriss</t>
  </si>
  <si>
    <t>Rechnerisch erforderliche Ganghöhe</t>
  </si>
  <si>
    <t>Konstruktiv maximale Ganghöhe</t>
  </si>
  <si>
    <t>ERFORDERLICHE WENDELGANGHÖHE</t>
  </si>
  <si>
    <t>Nachweis des gewählten Ganges  s_w ≤ s_erf</t>
  </si>
  <si>
    <t>Nachweis Betonage: s_w − Ø_w ≥ 100 mm</t>
  </si>
  <si>
    <t>8. ERGEBNISZUSAMMENFASSUNG UND NACHWEISE</t>
  </si>
  <si>
    <t>Bemessungsschnittgrößen (N_Ed / V_Ed / M_Ed,tot)</t>
  </si>
  <si>
    <t>Querschnitt</t>
  </si>
  <si>
    <t>Erforderliche → vorhandene Längsbewehrung</t>
  </si>
  <si>
    <t>Erforderliche → vorhandene Querkraftbewehrung</t>
  </si>
  <si>
    <t>Biegung mit Längskraft  (A_s,vorh ≥ A_s,erf)</t>
  </si>
  <si>
    <t>Mindestanzahl und -durchmesser der Stäbe</t>
  </si>
  <si>
    <t>Lichter Abstand der Stäbe</t>
  </si>
  <si>
    <t>Druckstrebe  (V_Ed ≤ V_Rd,max)</t>
  </si>
  <si>
    <t>Wendelganghöhe</t>
  </si>
  <si>
    <t>GESAMTNACHWEIS</t>
  </si>
  <si>
    <t>9. VERWENDETE NORMATIVE BEZÜGE</t>
  </si>
  <si>
    <t>DIN EN 1992-1-1/NA:2013-04 — Nationaler Anhang Deutschland (Beiwerte γ_c, γ_s, α_cc, C_Rd,c, k_1, κ_1, cotθ, ν_1, ρ_w,min, A_s,max)</t>
  </si>
  <si>
    <t>§ 2.4.2.4 / Tab. 2.1DE — Teilsicherheitsbeiwerte γ_c = 1,5 ; γ_s = 1,15</t>
  </si>
  <si>
    <t>§ 3.1.6(1) Gl. (3.15) + NA — f_cd = α_cc·f_ck/γ_c mit α_cc = 0,85</t>
  </si>
  <si>
    <t>§ 3.1.7(3) — rechteckige Spannungsverteilung (λ = 0,8 ; η = 1,0 für f_ck ≤ 50 N/mm²)</t>
  </si>
  <si>
    <t>§ 3.2.7 Bild 3.8 + NA — Stahlkennlinie, f_yd = f_yk/γ_s ; ε_ud = 25 ‰</t>
  </si>
  <si>
    <t>§ 5.2(7) — geometrische Imperfektionen, θ_i = 1/400 → e_i = l_0/400</t>
  </si>
  <si>
    <t>§ 5.8.3.1 + NA Gl. (5.13aDE) — Grenzschlankheit λ_lim</t>
  </si>
  <si>
    <t>§ 5.8.8 Gl. (5.31)–(5.37) — Verfahren mit Nennkrümmung, e_2 = (1/r)·l_0²/c</t>
  </si>
  <si>
    <t>§ 6.1 und Bild 6.1 — Biegung mit Längskraft, Dehnungsbereiche; Mindestausmitte 6.1(4)</t>
  </si>
  <si>
    <t>§ 6.2.2(1) Gl. (6.2a)/(6.2b) + NA Gl. (6.3aDE) — V_Rd,c, C_Rd,c = 0,15/γ_c ; k_1 = 0,12 ; v_min</t>
  </si>
  <si>
    <t>§ 6.2.3(2) + NA Gl. (6.7aDE)/(6.7bDE) — cotθ (1,0–3,0) und V_Rd,cc</t>
  </si>
  <si>
    <t>§ 6.2.3(3) Gl. (6.8) und (6.9) + NA — A_sw/s und V_Rd,max mit ν_1 = 0,75</t>
  </si>
  <si>
    <t>§ 9.2.2(5)/(6) + NA Gl. (9.5aDE), Tab. NA 9.1 — ρ_w,min und maximaler Bügelabstand</t>
  </si>
  <si>
    <t>§ 9.8.5(3) Tab. 9.6N + NA — Mindestbewehrung von Pfählen, ≥ 6 Stäbe Ø ≥ 16 mm</t>
  </si>
  <si>
    <t>DIN EN 1536:2015 § 7.5 — Bohrpfähle: Betondeckung, Durchmesser und Abstände bei Betonage mit Kontraktorrohr</t>
  </si>
  <si>
    <t>DAfStb-Heft 600 — Erläuterungen zu EC2/NA: Kreisquerschnitte (b_w, d, Interaktionsdiagramme)</t>
  </si>
  <si>
    <t>METHODISCHER HINWEIS: Die Längsbewehrung wird durch Lösen des Gleichgewichts am Kreisquerschnitt mit gleichmäßig im Ring verteilter Bewehrung (24 äquivalente Stäbe) ermittelt — Blatt «Nomogramm». Dies entspricht dem Ablesen der Interaktionsdiagramme μ_Ed–ν_Ed–ω für Kreisquerschnitte. Vereinfachungen: Rechteckblock auch für x &gt; h und Punkt C mit ε_c2 bei 3h/7; Torsion, Rissbildung (7.3) sowie Verankerungs-/Übergreifungslängen (8.4/8.7) werden nicht berücksichtigt.</t>
  </si>
  <si>
    <t>DIMENSIONSLOSES μ–ν–ω-DIAGRAMM FÜR KREISQUERSCHNITTE MIT GLEICHMÄSSIG VERTEILTER BEWEHRUNG</t>
  </si>
  <si>
    <t>Querschnittsgleichgewicht nach DIN EN 1992-1-1, 6.1 und 3.1.7(3): rechteckiger Spannungsblock (λ = 0,8 ; η = 1,0 für f_ck ≤ 50 N/mm²); Dehnungsebene nach Bild 6.1 (Punkte B und C); bilineare Stahlkennlinie nach 3.2.7 Bild 3.8 mit horizontalem Ast (σ_s ≤ f_yd).</t>
  </si>
  <si>
    <t>Mit Blatt Pfahl_DIN verknüpfte Parameter</t>
  </si>
  <si>
    <t>Durchmesser / Höhe</t>
  </si>
  <si>
    <t>Achsabstand der Bewehrung</t>
  </si>
  <si>
    <t>Radius des Bewehrungsrings</t>
  </si>
  <si>
    <t>Grenzdehnung Beton (Punkt B)</t>
  </si>
  <si>
    <t>Stauchung bei zentrischem Druck (Punkt C)</t>
  </si>
  <si>
    <t>Bezogene Normalkraft (Einwirkung)</t>
  </si>
  <si>
    <t>Bezogenes Moment (Einwirkung)</t>
  </si>
  <si>
    <t>Anzahl äquivalenter Stäbe im Ring</t>
  </si>
  <si>
    <t>Diskretisierung des Bewehrungsrings (24 Positionen gleicher Fläche)</t>
  </si>
  <si>
    <t>LÖSUNG — lineare Interpolation im Raster</t>
  </si>
  <si>
    <t>Minimaler Fehler |μ_Rd − μ_Ed|</t>
  </si>
  <si>
    <t>Nächstgelegene Rasterzeile</t>
  </si>
  <si>
    <t>Aufnehmbares Moment in dieser Zeile</t>
  </si>
  <si>
    <t>Maximales μ_Rd des Rasters (ω ≥ 0)</t>
  </si>
  <si>
    <t>Interpolierter mechanischer Bewehrungsgrad</t>
  </si>
  <si>
    <t>GEWÄHLTER MECHANISCHER BEWEHRUNGSGRAD</t>
  </si>
  <si>
    <t>Lineare Interpolation zwischen den beiden μ_Ed einschließenden Zeilen</t>
  </si>
  <si>
    <t>w1 = ω_erf(i)</t>
  </si>
  <si>
    <t>Nachbarzeile j</t>
  </si>
  <si>
    <t>w2 = ω_erf(j)</t>
  </si>
  <si>
    <t>μ_Rd,min des gültigen Astes</t>
  </si>
  <si>
    <t>GLEICHGEWICHTSRASTER: für jede Lage der Nulllinie ξ = x/h wird ω aus der Kräftegleichung (ν_Ed = ν_c + ω·k_s) berechnet und daraus das aufnehmbare Moment μ_Rd = μ_c + ω·k_m ermittelt</t>
  </si>
  <si>
    <t>ω_erf</t>
  </si>
  <si>
    <t>3.1.6(1), Gl. (3.15)</t>
  </si>
  <si>
    <t>3.2.7(2), Bild 3.8</t>
  </si>
  <si>
    <t>Tab. 3.1 (Punkt C, Bild 6.1)</t>
  </si>
  <si>
    <t>5.8.3.2(1), Gl. (5.14)</t>
  </si>
  <si>
    <t>5.8.3.1(1), Gl. (5.13N)</t>
  </si>
  <si>
    <t>NA 5.8.3.1(1), Gl. (5.13aDE)</t>
  </si>
  <si>
    <t>5.8.8.3(3), Gl. (5.36)</t>
  </si>
  <si>
    <t>5.8.8.3(4), Gl. (5.37)</t>
  </si>
  <si>
    <t>5.8.8.3(1), Gl. (5.34)</t>
  </si>
  <si>
    <t>5.8.8.2(1), Gl. (5.31) + 6.1(4)</t>
  </si>
  <si>
    <t>6.1 / DAfStb-Heft 600 (Interaktionsdiagramme)</t>
  </si>
  <si>
    <t>6.1 / 3.1.7(3) Rechteckblock</t>
  </si>
  <si>
    <t>Gleichgewicht 6.1 + 3.1.7(3)</t>
  </si>
  <si>
    <t>Bild 6.1 (Dehnungsbereiche)</t>
  </si>
  <si>
    <t>9.5.2(2), Gl. (9.12N)</t>
  </si>
  <si>
    <t>6.2.2(1), Gl. (6.2a)</t>
  </si>
  <si>
    <t>NA 6.2.2(1), Gl. (6.3aDE)</t>
  </si>
  <si>
    <t>6.2.2(1), Gl. (6.2a) und (6.2b)</t>
  </si>
  <si>
    <t>NA 6.2.3(2), Gl. (6.7bDE), c = 0,5</t>
  </si>
  <si>
    <t>NA 6.2.3(2), Gl. (6.7aDE)</t>
  </si>
  <si>
    <t>6.2.3(3), Gl. (6.9)</t>
  </si>
  <si>
    <t>6.2.3(3), Gl. (6.8)</t>
  </si>
  <si>
    <t>NA 9.2.2(5), Gl. (9.5aDE)</t>
  </si>
  <si>
    <t>A_s,erf</t>
  </si>
  <si>
    <t>A_s,min,Pfahl</t>
  </si>
  <si>
    <t>A_s,min,Stütze</t>
  </si>
  <si>
    <t>cot θ_ber</t>
  </si>
  <si>
    <t>(A_sw/s)_erf</t>
  </si>
  <si>
    <t>s_erf</t>
  </si>
  <si>
    <t>DISEÑO DE VIGA DE HORMIGÓN ARMADO — FLEXIÓN, CORTANTE Y TORSIÓN</t>
  </si>
  <si>
    <t>DIN EN 1992-1-1:2011 (EC2) + DIN EN 1992-1-1/NA:2013 (Anexo Nacional de Alemania) · Sección rectangular · Método adimensional μ–ξ–ω y sección hueca equivalente para torsión (§6.3)</t>
  </si>
  <si>
    <t>1. DATOS DE ENTRADA (celdas azules = editables)</t>
  </si>
  <si>
    <t>Nota / fórmula</t>
  </si>
  <si>
    <t>Momento flector de cálculo</t>
  </si>
  <si>
    <t>Combinación de cálculo ELU (EN 1990)</t>
  </si>
  <si>
    <t>Esfuerzo cortante de cálculo</t>
  </si>
  <si>
    <t>Momento torsor de cálculo</t>
  </si>
  <si>
    <t>T_Ed</t>
  </si>
  <si>
    <t>6.3.1</t>
  </si>
  <si>
    <t>Ancho de la sección</t>
  </si>
  <si>
    <t>b</t>
  </si>
  <si>
    <t>—</t>
  </si>
  <si>
    <t>Canto total de la sección</t>
  </si>
  <si>
    <t>h</t>
  </si>
  <si>
    <t>4.4.1 / NA Tab. 4.4DE</t>
  </si>
  <si>
    <t>Diámetro de barra longitudinal</t>
  </si>
  <si>
    <t>Número de barras longitudinales (tracción)</t>
  </si>
  <si>
    <t>Diámetro del estribo</t>
  </si>
  <si>
    <t>9.2.2</t>
  </si>
  <si>
    <t>Número de ramas del estribo (cortante)</t>
  </si>
  <si>
    <t>n_w</t>
  </si>
  <si>
    <t>Límite elástico del acero de armar</t>
  </si>
  <si>
    <t>Coef. parcial del hormigón</t>
  </si>
  <si>
    <t>Coef. parcial del acero</t>
  </si>
  <si>
    <t>Coef. de efecto de larga duración</t>
  </si>
  <si>
    <t>Factor de reducción biela (torsión)</t>
  </si>
  <si>
    <t>ν_T</t>
  </si>
  <si>
    <t>NA 6.3.2(4)</t>
  </si>
  <si>
    <t>ν para bielas de torsión según NA (≤ C50/60)</t>
  </si>
  <si>
    <t>Resistencia de cálculo del hormigón</t>
  </si>
  <si>
    <t>f_cd = α_cc·f_ck/γ_c</t>
  </si>
  <si>
    <t>f_ctm = 0,30·f_ck^(2/3) para ≤ C50/60</t>
  </si>
  <si>
    <t>Resistencia de cálculo a tracción</t>
  </si>
  <si>
    <t>f_ctd</t>
  </si>
  <si>
    <t>3.1.6(2), Gl. (3.16)</t>
  </si>
  <si>
    <t>f_ctd = α_ct·f_ctk;0,05/γ_c = 0,85·0,7·f_ctm/γ_c</t>
  </si>
  <si>
    <t>Resistencia de cálculo del acero</t>
  </si>
  <si>
    <t>f_yd = f_yk/γ_s</t>
  </si>
  <si>
    <t>Deformación última del hormigón</t>
  </si>
  <si>
    <t>Deformación de cálculo de fluencia del acero</t>
  </si>
  <si>
    <t>ε_yd = f_yd/E_s ; E_s = 200 000 N/mm²</t>
  </si>
  <si>
    <t>3. GEOMETRÍA Y SECCIÓN HUECA EQUIVALENTE (torsión)</t>
  </si>
  <si>
    <t>Distancia del borde al centro de la armadura</t>
  </si>
  <si>
    <t>d₁</t>
  </si>
  <si>
    <t>d₁ = c_nom + Ø_w + Ø_l/2</t>
  </si>
  <si>
    <t>Canto útil</t>
  </si>
  <si>
    <t>d = h − d₁</t>
  </si>
  <si>
    <t>Área de la sección de hormigón</t>
  </si>
  <si>
    <t>A_c = b·h</t>
  </si>
  <si>
    <t>Armadura longitudinal de tracción dispuesta</t>
  </si>
  <si>
    <t>A_s,disp</t>
  </si>
  <si>
    <t>A_s,disp = n_l·π·Ø_l²/4</t>
  </si>
  <si>
    <t>Perímetro exterior de la sección</t>
  </si>
  <si>
    <t>u</t>
  </si>
  <si>
    <t>6.3.2(1)</t>
  </si>
  <si>
    <t>u = 2·(b+h)</t>
  </si>
  <si>
    <t>Espesor de pared eficaz</t>
  </si>
  <si>
    <t>t_ef</t>
  </si>
  <si>
    <t>t_ef = A/u , pero ≥ 2·d₁ (recubrimiento al centro de la barra)</t>
  </si>
  <si>
    <t>Área encerrada por la línea media</t>
  </si>
  <si>
    <t>A_k</t>
  </si>
  <si>
    <t>A_k = (b−t_ef)·(h−t_ef)</t>
  </si>
  <si>
    <t>Perímetro de la línea media</t>
  </si>
  <si>
    <t>u_k</t>
  </si>
  <si>
    <t>u_k = 2·((b−t_ef)+(h−t_ef))</t>
  </si>
  <si>
    <t>Brazo mecánico interno (cortante/torsión)</t>
  </si>
  <si>
    <t>z ≈ 0,9·d</t>
  </si>
  <si>
    <t>4. DISEÑO A FLEXIÓN — ARMADURA LONGITUDINAL (método μ–ξ–ω)</t>
  </si>
  <si>
    <t>Momento flector adimensional</t>
  </si>
  <si>
    <t>μ_Eds</t>
  </si>
  <si>
    <t>6.1 / 3.1.7(3)</t>
  </si>
  <si>
    <t>μ_Eds = M_Ed / (b·d²·f_cd)</t>
  </si>
  <si>
    <t>Profundidad relativa de la fibra neutra</t>
  </si>
  <si>
    <t>ξ = x/d</t>
  </si>
  <si>
    <t>Bild 6.1 (bloque rectangular λ=0,8)</t>
  </si>
  <si>
    <t>ξ = 1,25·(1 − √(1 − 2·μ_Eds))</t>
  </si>
  <si>
    <t>Límite de profundidad (ductilidad)</t>
  </si>
  <si>
    <t>ξ_lím</t>
  </si>
  <si>
    <t>NA 5.4 / 9.2.1</t>
  </si>
  <si>
    <t>x/d ≤ 0,45 para ≤ C50/60 (sin redistribución)</t>
  </si>
  <si>
    <t>Verificación ξ ≤ ξ_lím (armadura simple)</t>
  </si>
  <si>
    <t>9.2.1.1</t>
  </si>
  <si>
    <t>Brazo mecánico interno (flexión)</t>
  </si>
  <si>
    <t>z_f</t>
  </si>
  <si>
    <t>z_f = d·(1 − 0,4·ξ)</t>
  </si>
  <si>
    <t>Armadura de flexión necesaria</t>
  </si>
  <si>
    <t>A_s,flex</t>
  </si>
  <si>
    <t>A_s = M_Ed / (z_f·f_yd)</t>
  </si>
  <si>
    <t>Armadura mínima de flexión</t>
  </si>
  <si>
    <t>9.2.1.1(1), Gl. (9.1N)</t>
  </si>
  <si>
    <t>A_s,min = max(0,26·f_ctm/f_yk·b·d ; 0,0013·b·d)</t>
  </si>
  <si>
    <t>9.2.1.1(3)</t>
  </si>
  <si>
    <t>A_s,max = 0,04·A_c</t>
  </si>
  <si>
    <t>ARMADURA DE FLEXIÓN ADOPTADA</t>
  </si>
  <si>
    <t>max(A_s,flex ; A_s,min)</t>
  </si>
  <si>
    <t>5. DISEÑO A CORTANTE (6.2 + Anexo Nacional)</t>
  </si>
  <si>
    <t>Cuantía geométrica de tracción (≤ 2 %)</t>
  </si>
  <si>
    <t>Factor de escala</t>
  </si>
  <si>
    <t>k = 1 + √(200/d) ≤ 2,0</t>
  </si>
  <si>
    <t>NA 6.2.2(1): 0,15/γ_c</t>
  </si>
  <si>
    <t>Valor mínimo v_min</t>
  </si>
  <si>
    <t>κ₁ = 0,0525 (d ≤ 600) ; 0,0375 (d ≥ 800)</t>
  </si>
  <si>
    <t>Cortante resistente sin armadura</t>
  </si>
  <si>
    <t>6.2.2(1), Gl. (6.2a)/(6.2b)</t>
  </si>
  <si>
    <t>¿Requiere armadura de cortante?</t>
  </si>
  <si>
    <t>Contribución del hormigón al cortante</t>
  </si>
  <si>
    <t>NA 6.2.3(2), Gl. (6.7bDE)</t>
  </si>
  <si>
    <t>V_Rd,cc = 0,5·0,48·f_ck^(1/3)·b·z (σ_cd = 0)</t>
  </si>
  <si>
    <t>Inclinación de biela calculada (1,0–3,0)</t>
  </si>
  <si>
    <t>cot θ_cálc</t>
  </si>
  <si>
    <t>Inclinación de biela adoptada</t>
  </si>
  <si>
    <t>Usa el valor de la fila 21 si &gt; 0; en caso contrario el automático</t>
  </si>
  <si>
    <t>Factor de reducción de la biela (cortante)</t>
  </si>
  <si>
    <t>ν₁</t>
  </si>
  <si>
    <t>NA 6.2.3(3): ν₁ = 0,75 (≤ C50/60)</t>
  </si>
  <si>
    <t>Cortante máximo (rotura de biela)</t>
  </si>
  <si>
    <t>V_Rd,max = b·z·ν₁·f_cd / (cotθ + tanθ)</t>
  </si>
  <si>
    <t>Verificación V_Ed ≤ V_Rd,max</t>
  </si>
  <si>
    <t>Armadura de cortante necesaria</t>
  </si>
  <si>
    <t>a_sw,V</t>
  </si>
  <si>
    <t>mm²/m</t>
  </si>
  <si>
    <t>a_sw = V_Ed / (z·f_yd·cotθ) — total de ramas</t>
  </si>
  <si>
    <t>Cuantía mínima de cortante</t>
  </si>
  <si>
    <t>Armadura mínima de cortante</t>
  </si>
  <si>
    <t>a_sw,min</t>
  </si>
  <si>
    <t>a_sw,min = ρ_w,min·b_w (estribos verticales)</t>
  </si>
  <si>
    <t>ARMADURA DE CORTANTE ADOPTADA</t>
  </si>
  <si>
    <t>max(a_sw,V ; a_sw,min)</t>
  </si>
  <si>
    <t>6. DISEÑO A TORSIÓN (6.3 — sección hueca equivalente)</t>
  </si>
  <si>
    <t>Tensión tangencial de torsión</t>
  </si>
  <si>
    <t>τ_t</t>
  </si>
  <si>
    <t>6.3.2(1), Gl. (6.26)</t>
  </si>
  <si>
    <t>τ_t·t_ef = T_Ed/(2·A_k)</t>
  </si>
  <si>
    <t>Momento torsor de fisuración</t>
  </si>
  <si>
    <t>T_Rd,c</t>
  </si>
  <si>
    <t>6.3.2(5)</t>
  </si>
  <si>
    <t>T_Rd,c = 2·A_k·t_ef·f_ctd</t>
  </si>
  <si>
    <t>¿Requiere armadura de torsión?</t>
  </si>
  <si>
    <t>6.3.2(5), Gl. (6.31)</t>
  </si>
  <si>
    <t>Mínima si T_Ed/T_Rd,c + V_Ed/V_Rd,c ≤ 1</t>
  </si>
  <si>
    <t>Torsión máxima (rotura de biela)</t>
  </si>
  <si>
    <t>T_Rd,max</t>
  </si>
  <si>
    <t>6.3.2(4), Gl. (6.30)</t>
  </si>
  <si>
    <t>T_Rd,max = 2·ν_T·f_cd·A_k·t_ef·sinθ·cosθ</t>
  </si>
  <si>
    <t>Verificación T_Ed ≤ T_Rd,max</t>
  </si>
  <si>
    <t>6.3.2(4)</t>
  </si>
  <si>
    <t>Armadura transversal de torsión (por rama)</t>
  </si>
  <si>
    <t>a_sw,T</t>
  </si>
  <si>
    <t>6.3.2(2), Gl. (6.28)</t>
  </si>
  <si>
    <t>a_sw,T = T_Ed / (2·A_k·f_yd·cotθ) — una rama del cerco perimetral</t>
  </si>
  <si>
    <t>Armadura longitudinal de torsión (total)</t>
  </si>
  <si>
    <t>A_sl,T</t>
  </si>
  <si>
    <t>6.3.2(3), Gl. (6.28)</t>
  </si>
  <si>
    <t>A_sl = T_Ed·cotθ·u_k / (2·A_k·f_yd) — distribuida en el perímetro</t>
  </si>
  <si>
    <t>7. INTERACCIÓN CORTANTE + TORSIÓN Y ARMADO COMBINADO</t>
  </si>
  <si>
    <t>Índice de interacción de bielas (V+T)</t>
  </si>
  <si>
    <t>6.3.2(4), Gl. (6.29)</t>
  </si>
  <si>
    <t>T_Ed/T_Rd,max + V_Ed/V_Rd,max ≤ 1,0</t>
  </si>
  <si>
    <t>Verificación interacción de bielas</t>
  </si>
  <si>
    <t>Área de una rama del estribo</t>
  </si>
  <si>
    <t>A_rama</t>
  </si>
  <si>
    <t>A_rama = π·Ø_w²/4</t>
  </si>
  <si>
    <t>Armadura transversal combinada (rama exterior)</t>
  </si>
  <si>
    <t>a_sw,tot</t>
  </si>
  <si>
    <t>6.3.2(2)</t>
  </si>
  <si>
    <t>a_sw,tot = a_sw,V/n_w + a_sw,T (cortante repartido + torsión)</t>
  </si>
  <si>
    <t>Separación necesaria de estribos</t>
  </si>
  <si>
    <t>s = A_rama·1000 / a_sw,tot</t>
  </si>
  <si>
    <t>9.2.2(6) / 9.2.3(3)</t>
  </si>
  <si>
    <t>s_max = min(0,75·d ; 300 ; u_k/8) — el límite de torsión u_k/8 suele regir</t>
  </si>
  <si>
    <t>SEPARACIÓN DE ESTRIBOS ADOPTADA</t>
  </si>
  <si>
    <t>s</t>
  </si>
  <si>
    <t>Armadura long. de torsión en cara inferior</t>
  </si>
  <si>
    <t>A_sl,T,inf</t>
  </si>
  <si>
    <t>6.3.2(3)</t>
  </si>
  <si>
    <t>Fracción de A_sl,T proporcional al ancho (b−t_ef)/u_k</t>
  </si>
  <si>
    <t>ARMADURA LONGITUDINAL INFERIOR TOTAL</t>
  </si>
  <si>
    <t>A_s,inf</t>
  </si>
  <si>
    <t>6.3.2 / 9.2.1</t>
  </si>
  <si>
    <t>A_s,inf = A_s,flex + A_sl,T,inf</t>
  </si>
  <si>
    <t>8. RESUMEN Y VERIFICACIONES</t>
  </si>
  <si>
    <t>Esfuerzos de cálculo</t>
  </si>
  <si>
    <t>Sección y materiales</t>
  </si>
  <si>
    <t>Armadura longitudinal inferior</t>
  </si>
  <si>
    <t>Estribos (cortante + torsión)</t>
  </si>
  <si>
    <t>Armadura long. de torsión (total)</t>
  </si>
  <si>
    <t>Flexión (ξ ≤ ξ_lím)</t>
  </si>
  <si>
    <t>Cortante (V_Ed ≤ V_Rd,max)</t>
  </si>
  <si>
    <t>Torsión (T_Ed ≤ T_Rd,max)</t>
  </si>
  <si>
    <t>Interacción de bielas (V+T)</t>
  </si>
  <si>
    <t>Armadura long. dispuesta ≥ necesaria</t>
  </si>
  <si>
    <t>Armadura máxima (≤ 0,04·A_c)</t>
  </si>
  <si>
    <t>9. REFERENCIAS NORMATIVAS</t>
  </si>
  <si>
    <t>DIN EN 1992-1-1:2011-01 — Eurocode 2: Proyecto de estructuras de hormigón, Parte 1-1</t>
  </si>
  <si>
    <t>DIN EN 1992-1-1/NA:2013-04 — Anexo Nacional de Alemania (γ_c, γ_s, α_cc, C_Rd,c, κ₁, cotθ, ν₁, ν_T, ρ_w,min)</t>
  </si>
  <si>
    <t>§ 3.1.6(1) Gl. (3.15) + NA — f_cd = α_cc·f_ck/γ_c con α_cc = 0,85</t>
  </si>
  <si>
    <t>§ 3.1.7(3) — diagrama rectangular de tensiones (λ = 0,8 ; η = 1,0 para f_ck ≤ 50 N/mm²)</t>
  </si>
  <si>
    <t>§ 6.1 y Bild 6.1 — flexión simple, dominios de deformación; límite x/d ≤ 0,45</t>
  </si>
  <si>
    <t>§ 6.2.2(1) Gl. (6.2a)/(6.2b) + NA Gl. (6.3aDE) — V_Rd,c, C_Rd,c = 0,15/γ_c ; v_min</t>
  </si>
  <si>
    <t>§ 6.2.3(2)/(3) + NA Gl. (6.7aDE)/(6.9) — cotθ (1,0–3,0), V_Rd,max con ν₁ = 0,75, A_sw/s</t>
  </si>
  <si>
    <t>§ 6.3.2 Gl. (6.26)–(6.31) — torsión: sección hueca equivalente, T_Rd,max, T_Rd,c, armaduras</t>
  </si>
  <si>
    <t>§ 6.3.2(4) Gl. (6.29) — interacción cortante + torsión: T_Ed/T_Rd,max + V_Ed/V_Rd,max ≤ 1</t>
  </si>
  <si>
    <t>§ 9.2.1.1 Gl. (9.1N) — armadura mínima y máxima de flexión (A_s,min ; A_s,max = 0,04·A_c)</t>
  </si>
  <si>
    <t>§ 9.2.2(5)/(6) + NA Gl. (9.5aDE) — ρ_w,min y separación máxima de estribos</t>
  </si>
  <si>
    <t>§ 9.2.3 — disposiciones constructivas de la armadura de torsión (s ≤ u_k/8, cercos cerrados)</t>
  </si>
  <si>
    <t>NOTA METODOLÓGICA: La flexión se resuelve con el bloque rectangular de tensiones (μ–ξ–ω, armadura simple). La torsión se trata como sección hueca de pared delgada equivalente (§6.3.2), con el mismo ángulo de biela θ que el cortante. La armadura transversal combina cortante (repartido entre ramas) y torsión (cerco perimetral cerrado); la longitudinal de torsión se distribuye en el perímetro. No se incluyen: comprobación de fisuración (7.3), flechas (7.4), anclajes/solapes (8.4/8.7) ni armadura de compresión (ξ &gt; 0,45).</t>
  </si>
  <si>
    <t>BEMESSUNG EINES STAHLBETONBALKENS — BIEGUNG, QUERKRAFT UND TORSION</t>
  </si>
  <si>
    <t>DIN EN 1992-1-1:2011 (EC2) + DIN EN 1992-1-1/NA:2013 (Nationaler Anhang Deutschland) · Rechteckquerschnitt · Dimensionsloses μ–ξ–ω-Verfahren und äquivalenter Hohlkasten für Torsion (§6.3)</t>
  </si>
  <si>
    <t>1. EINGABEDATEN (blaue Zellen = editierbar)</t>
  </si>
  <si>
    <t>Anmerkung / Formel</t>
  </si>
  <si>
    <t>Bemessungswert des Biegemoments</t>
  </si>
  <si>
    <t>Bemessungswert des Torsionsmoments</t>
  </si>
  <si>
    <t>Querschnittsbreite</t>
  </si>
  <si>
    <t>Gesamthöhe des Querschnitts</t>
  </si>
  <si>
    <t>Anzahl der Längsstäbe (Zugzone)</t>
  </si>
  <si>
    <t>Durchmesser des Bügels</t>
  </si>
  <si>
    <t>Anzahl der Bügelschenkel (Querkraft)</t>
  </si>
  <si>
    <t>Abminderungsbeiwert Druckstrebe (Torsion)</t>
  </si>
  <si>
    <t>ν für Torsionsdruckstreben nach NA (≤ C50/60)</t>
  </si>
  <si>
    <t>f_ctm = 0,30·f_ck^(2/3) für ≤ C50/60</t>
  </si>
  <si>
    <t>Bemessungswert der Betonzugfestigkeit</t>
  </si>
  <si>
    <t>Grenzdehnung des Betons</t>
  </si>
  <si>
    <t>Bemessungswert der Fließdehnung des Stahls</t>
  </si>
  <si>
    <t>3. QUERSCHNITTSGEOMETRIE UND ÄQUIVALENTER HOHLKASTEN (Torsion)</t>
  </si>
  <si>
    <t>Randabstand bis zum Schwerpunkt der Bewehrung</t>
  </si>
  <si>
    <t>Statische Nutzhöhe</t>
  </si>
  <si>
    <t>Vorhandene Längszugbewehrung</t>
  </si>
  <si>
    <t>A_s,vorh</t>
  </si>
  <si>
    <t>A_s,vorh = n_l·π·Ø_l²/4</t>
  </si>
  <si>
    <t>Äußerer Umfang des Querschnitts</t>
  </si>
  <si>
    <t>Wirksame Wanddicke</t>
  </si>
  <si>
    <t>t_ef = A/u , aber ≥ 2·d₁ (Deckung bis Stabmitte)</t>
  </si>
  <si>
    <t>Von der Mittellinie umschlossene Fläche</t>
  </si>
  <si>
    <t>Umfang der Mittellinie</t>
  </si>
  <si>
    <t>Innerer Hebelarm (Querkraft/Torsion)</t>
  </si>
  <si>
    <t>4. BIEGEBEMESSUNG — LÄNGSBEWEHRUNG (μ–ξ–ω-Verfahren)</t>
  </si>
  <si>
    <t>Bezogenes Biegemoment</t>
  </si>
  <si>
    <t>Bild 6.1 (Spannungsblock λ=0,8)</t>
  </si>
  <si>
    <t>Grenzwert der Druckzonenhöhe (Duktilität)</t>
  </si>
  <si>
    <t>x/d ≤ 0,45 für ≤ C50/60 (ohne Umlagerung)</t>
  </si>
  <si>
    <t>Nachweis ξ ≤ ξ_lim (einfache Bewehrung)</t>
  </si>
  <si>
    <t>Innerer Hebelarm (Biegung)</t>
  </si>
  <si>
    <t>Erforderliche Biegebewehrung</t>
  </si>
  <si>
    <t>Mindestbiegebewehrung</t>
  </si>
  <si>
    <t>GEWÄHLTE BIEGEBEWEHRUNG</t>
  </si>
  <si>
    <t>max(A_s,Biegung ; A_s,min)</t>
  </si>
  <si>
    <t>5. QUERKRAFTBEMESSUNG (6.2 + Nationaler Anhang)</t>
  </si>
  <si>
    <t>Geometrischer Zugbewehrungsgrad (≤ 2 %)</t>
  </si>
  <si>
    <t>Mindestwert v_min</t>
  </si>
  <si>
    <t>Querkrafttragfähigkeit ohne Bewehrung</t>
  </si>
  <si>
    <t>Rechnerische Druckstrebenneigung (1,0–3,0)</t>
  </si>
  <si>
    <t>Verwendet den Wert aus Zeile 21, falls &gt; 0; sonst den automatischen</t>
  </si>
  <si>
    <t>Abminderungsbeiwert Druckstrebe (Querkraft)</t>
  </si>
  <si>
    <t>Maximale Querkrafttragfähigkeit (Druckstrebe)</t>
  </si>
  <si>
    <t>Nachweis V_Ed ≤ V_Rd,max</t>
  </si>
  <si>
    <t>Erforderliche Querkraftbewehrung</t>
  </si>
  <si>
    <t>a_sw = V_Ed / (z·f_yd·cotθ) — alle Schenkel</t>
  </si>
  <si>
    <t>a_sw,min = ρ_w,min·b_w (vertikale Bügel)</t>
  </si>
  <si>
    <t>GEWÄHLTE QUERKRAFTBEWEHRUNG</t>
  </si>
  <si>
    <t>6. TORSIONSBEMESSUNG (6.3 — äquivalenter Hohlkasten)</t>
  </si>
  <si>
    <t>Torsionsschubspannung</t>
  </si>
  <si>
    <t>Rissmoment der Torsion</t>
  </si>
  <si>
    <t>Ist Torsionsbewehrung erforderlich?</t>
  </si>
  <si>
    <t>Mindestbewehrung wenn T_Ed/T_Rd,c + V_Ed/V_Rd,c ≤ 1</t>
  </si>
  <si>
    <t>Maximales Torsionsmoment (Druckstrebe)</t>
  </si>
  <si>
    <t>Nachweis T_Ed ≤ T_Rd,max</t>
  </si>
  <si>
    <t>Torsionsbügelbewehrung (je Schenkel)</t>
  </si>
  <si>
    <t>a_sw,T = T_Ed / (2·A_k·f_yd·cotθ) — ein Schenkel des geschlossenen Bügels</t>
  </si>
  <si>
    <t>Längsbewehrung für Torsion (gesamt)</t>
  </si>
  <si>
    <t>A_sl = T_Ed·cotθ·u_k / (2·A_k·f_yd) — über den Umfang verteilt</t>
  </si>
  <si>
    <t>7. INTERAKTION QUERKRAFT + TORSION UND KOMBINIERTE BEWEHRUNG</t>
  </si>
  <si>
    <t>Interaktionsindex der Druckstreben (V+T)</t>
  </si>
  <si>
    <t>Nachweis der Druckstreben-Interaktion</t>
  </si>
  <si>
    <t>Fläche eines Bügelschenkels</t>
  </si>
  <si>
    <t>A_Schenkel</t>
  </si>
  <si>
    <t>A_Schenkel = π·Ø_w²/4</t>
  </si>
  <si>
    <t>Kombinierte Bügelbewehrung (äußerer Schenkel)</t>
  </si>
  <si>
    <t>a_sw,tot = a_sw,V/n_w + a_sw,T (Querkraft verteilt + Torsion)</t>
  </si>
  <si>
    <t>Erforderlicher Bügelabstand</t>
  </si>
  <si>
    <t>s = A_Schenkel·1000 / a_sw,tot</t>
  </si>
  <si>
    <t>Konstruktiv maximaler Bügelabstand</t>
  </si>
  <si>
    <t>s_max = min(0,75·d ; 300 ; u_k/8) — der Torsionsgrenzwert u_k/8 ist meist maßgebend</t>
  </si>
  <si>
    <t>GEWÄHLTER BÜGELABSTAND</t>
  </si>
  <si>
    <t>Torsionslängsbewehrung an der Unterseite</t>
  </si>
  <si>
    <t>A_sl,T,unten</t>
  </si>
  <si>
    <t>Anteil von A_sl,T proportional zur Breite (b−t_ef)/u_k</t>
  </si>
  <si>
    <t>GESAMTE UNTERE LÄNGSBEWEHRUNG</t>
  </si>
  <si>
    <t>A_s,unten</t>
  </si>
  <si>
    <t>A_s,unten = A_s,Biegung + A_sl,T,unten</t>
  </si>
  <si>
    <t>8. ZUSAMMENFASSUNG UND NACHWEISE</t>
  </si>
  <si>
    <t>Bemessungsschnittgrößen</t>
  </si>
  <si>
    <t>Querschnitt und Baustoffe</t>
  </si>
  <si>
    <t>Untere Längsbewehrung</t>
  </si>
  <si>
    <t>Bügel (Querkraft + Torsion)</t>
  </si>
  <si>
    <t>Torsionslängsbewehrung (gesamt)</t>
  </si>
  <si>
    <t>Biegung (ξ ≤ ξ_lim)</t>
  </si>
  <si>
    <t>Querkraft (V_Ed ≤ V_Rd,max)</t>
  </si>
  <si>
    <t>Torsion (T_Ed ≤ T_Rd,max)</t>
  </si>
  <si>
    <t>Druckstreben-Interaktion (V+T)</t>
  </si>
  <si>
    <t>Vorh. Längsbewehrung ≥ erforderlich</t>
  </si>
  <si>
    <t>Höchstbewehrung (≤ 0,04·A_c)</t>
  </si>
  <si>
    <t>9. NORMATIVE VERWEISE</t>
  </si>
  <si>
    <t>DIN EN 1992-1-1/NA:2013-04 — Nationaler Anhang Deutschland (γ_c, γ_s, α_cc, C_Rd,c, κ₁, cotθ, ν₁, ν_T, ρ_w,min)</t>
  </si>
  <si>
    <t>§ 6.1 und Bild 6.1 — einfache Biegung, Dehnungsbereiche; Grenze x/d ≤ 0,45</t>
  </si>
  <si>
    <t>§ 6.2.3(2)/(3) + NA Gl. (6.7aDE)/(6.9) — cotθ (1,0–3,0), V_Rd,max mit ν₁ = 0,75, A_sw/s</t>
  </si>
  <si>
    <t>§ 6.3.2 Gl. (6.26)–(6.31) — Torsion: äquivalenter Hohlkasten, T_Rd,max, T_Rd,c, Bewehrung</t>
  </si>
  <si>
    <t>§ 6.3.2(4) Gl. (6.29) — Interaktion Querkraft + Torsion: T_Ed/T_Rd,max + V_Ed/V_Rd,max ≤ 1</t>
  </si>
  <si>
    <t>§ 9.2.1.1 Gl. (9.1N) — Mindest- und Höchstbiegebewehrung (A_s,min ; A_s,max = 0,04·A_c)</t>
  </si>
  <si>
    <t>§ 9.2.2(5)/(6) + NA Gl. (9.5aDE) — ρ_w,min und maximaler Bügelabstand</t>
  </si>
  <si>
    <t>§ 9.2.3 — konstruktive Durchbildung der Torsionsbewehrung (s ≤ u_k/8, geschlossene Bügel)</t>
  </si>
  <si>
    <t>METHODISCHER HINWEIS: Die Biegung wird mit dem rechteckigen Spannungsblock (μ–ξ–ω, einfache Bewehrung) gelöst. Die Torsion wird als äquivalenter dünnwandiger Hohlkasten (§6.3.2) behandelt, mit demselben Druckstrebenwinkel θ wie bei der Querkraft. Die Bügelbewehrung kombiniert Querkraft (auf die Schenkel verteilt) und Torsion (geschlossener umlaufender Bügel); die Torsionslängsbewehrung wird über den Umfang verteilt. Nicht enthalten: Nachweis der Rissbildung (7.3), Verformungen (7.4), Verankerung/Übergreifung (8.4/8.7) sowie Druckbewehrung (ξ &gt; 0,45).</t>
  </si>
  <si>
    <t>ξ_lim</t>
  </si>
  <si>
    <t>Comprobación equivalente por tablas kd (método kd)</t>
  </si>
  <si>
    <t>Valor de tabla k_d</t>
  </si>
  <si>
    <t>k_d</t>
  </si>
  <si>
    <t>kd-Verfahren (Goris/Schneider)</t>
  </si>
  <si>
    <t>k_d = d[cm] / √(M_Eds/b[m]) — valor de entrada a la tabla</t>
  </si>
  <si>
    <t>Valor de tabla k_s (acero)</t>
  </si>
  <si>
    <t>kd-Verfahren</t>
  </si>
  <si>
    <t>k_s = 1000/(ζ·f_yd) — equivale a leer k_s en la tabla</t>
  </si>
  <si>
    <t>Coef. de brazo interno ζ = z/d</t>
  </si>
  <si>
    <t>ζ</t>
  </si>
  <si>
    <t>ζ = 1 − 0,4·ξ = z/d</t>
  </si>
  <si>
    <t>Bild 6.1</t>
  </si>
  <si>
    <t>ξ = x/d (mismo valor que la fila de flexión)</t>
  </si>
  <si>
    <t>Deformación del hormigón (borde comprimido)</t>
  </si>
  <si>
    <t>Tab. 3.1 / Bild 6.1</t>
  </si>
  <si>
    <t>ε_c2 = −min(3,5‰ ; 25·ξ/(1−ξ)); negativa = acortamiento</t>
  </si>
  <si>
    <t>Deformación del acero (tracción)</t>
  </si>
  <si>
    <t>ε_s1</t>
  </si>
  <si>
    <t>NA 3.2.7 (ε_ud = 25‰)</t>
  </si>
  <si>
    <t>ε_s1 = min(25‰ ; 3,5·(1−ξ)/ξ); pivote acero/hormigón</t>
  </si>
  <si>
    <t>Profundidad de la fibra neutra</t>
  </si>
  <si>
    <t>x = ξ·d</t>
  </si>
  <si>
    <t>Brazo mecánico interno</t>
  </si>
  <si>
    <t>z = ζ·d (= z_f de la fila de flexión)</t>
  </si>
  <si>
    <t>Armadura de flexión por tablas kd</t>
  </si>
  <si>
    <t>cm²</t>
  </si>
  <si>
    <t>A_s = k_s·M_Eds/(d/10) = M_Eds/(z·f_yd) — igual que la fila 49</t>
  </si>
  <si>
    <t>Gleichwertiger Nachweis nach kd-Tafeln (kd-Verfahren)</t>
  </si>
  <si>
    <t>Tafelwert k_d</t>
  </si>
  <si>
    <t>k_d = d[cm] / √(M_Eds/b[m]) — Eingangswert der Tafel</t>
  </si>
  <si>
    <t>Tafelwert k_s (Stahl)</t>
  </si>
  <si>
    <t>k_s = 1000/(ζ·f_yd) — entspricht dem Tafelwert k_s</t>
  </si>
  <si>
    <t>Innerer Hebelarmbeiwert ζ = z/d</t>
  </si>
  <si>
    <t>ξ = x/d (Wert aus der Biegezeile)</t>
  </si>
  <si>
    <t>Betonstauchung am gedrückten Rand</t>
  </si>
  <si>
    <t>ε_c2 = −min(3,5‰ ; 25·ξ/(1−ξ)); negativ = Stauchung</t>
  </si>
  <si>
    <t>Stahldehnung (Zug)</t>
  </si>
  <si>
    <t>ε_s1 = min(25‰ ; 3,5·(1−ξ)/ξ); Beton-/Stahlpivot</t>
  </si>
  <si>
    <t>Innerer Hebelarm</t>
  </si>
  <si>
    <t>z = ζ·d (= z_f aus der Biegezeile)</t>
  </si>
  <si>
    <t>Erf. Biegebewehrung nach kd-Tafeln</t>
  </si>
  <si>
    <t>A_s = k_s·M_Eds/(d/10) = M_Eds/(z·f_yd) — wie Zeile 49</t>
  </si>
  <si>
    <t>Contorno X</t>
  </si>
  <si>
    <t>Contorno Y</t>
  </si>
  <si>
    <t>Estribo X</t>
  </si>
  <si>
    <t>Estribo Y</t>
  </si>
  <si>
    <t>Barras inf X</t>
  </si>
  <si>
    <t>Barras inf Y</t>
  </si>
  <si>
    <t>Barras sup X</t>
  </si>
  <si>
    <t>Barras sup Y</t>
  </si>
  <si>
    <t>Ángulo</t>
  </si>
  <si>
    <t>Espiral X</t>
  </si>
  <si>
    <t>Espiral Y</t>
  </si>
  <si>
    <t>Barras X</t>
  </si>
  <si>
    <t>Barras Y</t>
  </si>
  <si>
    <t>d_s [mm]</t>
  </si>
  <si>
    <t>A_s [mm²]</t>
  </si>
  <si>
    <t>A_s [cm²]</t>
  </si>
  <si>
    <t>BARRAS DE ACERO / BETONSTAHL — B500B según DIN 488</t>
  </si>
  <si>
    <t>Acero B500B: f_yk = 500 N/mm² · f_yd = f_yk/1,15 = 435 N/mm² · E_s = 200 000 N/mm² · ρ = 7850 kg/m³</t>
  </si>
  <si>
    <t>1. Propiedades por barra / Eigenschaften je Stab</t>
  </si>
  <si>
    <t>Denominación / Bezeichnung</t>
  </si>
  <si>
    <t>Perímetro u_s [mm]</t>
  </si>
  <si>
    <t>Masa / Masse [kg/m]</t>
  </si>
  <si>
    <t>2. Área total A_s [cm²] para n barras / Gesamtquerschnitt für n Stäbe</t>
  </si>
  <si>
    <t>Ø  \  n barras</t>
  </si>
  <si>
    <t>3. Clases de hormigón / Betonfestigkeitsklassen (DIN EN 1992-1-1, Tab. 3.1)</t>
  </si>
  <si>
    <t>Clase / Klasse</t>
  </si>
  <si>
    <t>f_ck [N/mm²]</t>
  </si>
  <si>
    <t>f_ck,cube</t>
  </si>
  <si>
    <t>f_ctm [N/mm²]</t>
  </si>
  <si>
    <t>f_ctk;0,05</t>
  </si>
  <si>
    <t>E_cm [N/mm²]</t>
  </si>
  <si>
    <t>C12/15</t>
  </si>
  <si>
    <t>C16/20</t>
  </si>
  <si>
    <t>C20/25</t>
  </si>
  <si>
    <t>C25/30</t>
  </si>
  <si>
    <t>C30/37</t>
  </si>
  <si>
    <t>C35/45</t>
  </si>
  <si>
    <t>C40/50</t>
  </si>
  <si>
    <t>C45/55</t>
  </si>
  <si>
    <t>C50/60</t>
  </si>
  <si>
    <t>4. Acero de refuerzo / Betonstahlsorten (DIN 488)</t>
  </si>
  <si>
    <t>Tipo / Sorte</t>
  </si>
  <si>
    <t>f_yk [N/mm²]</t>
  </si>
  <si>
    <t>ε_ud [‰]</t>
  </si>
  <si>
    <t>(f_t/f_y)k</t>
  </si>
  <si>
    <t>Ductilidad / Duktilität</t>
  </si>
  <si>
    <t>B500A</t>
  </si>
  <si>
    <t>normal</t>
  </si>
  <si>
    <t>B500B</t>
  </si>
  <si>
    <t>alta / hoch</t>
  </si>
  <si>
    <t>B500C</t>
  </si>
  <si>
    <t>muy alta / sehr hoch</t>
  </si>
  <si>
    <t>5. Equivalencia con barras americanas / Vergleich mit US-Bewehrung (ASTM A615)</t>
  </si>
  <si>
    <t>US #</t>
  </si>
  <si>
    <t>Métrico No.</t>
  </si>
  <si>
    <t>d [in]</t>
  </si>
  <si>
    <t>d [mm]</t>
  </si>
  <si>
    <t>A [in²]</t>
  </si>
  <si>
    <t>A [mm²]</t>
  </si>
  <si>
    <t>A [cm²]</t>
  </si>
  <si>
    <t>Masa [kg/m]</t>
  </si>
  <si>
    <t>≈ Ø DIN</t>
  </si>
  <si>
    <t>#3</t>
  </si>
  <si>
    <t>No. 10</t>
  </si>
  <si>
    <t>Ø 10</t>
  </si>
  <si>
    <t>#4</t>
  </si>
  <si>
    <t>No. 13</t>
  </si>
  <si>
    <t>Ø 12</t>
  </si>
  <si>
    <t>#5</t>
  </si>
  <si>
    <t>No. 16</t>
  </si>
  <si>
    <t>Ø 16</t>
  </si>
  <si>
    <t>#6</t>
  </si>
  <si>
    <t>No. 19</t>
  </si>
  <si>
    <t>Ø 20</t>
  </si>
  <si>
    <t>#7</t>
  </si>
  <si>
    <t>No. 22</t>
  </si>
  <si>
    <t>Ø 20–22</t>
  </si>
  <si>
    <t>#8</t>
  </si>
  <si>
    <t>No. 25</t>
  </si>
  <si>
    <t>Ø 25</t>
  </si>
  <si>
    <t>#9</t>
  </si>
  <si>
    <t>No. 29</t>
  </si>
  <si>
    <t>Ø 28</t>
  </si>
  <si>
    <t>#10</t>
  </si>
  <si>
    <t>No. 32</t>
  </si>
  <si>
    <t>Ø 32</t>
  </si>
  <si>
    <t>#11</t>
  </si>
  <si>
    <t>No. 36</t>
  </si>
  <si>
    <t>Ø 32–36</t>
  </si>
  <si>
    <t>#14</t>
  </si>
  <si>
    <t>No. 43</t>
  </si>
  <si>
    <t>Ø 40</t>
  </si>
  <si>
    <t>#18</t>
  </si>
  <si>
    <t>No. 57</t>
  </si>
  <si>
    <t>&gt; Ø 40</t>
  </si>
  <si>
    <t>6. Longitudes de anclaje, gancho y solape — Eurocódigo 2 (DIN EN 1992-1-1, §8.4 / 8.7)</t>
  </si>
  <si>
    <t>Clase de hormigón (selector):</t>
  </si>
  <si>
    <t>f_ctd = 0,7·f_ctm/γc</t>
  </si>
  <si>
    <t>f_bd = 2,25·f_ctd (buena adher., Ø≤32)</t>
  </si>
  <si>
    <t>f_yd = f_yk/γs (B500, σ_sd = f_yd)</t>
  </si>
  <si>
    <t>Hipótesis: buena adherencia (η1=1,0); barra totalmente traccionada; solape &gt;50% → α6=1,5; η₂=(132−Ø)/100 si Ø&gt;32.</t>
  </si>
  <si>
    <t>Ø [mm]</t>
  </si>
  <si>
    <t>l_b,rqd [mm]</t>
  </si>
  <si>
    <t>l_bd recto [mm]</t>
  </si>
  <si>
    <t>l_bd gancho [mm]</t>
  </si>
  <si>
    <t>l_0 solape [mm]</t>
  </si>
  <si>
    <t>l_0/Ø</t>
  </si>
  <si>
    <t>7. Longitudes de desarrollo, gancho y solape — ACI 318-19</t>
  </si>
  <si>
    <t>f'c (de la clase seleccionada arriba)</t>
  </si>
  <si>
    <t>psi</t>
  </si>
  <si>
    <t>f_y (Grade 60 = 60000; B500 ≈ Grade 75)</t>
  </si>
  <si>
    <t>Hipótesis: λ=1 (peso normal); ψt=ψe=ψs=1; empalme Clase B = 1,3·l_d; gancho l_dh = 0,02·f_y/(λ√f'c)·d_b.</t>
  </si>
  <si>
    <t>d_b [in]</t>
  </si>
  <si>
    <t>Ø≈ [mm]</t>
  </si>
  <si>
    <t>l_d [mm]</t>
  </si>
  <si>
    <t>l_dh gancho [mm]</t>
  </si>
  <si>
    <t>l_0 Clase B [mm]</t>
  </si>
  <si>
    <t>DIN EN 1992-1-1:2025 (EC2) + DIN EN 1992-1-1/NA1:2025 · Sección rectangular · método μ-ξ-ω y cajón hueco equivalente para torsión (§8.3)</t>
  </si>
  <si>
    <t>Coef. de duración de carga k_tc</t>
  </si>
  <si>
    <t>k_tc</t>
  </si>
  <si>
    <t>§5.1.6(1)</t>
  </si>
  <si>
    <t>k_tc = 1,0 (carga ≥ 3 meses tras hormigonado) ó 0,85 (otros casos)</t>
  </si>
  <si>
    <t>Factor de reducción de biela (torsión) ν</t>
  </si>
  <si>
    <t>§8.3.4(3), Ec. (8.84)</t>
  </si>
  <si>
    <t>ν = 0,60 para cotθ = 1,0 (Anexo G para otros θ)</t>
  </si>
  <si>
    <t>§5.1.6(1), Ec. (5.3)/(5.4)</t>
  </si>
  <si>
    <t>f_cd = η_cc·k_tc·f_ck/γ_C ; η_cc=(40/f_ck)^⅓≤1,0 (f_ck,ref=40 MPa)</t>
  </si>
  <si>
    <t>Tab. 5.1</t>
  </si>
  <si>
    <t>f_ctd = k_tc·0,7·f_ctm/γ_C (f_ctk;0,05 = 0,7·f_ctm)</t>
  </si>
  <si>
    <t>§5.2.4, Bild 5.4</t>
  </si>
  <si>
    <t>Tab. 5.1 / §8.1.2</t>
  </si>
  <si>
    <t>§5.2.4</t>
  </si>
  <si>
    <t>5. DISEÑO A CORTANTE (EN 1992-1-1:2025 §8.2 — modelo de tensiones)</t>
  </si>
  <si>
    <t>Cuantía long. de tracción</t>
  </si>
  <si>
    <t>§8.2.2, Ec. (8.28)</t>
  </si>
  <si>
    <t>ρ_l = A_sl/(b_w·d)</t>
  </si>
  <si>
    <t>Parámetro de árido (rugosidad)</t>
  </si>
  <si>
    <t>d_dg</t>
  </si>
  <si>
    <t>§8.2.1(4)</t>
  </si>
  <si>
    <t>d_dg = 16 + D_low ≤ 40 mm (D_low = tamaño máx. de árido; aquí 16 mm)</t>
  </si>
  <si>
    <t>Coef. parcial de cortante</t>
  </si>
  <si>
    <t>γ_V</t>
  </si>
  <si>
    <t>NA1 Tab. NA.3 (NDP)</t>
  </si>
  <si>
    <t>γ_V = 1,4 (persistente/transitoria)</t>
  </si>
  <si>
    <t>Tensión tangencial de cálculo</t>
  </si>
  <si>
    <t>τ_Ed</t>
  </si>
  <si>
    <t>§8.2.1(3), Ec. (8.18)</t>
  </si>
  <si>
    <t>τ_Ed = V_Ed/(b_w·z) ; z = 0,9d</t>
  </si>
  <si>
    <t>Resistencia mínima a cortante</t>
  </si>
  <si>
    <t>τ_Rdc,min</t>
  </si>
  <si>
    <t>§8.2.1(4), Ec. (8.20)</t>
  </si>
  <si>
    <t>τ_Rdc,min = (11/γ_V)·√(f_ck/f_yd·d_dg/d)</t>
  </si>
  <si>
    <t>Resistencia a cortante sin armadura</t>
  </si>
  <si>
    <t>τ_Rd,c</t>
  </si>
  <si>
    <t>§8.2.2(2), Ec. (8.27)</t>
  </si>
  <si>
    <t>τ_Rd,c = (0,66/γ_V)(100ρ_l·f_ck·d_dg/d)^⅓ ≥ τ_Rdc,min</t>
  </si>
  <si>
    <t>§8.2.1(1)</t>
  </si>
  <si>
    <t>Además, en vigas con d &gt; 500 mm se exige armadura mínima (§12.3)</t>
  </si>
  <si>
    <t>Inclinación mínima de biela</t>
  </si>
  <si>
    <t>cot θ_min</t>
  </si>
  <si>
    <t>§8.2.3(4)</t>
  </si>
  <si>
    <t>cot θ_min = 2,5 (sin axil) ; 3,0 con compresión ≥ 3 MPa</t>
  </si>
  <si>
    <t>§8.2.3(4), Ec. (8.41)</t>
  </si>
  <si>
    <t>1 ≤ cot θ ≤ cot θ_min ; usa la fila 21 si &gt; 0</t>
  </si>
  <si>
    <t>Factor de reducción de biela</t>
  </si>
  <si>
    <t>ν</t>
  </si>
  <si>
    <t>§8.2.3(6)</t>
  </si>
  <si>
    <t>ν = 0,5 con cot θ según (4)</t>
  </si>
  <si>
    <t>Tensión máxima de biela</t>
  </si>
  <si>
    <t>τ_Rd,max</t>
  </si>
  <si>
    <t>§8.2.3(5), Ec. (8.44)</t>
  </si>
  <si>
    <t>τ_Rd,max = ν·f_cd/(cot θ + tan θ)</t>
  </si>
  <si>
    <t>Verificación τ_Ed ≤ τ_Rd,max</t>
  </si>
  <si>
    <t>§8.2.3(5)</t>
  </si>
  <si>
    <t>§8.2.3(5), Ec. (8.42)</t>
  </si>
  <si>
    <t>a_sw = τ_Ed·b_w/(f_ywd·cot θ) — total de ramas</t>
  </si>
  <si>
    <t>a_sw,min = ρ_w,min·b_w</t>
  </si>
  <si>
    <t>6. DISEÑO A TORSIÓN (EN 1992-1-1:2025 §8.3 — cajón hueco equivalente)</t>
  </si>
  <si>
    <t>τ_t,Ed</t>
  </si>
  <si>
    <t>§8.3.2(2)</t>
  </si>
  <si>
    <t>τ_t = T_Ed/(2·A_k·t_ef)</t>
  </si>
  <si>
    <t>T_cr</t>
  </si>
  <si>
    <t>§8.3 (≈ f_ctd)</t>
  </si>
  <si>
    <t>T_cr = 2·A_k·t_ef·f_ctd</t>
  </si>
  <si>
    <t>§8.3.1(1)</t>
  </si>
  <si>
    <t>Si T_Ed ≤ T_cr basta armadura mínima (§12.2/12.3)</t>
  </si>
  <si>
    <t>T_Rd,max = ν·f_cd/(cotθ+tanθ)·2·A_k·t_ef</t>
  </si>
  <si>
    <t>§8.3.4</t>
  </si>
  <si>
    <t>§8.3.4(2), Ec. (8.82)</t>
  </si>
  <si>
    <t>a_sw,T = τ_t·t_ef/(cotθ·f_ywd) — una rama del cerco</t>
  </si>
  <si>
    <t>§8.3.4(2), Ec. (8.83)</t>
  </si>
  <si>
    <t>A_sl = τ_t·t_ef·u_k·cotθ/f_yd — distribuida en el perímetro</t>
  </si>
  <si>
    <t>7. INTERACCIÓN CORTANTE + TORSIÓN Y ARMADO COMBINADO (§8.3.6)</t>
  </si>
  <si>
    <t>§8.3.6, Ec. (8.86)</t>
  </si>
  <si>
    <t>Σ(S_Ed/S_Rd) = T_Ed/T_Rd,max + τ_Ed/τ_Rd,max ≤ 1,0</t>
  </si>
  <si>
    <t>§8.3.6</t>
  </si>
  <si>
    <t>§8.3.4 / 8.2.3</t>
  </si>
  <si>
    <t>§8.3.4(2)</t>
  </si>
  <si>
    <t>§12.3 / 8.1</t>
  </si>
  <si>
    <t>§8.1 / §8.1.2</t>
  </si>
  <si>
    <t>§8.1.2, Bild 8.2 (bloque λ=0,8)</t>
  </si>
  <si>
    <t>§8.1 (ductilidad x/d)</t>
  </si>
  <si>
    <t>§8.1</t>
  </si>
  <si>
    <t>§12.3.1 (A_s,max)</t>
  </si>
  <si>
    <t>§8.1 / §12.2</t>
  </si>
  <si>
    <t>Bild 8.2</t>
  </si>
  <si>
    <t>§5.2.4 (ε_ud = 25‰)</t>
  </si>
  <si>
    <t>DIN EN 1992-1-1:2025-09 — Eurocode 2: Proyecto de estructuras de hormigón, Parte 1-1</t>
  </si>
  <si>
    <t>DIN EN 1992-1-1/NA1:2025-08 — Anexo Nacional Alemania (γ_C=1,5 ; γ_S=1,15 ; γ_V=1,4 ; k_tc ; ν)</t>
  </si>
  <si>
    <t>§ 5.1.6(1) Ec. (5.3)/(5.4) — f_cd = η_cc·k_tc·f_ck/γ_C ; η_cc = (40/f_ck)^⅓ ≤ 1,0</t>
  </si>
  <si>
    <t>§ 8.1.2 Bild 8.2 — parábola-rectángulo; bloque λ = 0,8 / η = 1,0 (f_ck ≤ 50 N/mm²)</t>
  </si>
  <si>
    <t>§ 8.1 — flexión con/sin axil; dominios de deformación (ε_cu = 3,5‰ ; ε_c2 = 2,0‰)</t>
  </si>
  <si>
    <t>§ 8.2.1/8.2.2 Ec. (8.18)/(8.20)/(8.27) — τ_Ed, τ_Rdc,min, τ_Rd,c con d_dg y γ_V</t>
  </si>
  <si>
    <t>§ 8.2.3 Ec. (8.41)/(8.42)/(8.44) — cotθ (1–2,5), τ_Rd,sy, τ_Rd,max con ν = 0,5</t>
  </si>
  <si>
    <t>§ 8.3.2/8.3.4 Ec. (8.80)–(8.84) — torsión: cajón hueco, τ_t,Rd,sw/sl/max, ν = 0,6</t>
  </si>
  <si>
    <t>§ 8.3.6 Ec. (8.86) — interacción lineal Σ(S_Ed/S_Rd) ≤ 1,0</t>
  </si>
  <si>
    <t>§ 11.4/11.5 — anclaje y solapes ; § 12.2/12.3 — cuantías mínimas y detalle de vigas ; DIN EN 1536:2015 (pilotes)</t>
  </si>
  <si>
    <t>5. QUERKRAFTBEMESSUNG (EN 1992-1-1:2025 §8.2 — Spannungsmodell)</t>
  </si>
  <si>
    <t>Längsbewehrungsgrad (Zug)</t>
  </si>
  <si>
    <t>§8.2.2, Gl. (8.28)</t>
  </si>
  <si>
    <t>Größenparameter der Gesteinskörnung</t>
  </si>
  <si>
    <t>d_dg = 16 + D_low ≤ 40 mm (D_low = Größtkorn, hier 16 mm)</t>
  </si>
  <si>
    <t>Teilsicherheitsbeiwert Querkraft</t>
  </si>
  <si>
    <t>γ_V = 1,4 (ständig/vorübergehend)</t>
  </si>
  <si>
    <t>Bemessungswert der Schubspannung</t>
  </si>
  <si>
    <t>§8.2.1(3), Gl. (8.18)</t>
  </si>
  <si>
    <t>Mindestschubspannungswiderstand</t>
  </si>
  <si>
    <t>§8.2.1(4), Gl. (8.20)</t>
  </si>
  <si>
    <t>Schubspannungswiderstand ohne Bewehrung</t>
  </si>
  <si>
    <t>§8.2.2(2), Gl. (8.27)</t>
  </si>
  <si>
    <t>zusätzlich bei d &gt; 500 mm Mindestbewehrung (§12.3)</t>
  </si>
  <si>
    <t>Mindestneigung des Druckfelds</t>
  </si>
  <si>
    <t>cot θ_min = 2,5 (ohne Normalkraft) ; 3,0 bei Druck ≥ 3 MPa</t>
  </si>
  <si>
    <t>Gewählte Druckfeldneigung</t>
  </si>
  <si>
    <t>§8.2.3(4), Gl. (8.41)</t>
  </si>
  <si>
    <t>1 ≤ cot θ ≤ cot θ_min ; Zeile 21 falls &gt; 0</t>
  </si>
  <si>
    <t>Abminderungsbeiwert Druckfeld</t>
  </si>
  <si>
    <t>ν = 0,5 mit cot θ nach (4)</t>
  </si>
  <si>
    <t>Maximale Schubspannung (Druckfeld)</t>
  </si>
  <si>
    <t>§8.2.3(5), Gl. (8.44)</t>
  </si>
  <si>
    <t>Nachweis τ_Ed ≤ τ_Rd,max</t>
  </si>
  <si>
    <t>§8.2.3(5), Gl. (8.42)</t>
  </si>
  <si>
    <t>a_sw = τ_Ed·b_w/(f_ywd·cot θ) — alle Schenkel</t>
  </si>
  <si>
    <t>§12.3</t>
  </si>
  <si>
    <t>6. TORSIONSBEMESSUNG (EN 1992-1-1:2025 §8.3 — äquivalenter Hohlkasten)</t>
  </si>
  <si>
    <t>Risstorsionsmoment</t>
  </si>
  <si>
    <t>Bei T_Ed ≤ T_cr genügt Mindestbewehrung (§12.2/12.3)</t>
  </si>
  <si>
    <t>Maximales Torsionsmoment (Druckfeld)</t>
  </si>
  <si>
    <t>§8.3.4(3), Gl. (8.84)</t>
  </si>
  <si>
    <t>§8.3.4(2), Gl. (8.82)</t>
  </si>
  <si>
    <t>a_sw,T = τ_t·t_ef/(cotθ·f_ywd) — ein Schenkel</t>
  </si>
  <si>
    <t>§8.3.4(2), Gl. (8.83)</t>
  </si>
  <si>
    <t>A_sl = τ_t·t_ef·u_k·cotθ/f_yd — über den Umfang verteilt</t>
  </si>
  <si>
    <t>7. INTERAKTION QUERKRAFT + TORSION UND KOMBINIERTE BEWEHRUNG (§8.3.6)</t>
  </si>
  <si>
    <t>§8.3.6, Gl. (8.86)</t>
  </si>
  <si>
    <t>DIN EN 1992-1-1:2025 (EC2) + DIN EN 1992-1-1/NA1:2025 · Rechteckquerschnitt · μ-ξ-ω-Verfahren und äquivalenter Hohlkasten für Torsion (§8.3)</t>
  </si>
  <si>
    <t>Beiwert Belastungsdauer k_tc</t>
  </si>
  <si>
    <t>k_tc = 1,0 (Last ≥ 3 Monate nach Betonage) oder 0,85</t>
  </si>
  <si>
    <t>Abminderungsbeiwert Druckstrebe (Torsion) ν</t>
  </si>
  <si>
    <t>ν = 0,60 für cotθ = 1,0 (Anhang G für andere θ)</t>
  </si>
  <si>
    <t>§5.1.6(1), Gl. (5.3)/(5.4)</t>
  </si>
  <si>
    <t>§8.1.2, Bild 8.2 (Block λ=0,8)</t>
  </si>
  <si>
    <t>§8.1 (Duktilität x/d)</t>
  </si>
  <si>
    <t>DIN EN 1992-1-1:2025-09 — Eurocode 2: Bemessung und Konstruktion von Stahlbetontragwerken, Teil 1-1</t>
  </si>
  <si>
    <t>DIN EN 1992-1-1/NA1:2025-08 — Nationaler Anhang Deutschland (γ_C=1,5 ; γ_S=1,15 ; γ_V=1,4 ; k_tc ; ν)</t>
  </si>
  <si>
    <t>§ 5.1.6(1) Gl. (5.3)/(5.4) — f_cd = η_cc·k_tc·f_ck/γ_C ; η_cc = (40/f_ck)^⅓ ≤ 1,0</t>
  </si>
  <si>
    <t>§ 8.1.2 Bild 8.2 — Parabel-Rechteck; Spannungsblock λ = 0,8 / η = 1,0 (f_ck ≤ 50 N/mm²)</t>
  </si>
  <si>
    <t>§ 8.1 — Biegung mit/ohne Normalkraft; Dehnungsbereiche (ε_cu = 3,5‰ ; ε_c2 = 2,0‰)</t>
  </si>
  <si>
    <t>§ 8.2.1/8.2.2 Gl. (8.18)/(8.20)/(8.27) — τ_Ed, τ_Rdc,min, τ_Rd,c mit d_dg und γ_V</t>
  </si>
  <si>
    <t>§ 8.2.3 Gl. (8.41)/(8.42)/(8.44) — cotθ (1–2,5), τ_Rd,sy, τ_Rd,max mit ν = 0,5</t>
  </si>
  <si>
    <t>§ 8.3.2/8.3.4 Gl. (8.80)–(8.84) — Torsion: Hohlkasten, τ_t,Rd,sw/sl/max, ν = 0,6</t>
  </si>
  <si>
    <t>§ 8.3.6 Gl. (8.86) — lineare Interaktion Σ(S_Ed/S_Rd) ≤ 1,0</t>
  </si>
  <si>
    <t>§ 11.4/11.5 — Verankerung und Stöße ; § 12.2/12.3 — Mindestbewehrung und Balkendurchbildung ; DIN EN 1536:2015 (Pfähle)</t>
  </si>
  <si>
    <t>DIN EN 1992-1-1:2025 (EC2) + DIN EN 1992-1-1/NA1:2025 · Sección circular de hormigón armado · Bemessung DIN EN 1536 (pilotes perforados)</t>
  </si>
  <si>
    <t>Tab. 5.1 (punto C, §8.1.2)</t>
  </si>
  <si>
    <t>7. VERIFICACIÓN A CORTANTE (EN 1992-1-1:2025 §8.2 — sección circular)</t>
  </si>
  <si>
    <t>§8.2.3(9)</t>
  </si>
  <si>
    <t>Circular: b_w = D (conservador; d según fila 38, DAfStb-Heft 600)</t>
  </si>
  <si>
    <t>d_dg = 16 + D_low ≤ 40 mm (árido; aquí 16 mm)</t>
  </si>
  <si>
    <t>Cuantía long. traccionada (medio anillo)</t>
  </si>
  <si>
    <t>ρ_l = A_sl/(b_w·d); medio anillo traccionado</t>
  </si>
  <si>
    <t>Tensión axial media (informativa)</t>
  </si>
  <si>
    <t>§8.2 (info)</t>
  </si>
  <si>
    <t>Compresión media; en 2025 el axil se aprovecha vía desplazamiento de d — aquí despreciado (conservador)</t>
  </si>
  <si>
    <t>§8.2.2</t>
  </si>
  <si>
    <t>V_Rd,c = τ_Rd,c·b_w·d</t>
  </si>
  <si>
    <t>cot θ_min = 2,5 (sin axil signif.) ; 3,0 con compresión ≥ 3 MPa y x &lt; 0,25d</t>
  </si>
  <si>
    <t>En 2025 no se usa el término V_Rd,cc (modelo de tensiones)</t>
  </si>
  <si>
    <t>Inclinación de biela calculada</t>
  </si>
  <si>
    <t>1 ≤ cot θ ≤ cot θ_min</t>
  </si>
  <si>
    <t>V_Rd,max = ν·f_cd·b_w·z/(cotθ + tanθ)</t>
  </si>
  <si>
    <t>§8.2.3</t>
  </si>
  <si>
    <t>§8.2.3 / §12.3</t>
  </si>
  <si>
    <t>DIN EN 1536, §7.5.2</t>
  </si>
  <si>
    <t>Parámetros vinculados a la hoja Pilote_2025</t>
  </si>
  <si>
    <t>§7.4.2</t>
  </si>
  <si>
    <t>§7.4.2 (λ)</t>
  </si>
  <si>
    <t>§7.4.2 (n)</t>
  </si>
  <si>
    <t>§7.4.2 (λ_lim)</t>
  </si>
  <si>
    <t>§7.2 (imperfecciones, θ_i=1/400)</t>
  </si>
  <si>
    <t>§7.4.3</t>
  </si>
  <si>
    <t>§7.4.3 (1/r)</t>
  </si>
  <si>
    <t>§7.4.3 (e_2)</t>
  </si>
  <si>
    <t>§8.1 (e_0,min)</t>
  </si>
  <si>
    <t>§7.4.3 + §8.1</t>
  </si>
  <si>
    <t>§8.1 / DAfStb-Heft 600</t>
  </si>
  <si>
    <t>§8.1.2 (bloque rectangular)</t>
  </si>
  <si>
    <t>Equilibrio §8.1 + §8.1.2</t>
  </si>
  <si>
    <t>Bild 8.2 (dominios de deformación)</t>
  </si>
  <si>
    <t>EN 1536 §7.5.2.2, Tab. 3</t>
  </si>
  <si>
    <t>§12.6 + NA1</t>
  </si>
  <si>
    <t>§12.6 / EN 1536</t>
  </si>
  <si>
    <t>EN 1536 §7.5.2 / §7.7</t>
  </si>
  <si>
    <t>DIN EN 1992-1-1/NA1:2025-08 — Nationaler Anhang Deutschland (γ_C, γ_S, γ_V, k_tc, ν, ρ_w,min, A_s,max)</t>
  </si>
  <si>
    <t>§ 4.3.3 / Tab. NA.3 — coeficientes parciales γ_C = 1,5 ; γ_S = 1,15 ; γ_V = 1,4</t>
  </si>
  <si>
    <t>§ 8.1.2 Bild 8.2 — distribución parábola-rectángulo (λ = 0,8 ; η = 1,0 para f_ck ≤ 50)</t>
  </si>
  <si>
    <t>§ 5.2.4 Bild 5.4 — diagrama del acero, f_yd = f_yk/γ_S ; ε_ud = 25 ‰</t>
  </si>
  <si>
    <t>§ 7.2 — imperfecciones geométricas, θ_i = 1/400 → e_i = l_0/400</t>
  </si>
  <si>
    <t>§ 7.4.2 — esbeltez y esbeltez límite λ_lim</t>
  </si>
  <si>
    <t>§ 7.4.3 — método de la curvatura nominal, e_2 = (1/r)·l_0²/c</t>
  </si>
  <si>
    <t>§ 8.1 y Bild 8.2 — flexión compuesta, dominios de deformación; excentricidad mínima</t>
  </si>
  <si>
    <t>§ 8.2.3 Ec. (8.41)/(8.44) — cotθ (1–2,5) y τ_Rd,max con ν = 0,5</t>
  </si>
  <si>
    <t>§ 8.2.3 Ec. (8.42) — A_sw/s = V_Ed/(z·f_ywd·cotθ)</t>
  </si>
  <si>
    <t>§ 12.3 + NA1 — ρ_w,min y separación máxima de la armadura transversal</t>
  </si>
  <si>
    <t>§ 12.6 + NA1 — A_s,min y A_s,max de soportes (0,09·A_c)</t>
  </si>
  <si>
    <t>EN 1536:2015 § 7.5.2.2/7.5.2.3 Tab. 3 — armadura mínima de pilotes: A_s,min y ≥ 4 barras Ø ≥ 12 mm</t>
  </si>
  <si>
    <t>DIN EN 1536:2015 § 7.5/7.7 — pilotes perforados: recubrimiento, diámetros y separaciones (tremie)</t>
  </si>
  <si>
    <t>DAfStb-Heft 600 — secciones circulares (b_w, d, diagramas de interacción)</t>
  </si>
  <si>
    <t>NOTA METODOLÓGICA: el refuerzo longitudinal se obtiene resolviendo el equilibrio de la sección circular con armadura uniformemente repartida en anillo (24 barras equivalentes) — hoja «Nomograma_2025». Equivale a leer los diagramas de interacción μ_Ed–ν_Ed–ω (§8.1). Simplificaciones: bloque rectangular también para x &gt; h y pivote C; no se consideran torsión, fisuración (§9.2) ni longitudes de anclaje/solape (§11.4/11.5). Basado en EN 1992-1-1:2025 + NA1:2025 y EN 1536:2015.</t>
  </si>
  <si>
    <t>DIAGRAMA ADIMENSIONAL μ–ν–ω PARA SECCIÓN CIRCULAR (EN 1992-1-1:2025) — vinculado a Pilote_2025</t>
  </si>
  <si>
    <t>Equilibrio de la sección según §8.1 y §8.1.2: bloque rectangular (λ=0,8 ; η=1,0 para f_ck≤50); dominios según Bild 8.2; diagrama del acero §5.2.4 (σ_s ≤ f_yd).</t>
  </si>
  <si>
    <t>Mit Blatt Pfahl_2025 verknüpfte Parameter</t>
  </si>
  <si>
    <t>DIN EN 1992-1-1:2025 (EC2) + DIN EN 1992-1-1/NA1:2025 · Kreisquerschnitt aus Stahlbeton · Bemessung DIN EN 1536 (Bohrpfähle)</t>
  </si>
  <si>
    <t>Tab. 5.1 (Punkt C, §8.1.2)</t>
  </si>
  <si>
    <t>§7.2 (Imperfektionen, θ_i=1/400)</t>
  </si>
  <si>
    <t>§8.1.2 (Spannungsblock)</t>
  </si>
  <si>
    <t>Gleichgewicht §8.1 + §8.1.2</t>
  </si>
  <si>
    <t>Bild 8.2 (Dehnungsbereiche)</t>
  </si>
  <si>
    <t>7. QUERKRAFTNACHWEIS (EN 1992-1-1:2025 §8.2 — Kreisquerschnitt)</t>
  </si>
  <si>
    <t>Kreis: b_w = D (konservativ; d nach Zeile 38, DAfStb-Heft 600)</t>
  </si>
  <si>
    <t>d_dg = 16 + D_low ≤ 40 mm (hier 16 mm)</t>
  </si>
  <si>
    <t>Längsbewehrungsgrad (halber Ring)</t>
  </si>
  <si>
    <t>ρ_l = A_sl/(b_w·d); gezogener Halbring</t>
  </si>
  <si>
    <t>γ_V = 1,4</t>
  </si>
  <si>
    <t>Mittlere Normalspannung (informativ)</t>
  </si>
  <si>
    <t>§8.2 (Info)</t>
  </si>
  <si>
    <t>Druck; 2025 günstig über d-Verschiebung — hier vernachlässigt (konservativ)</t>
  </si>
  <si>
    <t>Querkraftwiderstand ohne Bewehrung</t>
  </si>
  <si>
    <t>cot θ_min = 2,5 (ohne Normalkraft) ; 3,0 bei Druck ≥ 3 MPa und x &lt; 0,25d</t>
  </si>
  <si>
    <t>In 2025 kein Term V_Rd,cc (Spannungsmodell)</t>
  </si>
  <si>
    <t>Rechnerische Druckfeldneigung</t>
  </si>
  <si>
    <t>ν = 0,5</t>
  </si>
  <si>
    <t>Maximale Querkrafttragfähigkeit (Druckfeld)</t>
  </si>
  <si>
    <t>ρ_w,min·b_w</t>
  </si>
  <si>
    <t>Wendelfläche je Ganghöhe (2 Schenkel)</t>
  </si>
  <si>
    <t>Wendel: 2 Schenkel durchqueren den Schubriss</t>
  </si>
  <si>
    <t>Nachweis Ganghöhe s_w ≤ s_erf</t>
  </si>
  <si>
    <t>§ 4.3.3 / Tab. NA.3 — Teilsicherheitsbeiwerte γ_C = 1,5 ; γ_S = 1,15 ; γ_V = 1,4</t>
  </si>
  <si>
    <t>§ 8.1.2 Bild 8.2 — Parabel-Rechteck-Verteilung (λ = 0,8 ; η = 1,0 für f_ck ≤ 50)</t>
  </si>
  <si>
    <t>§ 5.2.4 Bild 5.4 — Stahlkennlinie, f_yd = f_yk/γ_S ; ε_ud = 25 ‰</t>
  </si>
  <si>
    <t>§ 7.2 — geometrische Imperfektionen, θ_i = 1/400 → e_i = l_0/400</t>
  </si>
  <si>
    <t>§ 7.4.2 — Schlankheit und Grenzschlankheit λ_lim</t>
  </si>
  <si>
    <t>§ 7.4.3 — Verfahren mit Nennkrümmung, e_2 = (1/r)·l_0²/c</t>
  </si>
  <si>
    <t>§ 8.1 und Bild 8.2 — Biegung mit Längskraft, Dehnungsbereiche; Mindestausmitte</t>
  </si>
  <si>
    <t>§ 8.2.3 Gl. (8.41)/(8.44) — cotθ (1–2,5) und τ_Rd,max mit ν = 0,5</t>
  </si>
  <si>
    <t>§ 8.2.3 Gl. (8.42) — A_sw/s = V_Ed/(z·f_ywd·cotθ)</t>
  </si>
  <si>
    <t>§ 12.3 + NA1 — ρ_w,min und maximaler Bügelabstand</t>
  </si>
  <si>
    <t>§ 12.6 + NA1 — A_s,min und A_s,max von Stützen (0,09·A_c)</t>
  </si>
  <si>
    <t>EN 1536:2015 § 7.5.2.2/7.5.2.3 Tab. 3 — Mindestlängsbewehrung von Pfählen: ≥ 4 Stäbe Ø ≥ 12 mm</t>
  </si>
  <si>
    <t>DIN EN 1536:2015 § 7.5/7.7 — Bohrpfähle: Betondeckung, Durchmesser und Abstände (Kontraktorrohr)</t>
  </si>
  <si>
    <t>DAfStb-Heft 600 — Kreisquerschnitte (b_w, d, Interaktionsdiagramme)</t>
  </si>
  <si>
    <t>METHODISCHER HINWEIS: Die Längsbewehrung wird durch Lösen des Gleichgewichts am Kreisquerschnitt mit gleichmäßig im Ring verteilter Bewehrung (24 äquivalente Stäbe) ermittelt — Blatt «Nomogramm_2025». Entspricht dem Ablesen der Interaktionsdiagramme μ_Ed–ν_Ed–ω (§8.1). Vereinfachungen: Rechteckblock auch für x &gt; h und Punkt C; Torsion, Rissbildung (§9.2) sowie Verankerungs-/Übergreifungslängen (§11.4/11.5) nicht berücksichtigt. Grundlage: EN 1992-1-1:2025 + NA1:2025 und EN 1536:2015.</t>
  </si>
  <si>
    <t>DIMENSIONSLOSES μ–ν–ω-DIAGRAMM FÜR KREISQUERSCHNITTE (EN 1992-1-1:2025) — verknüpft mit Pfahl_2025</t>
  </si>
  <si>
    <t>§12.2(4) + NA1</t>
  </si>
  <si>
    <t>ρ_w,min = 0,08·√f_ck/f_yk (Ec. 12.4). NA1:2025: clase C no aplica; +60% solo en secciones perfiladas (gegliederte) — no aplica a esta sección maciza.</t>
  </si>
  <si>
    <t>ρ_w,min = 0,08·√f_ck/f_yk (Gl. 12.4). NA1:2025: Duktilitätsklasse C nicht anwendbar; bei gegliederten Querschnitten +60% — hier (Vollquerschnitt) nicht maßgebend.</t>
  </si>
  <si>
    <t>ρ_w,min = 0,08·√f_ck/f_yk (Ec. 12.4). NA1:2025: clase C no aplica; +60% solo en secciones perfiladas — no aplica a esta sección circular maciza.</t>
  </si>
  <si>
    <t>ρ_w,min = 0,08·√f_ck/f_yk (Gl. 12.4). NA1:2025: Duktilitätsklasse C nicht anwendbar; bei gegliederten Querschnitten +60% — hier (Kreisvollquerschnitt) nicht maßgebend.</t>
  </si>
  <si>
    <t>§12.2(2), Ec. (12.1)</t>
  </si>
  <si>
    <t>A_s,min tal que M_R,min ≥ M_cr ; M_cr = f_ctm·b·h²/6 ; z ≈ 0,9d (sección rectangular)</t>
  </si>
  <si>
    <t>§12.2(2), Gl. (12.1)</t>
  </si>
  <si>
    <t>A_s,min so dass M_R,min ≥ M_cr ; M_cr = f_ctm·b·h²/6 ; z ≈ 0,9d (Rechteckquerschnitt)</t>
  </si>
  <si>
    <t>§12.3.1 Tab. 12.1 (5 y 10)</t>
  </si>
  <si>
    <t>s_max = min(0,75d·(1+cotα) ; u_k/8 ; min(b,h)) — cortante 0,75d, torsión u_k/8 (sin tope de 300 mm en 2025)</t>
  </si>
  <si>
    <t>§12.3.1 Tab. 12.1 (5 u. 10)</t>
  </si>
  <si>
    <t>s_max = min(0,75d·(1+cotα) ; u_k/8 ; min(b,h)) — Querkraft 0,75d, Torsion u_k/8 (kein 300-mm-Limit in 2025)</t>
  </si>
  <si>
    <t>§12.6 Tab. 12.3(1)</t>
  </si>
  <si>
    <t>A_s,min = max(0,10·|N_Ed|/f_yd ; 0,002·A_c)</t>
  </si>
  <si>
    <t>Verificación  n_l ≥ 6  y  Ø_l ≥ 12 mm (sección circular)</t>
  </si>
  <si>
    <t>§12.6 Tab. 12.3(2): círculo 6 barras ≤400 mm, Ø≥12. EN 1536 §7.5.2.3 admite 4Ø12 en pilotes perforados</t>
  </si>
  <si>
    <t>§12.6 Tab. 12.3(3)</t>
  </si>
  <si>
    <t>s_max = min(20·Ø_l ; D ; 300 mm) — zona central; 0,6·s_max en extremos y solapes</t>
  </si>
  <si>
    <t>Nachweis  n_l ≥ 6  und  Ø_l ≥ 12 mm (Kreisquerschnitt)</t>
  </si>
  <si>
    <t>§12.6 Tab. 12.3(2): Kreis 6 Stäbe ≤400 mm, Ø≥12. EN 1536 §7.5.2.3 erlaubt 4Ø12 bei Bohrpfählen</t>
  </si>
  <si>
    <t>s_max = min(20·Ø_l ; D ; 300 mm) — Zwischenbereich; 0,6·s_max an Enden und Stößen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</si>
</sst>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0000"/>
    <numFmt numFmtId="166" formatCode="0.0"/>
    <numFmt numFmtId="167" formatCode="0.000"/>
    <numFmt numFmtId="168" formatCode="0.0000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9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4"/>
      <color rgb="FF1F3864"/>
      <name val="Aptos Narrow"/>
      <family val="2"/>
      <scheme val="minor"/>
    </font>
    <font>
      <sz val="11"/>
      <color rgb="FF1F3864"/>
      <name val="Aptos Narrow"/>
      <family val="2"/>
      <scheme val="minor"/>
    </font>
    <font>
      <i/>
      <sz val="11"/>
      <color rgb="FF1F3864"/>
      <name val="Aptos Narrow"/>
      <family val="2"/>
      <scheme val="minor"/>
    </font>
    <font>
      <b/>
      <sz val="13"/>
      <color rgb="FF1F3864"/>
      <name val="Aptos Narrow"/>
      <family val="2"/>
      <scheme val="minor"/>
    </font>
    <font>
      <sz val="11"/>
      <color theme="1"/>
      <name val="Calibri"/>
    </font>
    <font>
      <b/>
      <sz val="14"/>
      <color rgb="FF1F3864"/>
      <name val="Calibri"/>
    </font>
    <font>
      <i/>
      <sz val="10"/>
      <color rgb="FF404040"/>
      <name val="Aptos Narrow"/>
      <family val="2"/>
      <scheme val="minor"/>
    </font>
    <font>
      <i/>
      <sz val="11"/>
      <color rgb="FF40404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9"/>
      <color rgb="FF0000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5" fillId="2" borderId="0" xfId="0" applyFont="1" applyFill="1"/>
    <xf numFmtId="0" fontId="1" fillId="3" borderId="0" xfId="0" applyFont="1" applyFill="1"/>
    <xf numFmtId="0" fontId="6" fillId="0" borderId="0" xfId="0" applyFont="1"/>
    <xf numFmtId="0" fontId="7" fillId="0" borderId="0" xfId="0" applyFont="1"/>
    <xf numFmtId="0" fontId="1" fillId="5" borderId="0" xfId="0" applyFont="1" applyFill="1"/>
    <xf numFmtId="0" fontId="0" fillId="5" borderId="0" xfId="0" applyFill="1"/>
    <xf numFmtId="0" fontId="8" fillId="5" borderId="0" xfId="0" applyFont="1" applyFill="1"/>
    <xf numFmtId="0" fontId="11" fillId="0" borderId="0" xfId="0" applyFont="1"/>
    <xf numFmtId="0" fontId="12" fillId="2" borderId="0" xfId="0" applyFont="1" applyFill="1"/>
    <xf numFmtId="0" fontId="11" fillId="5" borderId="0" xfId="0" applyFont="1" applyFill="1"/>
    <xf numFmtId="3" fontId="6" fillId="4" borderId="0" xfId="0" applyNumberFormat="1" applyFont="1" applyFill="1"/>
    <xf numFmtId="2" fontId="6" fillId="4" borderId="0" xfId="0" applyNumberFormat="1" applyFont="1" applyFill="1"/>
    <xf numFmtId="164" fontId="0" fillId="0" borderId="0" xfId="0" applyNumberFormat="1"/>
    <xf numFmtId="3" fontId="6" fillId="0" borderId="0" xfId="0" applyNumberFormat="1" applyFont="1"/>
    <xf numFmtId="165" fontId="0" fillId="0" borderId="0" xfId="0" applyNumberFormat="1"/>
    <xf numFmtId="166" fontId="6" fillId="0" borderId="0" xfId="0" applyNumberFormat="1" applyFont="1"/>
    <xf numFmtId="3" fontId="0" fillId="0" borderId="0" xfId="0" applyNumberFormat="1"/>
    <xf numFmtId="167" fontId="0" fillId="0" borderId="0" xfId="0" applyNumberFormat="1"/>
    <xf numFmtId="166" fontId="0" fillId="0" borderId="0" xfId="0" applyNumberFormat="1"/>
    <xf numFmtId="11" fontId="0" fillId="0" borderId="0" xfId="0" applyNumberFormat="1"/>
    <xf numFmtId="168" fontId="0" fillId="0" borderId="0" xfId="0" applyNumberFormat="1"/>
    <xf numFmtId="168" fontId="7" fillId="0" borderId="0" xfId="0" applyNumberFormat="1" applyFont="1"/>
    <xf numFmtId="3" fontId="7" fillId="0" borderId="0" xfId="0" applyNumberFormat="1" applyFont="1"/>
    <xf numFmtId="3" fontId="1" fillId="5" borderId="0" xfId="0" applyNumberFormat="1" applyFont="1" applyFill="1"/>
    <xf numFmtId="2" fontId="0" fillId="0" borderId="0" xfId="0" applyNumberFormat="1"/>
    <xf numFmtId="167" fontId="6" fillId="0" borderId="0" xfId="0" applyNumberFormat="1" applyFont="1"/>
    <xf numFmtId="2" fontId="6" fillId="0" borderId="0" xfId="0" applyNumberFormat="1" applyFont="1"/>
    <xf numFmtId="168" fontId="1" fillId="5" borderId="0" xfId="0" applyNumberFormat="1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2" borderId="0" xfId="0" applyFont="1" applyFill="1" applyAlignment="1">
      <alignment wrapText="1"/>
    </xf>
    <xf numFmtId="164" fontId="7" fillId="0" borderId="0" xfId="0" applyNumberFormat="1" applyFont="1"/>
    <xf numFmtId="165" fontId="7" fillId="0" borderId="0" xfId="0" applyNumberFormat="1" applyFont="1"/>
    <xf numFmtId="168" fontId="8" fillId="5" borderId="0" xfId="0" applyNumberFormat="1" applyFont="1" applyFill="1"/>
    <xf numFmtId="49" fontId="9" fillId="0" borderId="0" xfId="0" applyNumberFormat="1" applyFont="1" applyAlignment="1">
      <alignment horizontal="left"/>
    </xf>
    <xf numFmtId="49" fontId="10" fillId="2" borderId="0" xfId="0" applyNumberFormat="1" applyFont="1" applyFill="1" applyAlignment="1">
      <alignment horizontal="left"/>
    </xf>
    <xf numFmtId="49" fontId="9" fillId="5" borderId="0" xfId="0" applyNumberFormat="1" applyFont="1" applyFill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3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2" fontId="6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3" fontId="1" fillId="5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" fontId="1" fillId="5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20" fillId="0" borderId="0" xfId="0" applyFont="1"/>
    <xf numFmtId="167" fontId="21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2" fontId="21" fillId="5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9" fillId="0" borderId="0" xfId="0" applyFont="1"/>
    <xf numFmtId="0" fontId="6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1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22" fillId="2" borderId="0" xfId="0" applyFont="1" applyFill="1" applyAlignment="1">
      <alignment horizontal="center"/>
    </xf>
    <xf numFmtId="0" fontId="9" fillId="0" borderId="0" xfId="0" applyFont="1"/>
    <xf numFmtId="0" fontId="0" fillId="0" borderId="0" xfId="0"/>
    <xf numFmtId="0" fontId="1" fillId="3" borderId="0" xfId="0" applyFont="1" applyFill="1"/>
    <xf numFmtId="0" fontId="1" fillId="3" borderId="1" xfId="0" applyFont="1" applyFill="1" applyBorder="1" applyAlignment="1">
      <alignment horizontal="center"/>
    </xf>
    <xf numFmtId="0" fontId="6" fillId="0" borderId="1" xfId="0" applyFont="1" applyBorder="1"/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6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3" fontId="7" fillId="4" borderId="0" xfId="0" applyNumberFormat="1" applyFont="1" applyFill="1"/>
    <xf numFmtId="0" fontId="6" fillId="0" borderId="0" xfId="0" applyFont="1" applyFill="1" applyBorder="1"/>
    <xf numFmtId="0" fontId="23" fillId="3" borderId="0" xfId="0" applyFont="1" applyFill="1" applyBorder="1"/>
    <xf numFmtId="0" fontId="6" fillId="0" borderId="0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/>
    <xf numFmtId="0" fontId="24" fillId="0" borderId="0" xfId="0" applyFont="1" applyFill="1" applyBorder="1" applyAlignment="1">
      <alignment horizontal="center"/>
    </xf>
    <xf numFmtId="0" fontId="23" fillId="4" borderId="0" xfId="0" applyFont="1" applyFill="1" applyAlignment="1">
      <alignment horizontal="center"/>
    </xf>
    <xf numFmtId="3" fontId="23" fillId="4" borderId="0" xfId="0" applyNumberFormat="1" applyFont="1" applyFill="1"/>
  </cellXfs>
  <cellStyles count="1">
    <cellStyle name="Normal" xfId="0" builtinId="0"/>
  </cellStyles>
  <dxfs count="200"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Querschnitt — Bewehrungsanordnung 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Umriss</c:v>
          </c:tx>
          <c:spPr>
            <a:ln w="25400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Balken_DIN!$R$3:$R$7</c:f>
              <c:numCache>
                <c:formatCode>General</c:formatCode>
                <c:ptCount val="5"/>
                <c:pt idx="0">
                  <c:v>0</c:v>
                </c:pt>
                <c:pt idx="1">
                  <c:v>3420</c:v>
                </c:pt>
                <c:pt idx="2">
                  <c:v>3420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Balken_DIN!$S$3:$S$7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600</c:v>
                </c:pt>
                <c:pt idx="3">
                  <c:v>600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0C-4D7B-B3AE-02FFB4D87901}"/>
            </c:ext>
          </c:extLst>
        </c:ser>
        <c:ser>
          <c:idx val="1"/>
          <c:order val="1"/>
          <c:tx>
            <c:v>Bügel</c:v>
          </c:tx>
          <c:spPr>
            <a:ln w="158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Balken_DIN!$T$3:$T$7</c:f>
              <c:numCache>
                <c:formatCode>General</c:formatCode>
                <c:ptCount val="5"/>
                <c:pt idx="0">
                  <c:v>35</c:v>
                </c:pt>
                <c:pt idx="1">
                  <c:v>3385</c:v>
                </c:pt>
                <c:pt idx="2">
                  <c:v>3385</c:v>
                </c:pt>
                <c:pt idx="3">
                  <c:v>35</c:v>
                </c:pt>
                <c:pt idx="4">
                  <c:v>35</c:v>
                </c:pt>
              </c:numCache>
            </c:numRef>
          </c:xVal>
          <c:yVal>
            <c:numRef>
              <c:f>Balken_DIN!$U$3:$U$7</c:f>
              <c:numCache>
                <c:formatCode>General</c:formatCode>
                <c:ptCount val="5"/>
                <c:pt idx="0">
                  <c:v>35</c:v>
                </c:pt>
                <c:pt idx="1">
                  <c:v>35</c:v>
                </c:pt>
                <c:pt idx="2">
                  <c:v>565</c:v>
                </c:pt>
                <c:pt idx="3">
                  <c:v>565</c:v>
                </c:pt>
                <c:pt idx="4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0C-4D7B-B3AE-02FFB4D87901}"/>
            </c:ext>
          </c:extLst>
        </c:ser>
        <c:ser>
          <c:idx val="2"/>
          <c:order val="2"/>
          <c:tx>
            <c:v>Bewehrung unten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Balken_DIN!$V$3:$V$14</c:f>
              <c:numCache>
                <c:formatCode>General</c:formatCode>
                <c:ptCount val="12"/>
                <c:pt idx="0">
                  <c:v>55</c:v>
                </c:pt>
                <c:pt idx="1">
                  <c:v>606.66666666666663</c:v>
                </c:pt>
                <c:pt idx="2">
                  <c:v>1158.3333333333333</c:v>
                </c:pt>
                <c:pt idx="3">
                  <c:v>1710</c:v>
                </c:pt>
                <c:pt idx="4">
                  <c:v>2261.6666666666665</c:v>
                </c:pt>
                <c:pt idx="5">
                  <c:v>2813.3333333333335</c:v>
                </c:pt>
                <c:pt idx="6">
                  <c:v>3365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xVal>
          <c:yVal>
            <c:numRef>
              <c:f>Balken_DIN!$W$3:$W$14</c:f>
              <c:numCache>
                <c:formatCode>General</c:formatCode>
                <c:ptCount val="12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0C-4D7B-B3AE-02FFB4D87901}"/>
            </c:ext>
          </c:extLst>
        </c:ser>
        <c:ser>
          <c:idx val="3"/>
          <c:order val="3"/>
          <c:tx>
            <c:v>Bewehrung oben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80808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Balken_DIN!$X$3:$X$4</c:f>
              <c:numCache>
                <c:formatCode>0</c:formatCode>
                <c:ptCount val="2"/>
                <c:pt idx="0" formatCode="General">
                  <c:v>55</c:v>
                </c:pt>
                <c:pt idx="1">
                  <c:v>3365</c:v>
                </c:pt>
              </c:numCache>
            </c:numRef>
          </c:xVal>
          <c:yVal>
            <c:numRef>
              <c:f>Balken_DIN!$Y$3:$Y$4</c:f>
              <c:numCache>
                <c:formatCode>0</c:formatCode>
                <c:ptCount val="2"/>
                <c:pt idx="0">
                  <c:v>545</c:v>
                </c:pt>
                <c:pt idx="1">
                  <c:v>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0C-4D7B-B3AE-02FFB4D87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944288"/>
        <c:axId val="1908455600"/>
      </c:scatterChart>
      <c:valAx>
        <c:axId val="118094428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455600"/>
        <c:crosses val="autoZero"/>
        <c:crossBetween val="midCat"/>
      </c:valAx>
      <c:valAx>
        <c:axId val="1908455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4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Querschnitt — Bewehrungsanordnung 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Umriss</c:v>
          </c:tx>
          <c:spPr>
            <a:ln w="25400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Balken_2025!$R$3:$R$7</c:f>
              <c:numCache>
                <c:formatCode>General</c:formatCode>
                <c:ptCount val="5"/>
                <c:pt idx="0">
                  <c:v>0</c:v>
                </c:pt>
                <c:pt idx="1">
                  <c:v>3420</c:v>
                </c:pt>
                <c:pt idx="2">
                  <c:v>3420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Balken_2025!$S$3:$S$7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600</c:v>
                </c:pt>
                <c:pt idx="3">
                  <c:v>600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6C-49FE-A314-0ADC68801309}"/>
            </c:ext>
          </c:extLst>
        </c:ser>
        <c:ser>
          <c:idx val="1"/>
          <c:order val="1"/>
          <c:tx>
            <c:v>Bügel</c:v>
          </c:tx>
          <c:spPr>
            <a:ln w="158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Balken_2025!$T$3:$T$7</c:f>
              <c:numCache>
                <c:formatCode>General</c:formatCode>
                <c:ptCount val="5"/>
                <c:pt idx="0">
                  <c:v>35</c:v>
                </c:pt>
                <c:pt idx="1">
                  <c:v>3385</c:v>
                </c:pt>
                <c:pt idx="2">
                  <c:v>3385</c:v>
                </c:pt>
                <c:pt idx="3">
                  <c:v>35</c:v>
                </c:pt>
                <c:pt idx="4">
                  <c:v>35</c:v>
                </c:pt>
              </c:numCache>
            </c:numRef>
          </c:xVal>
          <c:yVal>
            <c:numRef>
              <c:f>Balken_2025!$U$3:$U$7</c:f>
              <c:numCache>
                <c:formatCode>General</c:formatCode>
                <c:ptCount val="5"/>
                <c:pt idx="0">
                  <c:v>35</c:v>
                </c:pt>
                <c:pt idx="1">
                  <c:v>35</c:v>
                </c:pt>
                <c:pt idx="2">
                  <c:v>565</c:v>
                </c:pt>
                <c:pt idx="3">
                  <c:v>565</c:v>
                </c:pt>
                <c:pt idx="4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6C-49FE-A314-0ADC68801309}"/>
            </c:ext>
          </c:extLst>
        </c:ser>
        <c:ser>
          <c:idx val="2"/>
          <c:order val="2"/>
          <c:tx>
            <c:v>Bewehrung unten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Balken_2025!$V$3:$V$14</c:f>
              <c:numCache>
                <c:formatCode>General</c:formatCode>
                <c:ptCount val="12"/>
                <c:pt idx="0">
                  <c:v>57</c:v>
                </c:pt>
                <c:pt idx="1">
                  <c:v>424.33333333333331</c:v>
                </c:pt>
                <c:pt idx="2">
                  <c:v>791.66666666666663</c:v>
                </c:pt>
                <c:pt idx="3">
                  <c:v>1159</c:v>
                </c:pt>
                <c:pt idx="4">
                  <c:v>1526.3333333333333</c:v>
                </c:pt>
                <c:pt idx="5">
                  <c:v>1893.6666666666667</c:v>
                </c:pt>
                <c:pt idx="6">
                  <c:v>2261</c:v>
                </c:pt>
                <c:pt idx="7">
                  <c:v>2628.3333333333335</c:v>
                </c:pt>
                <c:pt idx="8">
                  <c:v>2995.6666666666665</c:v>
                </c:pt>
                <c:pt idx="9">
                  <c:v>3363</c:v>
                </c:pt>
                <c:pt idx="10">
                  <c:v>#N/A</c:v>
                </c:pt>
                <c:pt idx="11">
                  <c:v>#N/A</c:v>
                </c:pt>
              </c:numCache>
            </c:numRef>
          </c:xVal>
          <c:yVal>
            <c:numRef>
              <c:f>Balken_2025!$W$3:$W$14</c:f>
              <c:numCache>
                <c:formatCode>General</c:formatCode>
                <c:ptCount val="12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6C-49FE-A314-0ADC68801309}"/>
            </c:ext>
          </c:extLst>
        </c:ser>
        <c:ser>
          <c:idx val="3"/>
          <c:order val="3"/>
          <c:tx>
            <c:v>Bewehrung oben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80808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Balken_2025!$X$3:$X$4</c:f>
              <c:numCache>
                <c:formatCode>0</c:formatCode>
                <c:ptCount val="2"/>
                <c:pt idx="0" formatCode="General">
                  <c:v>57</c:v>
                </c:pt>
                <c:pt idx="1">
                  <c:v>3363</c:v>
                </c:pt>
              </c:numCache>
            </c:numRef>
          </c:xVal>
          <c:yVal>
            <c:numRef>
              <c:f>Balken_2025!$Y$3:$Y$4</c:f>
              <c:numCache>
                <c:formatCode>0</c:formatCode>
                <c:ptCount val="2"/>
                <c:pt idx="0">
                  <c:v>543</c:v>
                </c:pt>
                <c:pt idx="1">
                  <c:v>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6C-49FE-A314-0ADC68801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944288"/>
        <c:axId val="1908455600"/>
      </c:scatterChart>
      <c:valAx>
        <c:axId val="118094428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455600"/>
        <c:crosses val="autoZero"/>
        <c:crossBetween val="midCat"/>
      </c:valAx>
      <c:valAx>
        <c:axId val="1908455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4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Pfahlquerschnitt — Bewehrungsanordnung 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Umriss</c:v>
          </c:tx>
          <c:spPr>
            <a:ln w="28575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Pfahl_DIN!$R$3:$R$39</c:f>
              <c:numCache>
                <c:formatCode>General</c:formatCode>
                <c:ptCount val="37"/>
                <c:pt idx="0">
                  <c:v>600</c:v>
                </c:pt>
                <c:pt idx="1">
                  <c:v>595.44232590366232</c:v>
                </c:pt>
                <c:pt idx="2">
                  <c:v>581.90778623577251</c:v>
                </c:pt>
                <c:pt idx="3">
                  <c:v>559.8076211353316</c:v>
                </c:pt>
                <c:pt idx="4">
                  <c:v>529.81333293569344</c:v>
                </c:pt>
                <c:pt idx="5">
                  <c:v>492.83628290596181</c:v>
                </c:pt>
                <c:pt idx="6">
                  <c:v>450</c:v>
                </c:pt>
                <c:pt idx="7">
                  <c:v>402.60604299770063</c:v>
                </c:pt>
                <c:pt idx="8">
                  <c:v>352.09445330007912</c:v>
                </c:pt>
                <c:pt idx="9">
                  <c:v>300</c:v>
                </c:pt>
                <c:pt idx="10">
                  <c:v>247.9055466999209</c:v>
                </c:pt>
                <c:pt idx="11">
                  <c:v>197.39395700229937</c:v>
                </c:pt>
                <c:pt idx="12">
                  <c:v>150.00000000000006</c:v>
                </c:pt>
                <c:pt idx="13">
                  <c:v>107.16371709403819</c:v>
                </c:pt>
                <c:pt idx="14">
                  <c:v>70.186667064306619</c:v>
                </c:pt>
                <c:pt idx="15">
                  <c:v>40.192378864668399</c:v>
                </c:pt>
                <c:pt idx="16">
                  <c:v>18.092213764227495</c:v>
                </c:pt>
                <c:pt idx="17">
                  <c:v>4.557674096337621</c:v>
                </c:pt>
                <c:pt idx="18">
                  <c:v>0</c:v>
                </c:pt>
                <c:pt idx="19">
                  <c:v>4.557674096337621</c:v>
                </c:pt>
                <c:pt idx="20">
                  <c:v>18.092213764227495</c:v>
                </c:pt>
                <c:pt idx="21">
                  <c:v>40.192378864668399</c:v>
                </c:pt>
                <c:pt idx="22">
                  <c:v>70.18666706430659</c:v>
                </c:pt>
                <c:pt idx="23">
                  <c:v>107.16371709403816</c:v>
                </c:pt>
                <c:pt idx="24">
                  <c:v>149.99999999999986</c:v>
                </c:pt>
                <c:pt idx="25">
                  <c:v>197.39395700229943</c:v>
                </c:pt>
                <c:pt idx="26">
                  <c:v>247.9055466999209</c:v>
                </c:pt>
                <c:pt idx="27">
                  <c:v>299.99999999999994</c:v>
                </c:pt>
                <c:pt idx="28">
                  <c:v>352.09445330007901</c:v>
                </c:pt>
                <c:pt idx="29">
                  <c:v>402.60604299770068</c:v>
                </c:pt>
                <c:pt idx="30">
                  <c:v>450</c:v>
                </c:pt>
                <c:pt idx="31">
                  <c:v>492.83628290596175</c:v>
                </c:pt>
                <c:pt idx="32">
                  <c:v>529.81333293569332</c:v>
                </c:pt>
                <c:pt idx="33">
                  <c:v>559.80762113533149</c:v>
                </c:pt>
                <c:pt idx="34">
                  <c:v>581.90778623577251</c:v>
                </c:pt>
                <c:pt idx="35">
                  <c:v>595.44232590366232</c:v>
                </c:pt>
                <c:pt idx="36">
                  <c:v>600</c:v>
                </c:pt>
              </c:numCache>
            </c:numRef>
          </c:xVal>
          <c:yVal>
            <c:numRef>
              <c:f>Pfahl_DIN!$S$3:$S$39</c:f>
              <c:numCache>
                <c:formatCode>General</c:formatCode>
                <c:ptCount val="37"/>
                <c:pt idx="0">
                  <c:v>300</c:v>
                </c:pt>
                <c:pt idx="1">
                  <c:v>352.09445330007912</c:v>
                </c:pt>
                <c:pt idx="2">
                  <c:v>402.60604299770063</c:v>
                </c:pt>
                <c:pt idx="3">
                  <c:v>450</c:v>
                </c:pt>
                <c:pt idx="4">
                  <c:v>492.83628290596175</c:v>
                </c:pt>
                <c:pt idx="5">
                  <c:v>529.81333293569344</c:v>
                </c:pt>
                <c:pt idx="6">
                  <c:v>559.8076211353316</c:v>
                </c:pt>
                <c:pt idx="7">
                  <c:v>581.90778623577251</c:v>
                </c:pt>
                <c:pt idx="8">
                  <c:v>595.44232590366232</c:v>
                </c:pt>
                <c:pt idx="9">
                  <c:v>600</c:v>
                </c:pt>
                <c:pt idx="10">
                  <c:v>595.44232590366232</c:v>
                </c:pt>
                <c:pt idx="11">
                  <c:v>581.90778623577251</c:v>
                </c:pt>
                <c:pt idx="12">
                  <c:v>559.8076211353316</c:v>
                </c:pt>
                <c:pt idx="13">
                  <c:v>529.81333293569344</c:v>
                </c:pt>
                <c:pt idx="14">
                  <c:v>492.83628290596187</c:v>
                </c:pt>
                <c:pt idx="15">
                  <c:v>450</c:v>
                </c:pt>
                <c:pt idx="16">
                  <c:v>402.60604299770068</c:v>
                </c:pt>
                <c:pt idx="17">
                  <c:v>352.09445330007907</c:v>
                </c:pt>
                <c:pt idx="18">
                  <c:v>300.00000000000006</c:v>
                </c:pt>
                <c:pt idx="19">
                  <c:v>247.90554669992088</c:v>
                </c:pt>
                <c:pt idx="20">
                  <c:v>197.3939570022994</c:v>
                </c:pt>
                <c:pt idx="21">
                  <c:v>149.99999999999997</c:v>
                </c:pt>
                <c:pt idx="22">
                  <c:v>107.16371709403822</c:v>
                </c:pt>
                <c:pt idx="23">
                  <c:v>70.186667064306619</c:v>
                </c:pt>
                <c:pt idx="24">
                  <c:v>40.192378864668513</c:v>
                </c:pt>
                <c:pt idx="25">
                  <c:v>18.092213764227495</c:v>
                </c:pt>
                <c:pt idx="26">
                  <c:v>4.557674096337621</c:v>
                </c:pt>
                <c:pt idx="27">
                  <c:v>0</c:v>
                </c:pt>
                <c:pt idx="28">
                  <c:v>4.5576740963375642</c:v>
                </c:pt>
                <c:pt idx="29">
                  <c:v>18.092213764227495</c:v>
                </c:pt>
                <c:pt idx="30">
                  <c:v>40.192378864668399</c:v>
                </c:pt>
                <c:pt idx="31">
                  <c:v>70.186667064306562</c:v>
                </c:pt>
                <c:pt idx="32">
                  <c:v>107.16371709403813</c:v>
                </c:pt>
                <c:pt idx="33">
                  <c:v>149.99999999999986</c:v>
                </c:pt>
                <c:pt idx="34">
                  <c:v>197.39395700229943</c:v>
                </c:pt>
                <c:pt idx="35">
                  <c:v>247.90554669992088</c:v>
                </c:pt>
                <c:pt idx="36">
                  <c:v>299.99999999999994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53-4DB0-9C2E-100A7046D267}"/>
            </c:ext>
          </c:extLst>
        </c:ser>
        <c:ser>
          <c:idx val="1"/>
          <c:order val="1"/>
          <c:tx>
            <c:v>Wendel</c:v>
          </c:tx>
          <c:spPr>
            <a:ln w="158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Pfahl_DIN!$T$3:$T$39</c:f>
              <c:numCache>
                <c:formatCode>General</c:formatCode>
                <c:ptCount val="37"/>
                <c:pt idx="0">
                  <c:v>550</c:v>
                </c:pt>
                <c:pt idx="1">
                  <c:v>546.20193825305205</c:v>
                </c:pt>
                <c:pt idx="2">
                  <c:v>534.92315519647707</c:v>
                </c:pt>
                <c:pt idx="3">
                  <c:v>516.50635094610971</c:v>
                </c:pt>
                <c:pt idx="4">
                  <c:v>491.51111077974451</c:v>
                </c:pt>
                <c:pt idx="5">
                  <c:v>460.69690242163483</c:v>
                </c:pt>
                <c:pt idx="6">
                  <c:v>425</c:v>
                </c:pt>
                <c:pt idx="7">
                  <c:v>385.50503583141722</c:v>
                </c:pt>
                <c:pt idx="8">
                  <c:v>343.41204441673261</c:v>
                </c:pt>
                <c:pt idx="9">
                  <c:v>300</c:v>
                </c:pt>
                <c:pt idx="10">
                  <c:v>256.58795558326744</c:v>
                </c:pt>
                <c:pt idx="11">
                  <c:v>214.49496416858284</c:v>
                </c:pt>
                <c:pt idx="12">
                  <c:v>175.00000000000006</c:v>
                </c:pt>
                <c:pt idx="13">
                  <c:v>139.30309757836517</c:v>
                </c:pt>
                <c:pt idx="14">
                  <c:v>108.48888922025552</c:v>
                </c:pt>
                <c:pt idx="15">
                  <c:v>83.493649053890323</c:v>
                </c:pt>
                <c:pt idx="16">
                  <c:v>65.076844803522931</c:v>
                </c:pt>
                <c:pt idx="17">
                  <c:v>53.798061746948008</c:v>
                </c:pt>
                <c:pt idx="18">
                  <c:v>50</c:v>
                </c:pt>
                <c:pt idx="19">
                  <c:v>53.798061746948008</c:v>
                </c:pt>
                <c:pt idx="20">
                  <c:v>65.076844803522903</c:v>
                </c:pt>
                <c:pt idx="21">
                  <c:v>83.493649053890351</c:v>
                </c:pt>
                <c:pt idx="22">
                  <c:v>108.48888922025549</c:v>
                </c:pt>
                <c:pt idx="23">
                  <c:v>139.30309757836514</c:v>
                </c:pt>
                <c:pt idx="24">
                  <c:v>174.99999999999989</c:v>
                </c:pt>
                <c:pt idx="25">
                  <c:v>214.49496416858287</c:v>
                </c:pt>
                <c:pt idx="26">
                  <c:v>256.58795558326744</c:v>
                </c:pt>
                <c:pt idx="27">
                  <c:v>299.99999999999994</c:v>
                </c:pt>
                <c:pt idx="28">
                  <c:v>343.4120444167325</c:v>
                </c:pt>
                <c:pt idx="29">
                  <c:v>385.50503583141722</c:v>
                </c:pt>
                <c:pt idx="30">
                  <c:v>425</c:v>
                </c:pt>
                <c:pt idx="31">
                  <c:v>460.69690242163483</c:v>
                </c:pt>
                <c:pt idx="32">
                  <c:v>491.51111077974446</c:v>
                </c:pt>
                <c:pt idx="33">
                  <c:v>516.50635094610959</c:v>
                </c:pt>
                <c:pt idx="34">
                  <c:v>534.92315519647707</c:v>
                </c:pt>
                <c:pt idx="35">
                  <c:v>546.20193825305205</c:v>
                </c:pt>
                <c:pt idx="36">
                  <c:v>550</c:v>
                </c:pt>
              </c:numCache>
            </c:numRef>
          </c:xVal>
          <c:yVal>
            <c:numRef>
              <c:f>Pfahl_DIN!$U$3:$U$39</c:f>
              <c:numCache>
                <c:formatCode>General</c:formatCode>
                <c:ptCount val="37"/>
                <c:pt idx="0">
                  <c:v>300</c:v>
                </c:pt>
                <c:pt idx="1">
                  <c:v>343.41204441673256</c:v>
                </c:pt>
                <c:pt idx="2">
                  <c:v>385.50503583141716</c:v>
                </c:pt>
                <c:pt idx="3">
                  <c:v>425</c:v>
                </c:pt>
                <c:pt idx="4">
                  <c:v>460.69690242163483</c:v>
                </c:pt>
                <c:pt idx="5">
                  <c:v>491.51111077974451</c:v>
                </c:pt>
                <c:pt idx="6">
                  <c:v>516.50635094610971</c:v>
                </c:pt>
                <c:pt idx="7">
                  <c:v>534.92315519647707</c:v>
                </c:pt>
                <c:pt idx="8">
                  <c:v>546.20193825305205</c:v>
                </c:pt>
                <c:pt idx="9">
                  <c:v>550</c:v>
                </c:pt>
                <c:pt idx="10">
                  <c:v>546.20193825305205</c:v>
                </c:pt>
                <c:pt idx="11">
                  <c:v>534.92315519647707</c:v>
                </c:pt>
                <c:pt idx="12">
                  <c:v>516.50635094610971</c:v>
                </c:pt>
                <c:pt idx="13">
                  <c:v>491.51111077974451</c:v>
                </c:pt>
                <c:pt idx="14">
                  <c:v>460.69690242163483</c:v>
                </c:pt>
                <c:pt idx="15">
                  <c:v>425</c:v>
                </c:pt>
                <c:pt idx="16">
                  <c:v>385.50503583141722</c:v>
                </c:pt>
                <c:pt idx="17">
                  <c:v>343.41204441673256</c:v>
                </c:pt>
                <c:pt idx="18">
                  <c:v>300.00000000000006</c:v>
                </c:pt>
                <c:pt idx="19">
                  <c:v>256.58795558326739</c:v>
                </c:pt>
                <c:pt idx="20">
                  <c:v>214.49496416858284</c:v>
                </c:pt>
                <c:pt idx="21">
                  <c:v>174.99999999999997</c:v>
                </c:pt>
                <c:pt idx="22">
                  <c:v>139.3030975783652</c:v>
                </c:pt>
                <c:pt idx="23">
                  <c:v>108.48888922025552</c:v>
                </c:pt>
                <c:pt idx="24">
                  <c:v>83.493649053890408</c:v>
                </c:pt>
                <c:pt idx="25">
                  <c:v>65.076844803522903</c:v>
                </c:pt>
                <c:pt idx="26">
                  <c:v>53.798061746948008</c:v>
                </c:pt>
                <c:pt idx="27">
                  <c:v>50</c:v>
                </c:pt>
                <c:pt idx="28">
                  <c:v>53.79806174694798</c:v>
                </c:pt>
                <c:pt idx="29">
                  <c:v>65.076844803522931</c:v>
                </c:pt>
                <c:pt idx="30">
                  <c:v>83.493649053890351</c:v>
                </c:pt>
                <c:pt idx="31">
                  <c:v>108.48888922025546</c:v>
                </c:pt>
                <c:pt idx="32">
                  <c:v>139.30309757836511</c:v>
                </c:pt>
                <c:pt idx="33">
                  <c:v>174.99999999999989</c:v>
                </c:pt>
                <c:pt idx="34">
                  <c:v>214.49496416858284</c:v>
                </c:pt>
                <c:pt idx="35">
                  <c:v>256.58795558326739</c:v>
                </c:pt>
                <c:pt idx="36">
                  <c:v>299.99999999999994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53-4DB0-9C2E-100A7046D267}"/>
            </c:ext>
          </c:extLst>
        </c:ser>
        <c:ser>
          <c:idx val="2"/>
          <c:order val="2"/>
          <c:tx>
            <c:v>Bewehrung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Pfahl_DIN!$V$3:$V$26</c:f>
              <c:numCache>
                <c:formatCode>General</c:formatCode>
                <c:ptCount val="24"/>
                <c:pt idx="0">
                  <c:v>530</c:v>
                </c:pt>
                <c:pt idx="1">
                  <c:v>462.63455967290594</c:v>
                </c:pt>
                <c:pt idx="2">
                  <c:v>300</c:v>
                </c:pt>
                <c:pt idx="3">
                  <c:v>137.36544032709409</c:v>
                </c:pt>
                <c:pt idx="4">
                  <c:v>70</c:v>
                </c:pt>
                <c:pt idx="5">
                  <c:v>137.36544032709403</c:v>
                </c:pt>
                <c:pt idx="6">
                  <c:v>299.99999999999994</c:v>
                </c:pt>
                <c:pt idx="7">
                  <c:v>462.63455967290588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xVal>
          <c:yVal>
            <c:numRef>
              <c:f>Pfahl_DIN!$W$3:$W$26</c:f>
              <c:numCache>
                <c:formatCode>General</c:formatCode>
                <c:ptCount val="24"/>
                <c:pt idx="0">
                  <c:v>300</c:v>
                </c:pt>
                <c:pt idx="1">
                  <c:v>462.63455967290588</c:v>
                </c:pt>
                <c:pt idx="2">
                  <c:v>530</c:v>
                </c:pt>
                <c:pt idx="3">
                  <c:v>462.63455967290594</c:v>
                </c:pt>
                <c:pt idx="4">
                  <c:v>300</c:v>
                </c:pt>
                <c:pt idx="5">
                  <c:v>137.36544032709409</c:v>
                </c:pt>
                <c:pt idx="6">
                  <c:v>70</c:v>
                </c:pt>
                <c:pt idx="7">
                  <c:v>137.36544032709403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53-4DB0-9C2E-100A7046D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940240"/>
        <c:axId val="1908532400"/>
      </c:scatterChart>
      <c:valAx>
        <c:axId val="1177940240"/>
        <c:scaling>
          <c:orientation val="minMax"/>
          <c:max val="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532400"/>
        <c:crosses val="autoZero"/>
        <c:crossBetween val="midCat"/>
      </c:valAx>
      <c:valAx>
        <c:axId val="1908532400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94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Pfahlquerschnitt — Bewehrungsanordnung 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Umriss</c:v>
          </c:tx>
          <c:spPr>
            <a:ln w="28575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Pfahl_2025!$R$3:$R$39</c:f>
              <c:numCache>
                <c:formatCode>General</c:formatCode>
                <c:ptCount val="37"/>
                <c:pt idx="0">
                  <c:v>600</c:v>
                </c:pt>
                <c:pt idx="1">
                  <c:v>595.44232590366232</c:v>
                </c:pt>
                <c:pt idx="2">
                  <c:v>581.90778623577251</c:v>
                </c:pt>
                <c:pt idx="3">
                  <c:v>559.8076211353316</c:v>
                </c:pt>
                <c:pt idx="4">
                  <c:v>529.81333293569344</c:v>
                </c:pt>
                <c:pt idx="5">
                  <c:v>492.83628290596181</c:v>
                </c:pt>
                <c:pt idx="6">
                  <c:v>450</c:v>
                </c:pt>
                <c:pt idx="7">
                  <c:v>402.60604299770063</c:v>
                </c:pt>
                <c:pt idx="8">
                  <c:v>352.09445330007912</c:v>
                </c:pt>
                <c:pt idx="9">
                  <c:v>300</c:v>
                </c:pt>
                <c:pt idx="10">
                  <c:v>247.9055466999209</c:v>
                </c:pt>
                <c:pt idx="11">
                  <c:v>197.39395700229937</c:v>
                </c:pt>
                <c:pt idx="12">
                  <c:v>150.00000000000006</c:v>
                </c:pt>
                <c:pt idx="13">
                  <c:v>107.16371709403819</c:v>
                </c:pt>
                <c:pt idx="14">
                  <c:v>70.186667064306619</c:v>
                </c:pt>
                <c:pt idx="15">
                  <c:v>40.192378864668399</c:v>
                </c:pt>
                <c:pt idx="16">
                  <c:v>18.092213764227495</c:v>
                </c:pt>
                <c:pt idx="17">
                  <c:v>4.557674096337621</c:v>
                </c:pt>
                <c:pt idx="18">
                  <c:v>0</c:v>
                </c:pt>
                <c:pt idx="19">
                  <c:v>4.557674096337621</c:v>
                </c:pt>
                <c:pt idx="20">
                  <c:v>18.092213764227495</c:v>
                </c:pt>
                <c:pt idx="21">
                  <c:v>40.192378864668399</c:v>
                </c:pt>
                <c:pt idx="22">
                  <c:v>70.18666706430659</c:v>
                </c:pt>
                <c:pt idx="23">
                  <c:v>107.16371709403816</c:v>
                </c:pt>
                <c:pt idx="24">
                  <c:v>149.99999999999986</c:v>
                </c:pt>
                <c:pt idx="25">
                  <c:v>197.39395700229943</c:v>
                </c:pt>
                <c:pt idx="26">
                  <c:v>247.9055466999209</c:v>
                </c:pt>
                <c:pt idx="27">
                  <c:v>299.99999999999994</c:v>
                </c:pt>
                <c:pt idx="28">
                  <c:v>352.09445330007901</c:v>
                </c:pt>
                <c:pt idx="29">
                  <c:v>402.60604299770068</c:v>
                </c:pt>
                <c:pt idx="30">
                  <c:v>450</c:v>
                </c:pt>
                <c:pt idx="31">
                  <c:v>492.83628290596175</c:v>
                </c:pt>
                <c:pt idx="32">
                  <c:v>529.81333293569332</c:v>
                </c:pt>
                <c:pt idx="33">
                  <c:v>559.80762113533149</c:v>
                </c:pt>
                <c:pt idx="34">
                  <c:v>581.90778623577251</c:v>
                </c:pt>
                <c:pt idx="35">
                  <c:v>595.44232590366232</c:v>
                </c:pt>
                <c:pt idx="36">
                  <c:v>600</c:v>
                </c:pt>
              </c:numCache>
            </c:numRef>
          </c:xVal>
          <c:yVal>
            <c:numRef>
              <c:f>Pfahl_2025!$S$3:$S$39</c:f>
              <c:numCache>
                <c:formatCode>General</c:formatCode>
                <c:ptCount val="37"/>
                <c:pt idx="0">
                  <c:v>300</c:v>
                </c:pt>
                <c:pt idx="1">
                  <c:v>352.09445330007912</c:v>
                </c:pt>
                <c:pt idx="2">
                  <c:v>402.60604299770063</c:v>
                </c:pt>
                <c:pt idx="3">
                  <c:v>450</c:v>
                </c:pt>
                <c:pt idx="4">
                  <c:v>492.83628290596175</c:v>
                </c:pt>
                <c:pt idx="5">
                  <c:v>529.81333293569344</c:v>
                </c:pt>
                <c:pt idx="6">
                  <c:v>559.8076211353316</c:v>
                </c:pt>
                <c:pt idx="7">
                  <c:v>581.90778623577251</c:v>
                </c:pt>
                <c:pt idx="8">
                  <c:v>595.44232590366232</c:v>
                </c:pt>
                <c:pt idx="9">
                  <c:v>600</c:v>
                </c:pt>
                <c:pt idx="10">
                  <c:v>595.44232590366232</c:v>
                </c:pt>
                <c:pt idx="11">
                  <c:v>581.90778623577251</c:v>
                </c:pt>
                <c:pt idx="12">
                  <c:v>559.8076211353316</c:v>
                </c:pt>
                <c:pt idx="13">
                  <c:v>529.81333293569344</c:v>
                </c:pt>
                <c:pt idx="14">
                  <c:v>492.83628290596187</c:v>
                </c:pt>
                <c:pt idx="15">
                  <c:v>450</c:v>
                </c:pt>
                <c:pt idx="16">
                  <c:v>402.60604299770068</c:v>
                </c:pt>
                <c:pt idx="17">
                  <c:v>352.09445330007907</c:v>
                </c:pt>
                <c:pt idx="18">
                  <c:v>300.00000000000006</c:v>
                </c:pt>
                <c:pt idx="19">
                  <c:v>247.90554669992088</c:v>
                </c:pt>
                <c:pt idx="20">
                  <c:v>197.3939570022994</c:v>
                </c:pt>
                <c:pt idx="21">
                  <c:v>149.99999999999997</c:v>
                </c:pt>
                <c:pt idx="22">
                  <c:v>107.16371709403822</c:v>
                </c:pt>
                <c:pt idx="23">
                  <c:v>70.186667064306619</c:v>
                </c:pt>
                <c:pt idx="24">
                  <c:v>40.192378864668513</c:v>
                </c:pt>
                <c:pt idx="25">
                  <c:v>18.092213764227495</c:v>
                </c:pt>
                <c:pt idx="26">
                  <c:v>4.557674096337621</c:v>
                </c:pt>
                <c:pt idx="27">
                  <c:v>0</c:v>
                </c:pt>
                <c:pt idx="28">
                  <c:v>4.5576740963375642</c:v>
                </c:pt>
                <c:pt idx="29">
                  <c:v>18.092213764227495</c:v>
                </c:pt>
                <c:pt idx="30">
                  <c:v>40.192378864668399</c:v>
                </c:pt>
                <c:pt idx="31">
                  <c:v>70.186667064306562</c:v>
                </c:pt>
                <c:pt idx="32">
                  <c:v>107.16371709403813</c:v>
                </c:pt>
                <c:pt idx="33">
                  <c:v>149.99999999999986</c:v>
                </c:pt>
                <c:pt idx="34">
                  <c:v>197.39395700229943</c:v>
                </c:pt>
                <c:pt idx="35">
                  <c:v>247.90554669992088</c:v>
                </c:pt>
                <c:pt idx="36">
                  <c:v>299.99999999999994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3-4586-BD40-EED4535E17DA}"/>
            </c:ext>
          </c:extLst>
        </c:ser>
        <c:ser>
          <c:idx val="1"/>
          <c:order val="1"/>
          <c:tx>
            <c:v>Wendel</c:v>
          </c:tx>
          <c:spPr>
            <a:ln w="158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Pfahl_2025!$T$3:$T$39</c:f>
              <c:numCache>
                <c:formatCode>General</c:formatCode>
                <c:ptCount val="37"/>
                <c:pt idx="0">
                  <c:v>550</c:v>
                </c:pt>
                <c:pt idx="1">
                  <c:v>546.20193825305205</c:v>
                </c:pt>
                <c:pt idx="2">
                  <c:v>534.92315519647707</c:v>
                </c:pt>
                <c:pt idx="3">
                  <c:v>516.50635094610971</c:v>
                </c:pt>
                <c:pt idx="4">
                  <c:v>491.51111077974451</c:v>
                </c:pt>
                <c:pt idx="5">
                  <c:v>460.69690242163483</c:v>
                </c:pt>
                <c:pt idx="6">
                  <c:v>425</c:v>
                </c:pt>
                <c:pt idx="7">
                  <c:v>385.50503583141722</c:v>
                </c:pt>
                <c:pt idx="8">
                  <c:v>343.41204441673261</c:v>
                </c:pt>
                <c:pt idx="9">
                  <c:v>300</c:v>
                </c:pt>
                <c:pt idx="10">
                  <c:v>256.58795558326744</c:v>
                </c:pt>
                <c:pt idx="11">
                  <c:v>214.49496416858284</c:v>
                </c:pt>
                <c:pt idx="12">
                  <c:v>175.00000000000006</c:v>
                </c:pt>
                <c:pt idx="13">
                  <c:v>139.30309757836517</c:v>
                </c:pt>
                <c:pt idx="14">
                  <c:v>108.48888922025552</c:v>
                </c:pt>
                <c:pt idx="15">
                  <c:v>83.493649053890323</c:v>
                </c:pt>
                <c:pt idx="16">
                  <c:v>65.076844803522931</c:v>
                </c:pt>
                <c:pt idx="17">
                  <c:v>53.798061746948008</c:v>
                </c:pt>
                <c:pt idx="18">
                  <c:v>50</c:v>
                </c:pt>
                <c:pt idx="19">
                  <c:v>53.798061746948008</c:v>
                </c:pt>
                <c:pt idx="20">
                  <c:v>65.076844803522903</c:v>
                </c:pt>
                <c:pt idx="21">
                  <c:v>83.493649053890351</c:v>
                </c:pt>
                <c:pt idx="22">
                  <c:v>108.48888922025549</c:v>
                </c:pt>
                <c:pt idx="23">
                  <c:v>139.30309757836514</c:v>
                </c:pt>
                <c:pt idx="24">
                  <c:v>174.99999999999989</c:v>
                </c:pt>
                <c:pt idx="25">
                  <c:v>214.49496416858287</c:v>
                </c:pt>
                <c:pt idx="26">
                  <c:v>256.58795558326744</c:v>
                </c:pt>
                <c:pt idx="27">
                  <c:v>299.99999999999994</c:v>
                </c:pt>
                <c:pt idx="28">
                  <c:v>343.4120444167325</c:v>
                </c:pt>
                <c:pt idx="29">
                  <c:v>385.50503583141722</c:v>
                </c:pt>
                <c:pt idx="30">
                  <c:v>425</c:v>
                </c:pt>
                <c:pt idx="31">
                  <c:v>460.69690242163483</c:v>
                </c:pt>
                <c:pt idx="32">
                  <c:v>491.51111077974446</c:v>
                </c:pt>
                <c:pt idx="33">
                  <c:v>516.50635094610959</c:v>
                </c:pt>
                <c:pt idx="34">
                  <c:v>534.92315519647707</c:v>
                </c:pt>
                <c:pt idx="35">
                  <c:v>546.20193825305205</c:v>
                </c:pt>
                <c:pt idx="36">
                  <c:v>550</c:v>
                </c:pt>
              </c:numCache>
            </c:numRef>
          </c:xVal>
          <c:yVal>
            <c:numRef>
              <c:f>Pfahl_2025!$U$3:$U$39</c:f>
              <c:numCache>
                <c:formatCode>General</c:formatCode>
                <c:ptCount val="37"/>
                <c:pt idx="0">
                  <c:v>300</c:v>
                </c:pt>
                <c:pt idx="1">
                  <c:v>343.41204441673256</c:v>
                </c:pt>
                <c:pt idx="2">
                  <c:v>385.50503583141716</c:v>
                </c:pt>
                <c:pt idx="3">
                  <c:v>425</c:v>
                </c:pt>
                <c:pt idx="4">
                  <c:v>460.69690242163483</c:v>
                </c:pt>
                <c:pt idx="5">
                  <c:v>491.51111077974451</c:v>
                </c:pt>
                <c:pt idx="6">
                  <c:v>516.50635094610971</c:v>
                </c:pt>
                <c:pt idx="7">
                  <c:v>534.92315519647707</c:v>
                </c:pt>
                <c:pt idx="8">
                  <c:v>546.20193825305205</c:v>
                </c:pt>
                <c:pt idx="9">
                  <c:v>550</c:v>
                </c:pt>
                <c:pt idx="10">
                  <c:v>546.20193825305205</c:v>
                </c:pt>
                <c:pt idx="11">
                  <c:v>534.92315519647707</c:v>
                </c:pt>
                <c:pt idx="12">
                  <c:v>516.50635094610971</c:v>
                </c:pt>
                <c:pt idx="13">
                  <c:v>491.51111077974451</c:v>
                </c:pt>
                <c:pt idx="14">
                  <c:v>460.69690242163483</c:v>
                </c:pt>
                <c:pt idx="15">
                  <c:v>425</c:v>
                </c:pt>
                <c:pt idx="16">
                  <c:v>385.50503583141722</c:v>
                </c:pt>
                <c:pt idx="17">
                  <c:v>343.41204441673256</c:v>
                </c:pt>
                <c:pt idx="18">
                  <c:v>300.00000000000006</c:v>
                </c:pt>
                <c:pt idx="19">
                  <c:v>256.58795558326739</c:v>
                </c:pt>
                <c:pt idx="20">
                  <c:v>214.49496416858284</c:v>
                </c:pt>
                <c:pt idx="21">
                  <c:v>174.99999999999997</c:v>
                </c:pt>
                <c:pt idx="22">
                  <c:v>139.3030975783652</c:v>
                </c:pt>
                <c:pt idx="23">
                  <c:v>108.48888922025552</c:v>
                </c:pt>
                <c:pt idx="24">
                  <c:v>83.493649053890408</c:v>
                </c:pt>
                <c:pt idx="25">
                  <c:v>65.076844803522903</c:v>
                </c:pt>
                <c:pt idx="26">
                  <c:v>53.798061746948008</c:v>
                </c:pt>
                <c:pt idx="27">
                  <c:v>50</c:v>
                </c:pt>
                <c:pt idx="28">
                  <c:v>53.79806174694798</c:v>
                </c:pt>
                <c:pt idx="29">
                  <c:v>65.076844803522931</c:v>
                </c:pt>
                <c:pt idx="30">
                  <c:v>83.493649053890351</c:v>
                </c:pt>
                <c:pt idx="31">
                  <c:v>108.48888922025546</c:v>
                </c:pt>
                <c:pt idx="32">
                  <c:v>139.30309757836511</c:v>
                </c:pt>
                <c:pt idx="33">
                  <c:v>174.99999999999989</c:v>
                </c:pt>
                <c:pt idx="34">
                  <c:v>214.49496416858284</c:v>
                </c:pt>
                <c:pt idx="35">
                  <c:v>256.58795558326739</c:v>
                </c:pt>
                <c:pt idx="36">
                  <c:v>299.99999999999994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63-4586-BD40-EED4535E17DA}"/>
            </c:ext>
          </c:extLst>
        </c:ser>
        <c:ser>
          <c:idx val="2"/>
          <c:order val="2"/>
          <c:tx>
            <c:v>Bewehrung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Pfahl_2025!$V$3:$V$26</c:f>
              <c:numCache>
                <c:formatCode>General</c:formatCode>
                <c:ptCount val="24"/>
                <c:pt idx="0">
                  <c:v>530</c:v>
                </c:pt>
                <c:pt idx="1">
                  <c:v>462.63455967290594</c:v>
                </c:pt>
                <c:pt idx="2">
                  <c:v>300</c:v>
                </c:pt>
                <c:pt idx="3">
                  <c:v>137.36544032709409</c:v>
                </c:pt>
                <c:pt idx="4">
                  <c:v>70</c:v>
                </c:pt>
                <c:pt idx="5">
                  <c:v>137.36544032709403</c:v>
                </c:pt>
                <c:pt idx="6">
                  <c:v>299.99999999999994</c:v>
                </c:pt>
                <c:pt idx="7">
                  <c:v>462.63455967290588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xVal>
          <c:yVal>
            <c:numRef>
              <c:f>Pfahl_2025!$W$3:$W$26</c:f>
              <c:numCache>
                <c:formatCode>General</c:formatCode>
                <c:ptCount val="24"/>
                <c:pt idx="0">
                  <c:v>300</c:v>
                </c:pt>
                <c:pt idx="1">
                  <c:v>462.63455967290588</c:v>
                </c:pt>
                <c:pt idx="2">
                  <c:v>530</c:v>
                </c:pt>
                <c:pt idx="3">
                  <c:v>462.63455967290594</c:v>
                </c:pt>
                <c:pt idx="4">
                  <c:v>300</c:v>
                </c:pt>
                <c:pt idx="5">
                  <c:v>137.36544032709409</c:v>
                </c:pt>
                <c:pt idx="6">
                  <c:v>70</c:v>
                </c:pt>
                <c:pt idx="7">
                  <c:v>137.36544032709403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63-4586-BD40-EED4535E1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940240"/>
        <c:axId val="1908532400"/>
      </c:scatterChart>
      <c:valAx>
        <c:axId val="1177940240"/>
        <c:scaling>
          <c:orientation val="minMax"/>
          <c:max val="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532400"/>
        <c:crosses val="autoZero"/>
        <c:crossBetween val="midCat"/>
      </c:valAx>
      <c:valAx>
        <c:axId val="1908532400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94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Sección — disposición del refuerzo (mm)</a:t>
            </a:r>
          </a:p>
        </c:rich>
      </c:tx>
      <c:layout>
        <c:manualLayout>
          <c:xMode val="edge"/>
          <c:yMode val="edge"/>
          <c:x val="0.20737143155849394"/>
          <c:y val="0.20015801948907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Contorno</c:v>
          </c:tx>
          <c:spPr>
            <a:ln w="25400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Viga_DIN!$R$3:$R$7</c:f>
              <c:numCache>
                <c:formatCode>General</c:formatCode>
                <c:ptCount val="5"/>
                <c:pt idx="0">
                  <c:v>0</c:v>
                </c:pt>
                <c:pt idx="1">
                  <c:v>3420</c:v>
                </c:pt>
                <c:pt idx="2">
                  <c:v>3420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Viga_DIN!$S$3:$S$7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600</c:v>
                </c:pt>
                <c:pt idx="3">
                  <c:v>600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7F-4A89-BC1B-9E9DBF35AB23}"/>
            </c:ext>
          </c:extLst>
        </c:ser>
        <c:ser>
          <c:idx val="1"/>
          <c:order val="1"/>
          <c:tx>
            <c:v>Estribo</c:v>
          </c:tx>
          <c:spPr>
            <a:ln w="158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Viga_DIN!$T$3:$T$7</c:f>
              <c:numCache>
                <c:formatCode>General</c:formatCode>
                <c:ptCount val="5"/>
                <c:pt idx="0">
                  <c:v>50</c:v>
                </c:pt>
                <c:pt idx="1">
                  <c:v>3370</c:v>
                </c:pt>
                <c:pt idx="2">
                  <c:v>3370</c:v>
                </c:pt>
                <c:pt idx="3">
                  <c:v>50</c:v>
                </c:pt>
                <c:pt idx="4">
                  <c:v>50</c:v>
                </c:pt>
              </c:numCache>
            </c:numRef>
          </c:xVal>
          <c:yVal>
            <c:numRef>
              <c:f>Viga_DIN!$U$3:$U$7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550</c:v>
                </c:pt>
                <c:pt idx="3">
                  <c:v>550</c:v>
                </c:pt>
                <c:pt idx="4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7F-4A89-BC1B-9E9DBF35AB23}"/>
            </c:ext>
          </c:extLst>
        </c:ser>
        <c:ser>
          <c:idx val="2"/>
          <c:order val="2"/>
          <c:tx>
            <c:v>Barras inf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Viga_DIN!$V$3:$V$14</c:f>
              <c:numCache>
                <c:formatCode>General</c:formatCode>
                <c:ptCount val="12"/>
                <c:pt idx="0">
                  <c:v>70</c:v>
                </c:pt>
                <c:pt idx="1">
                  <c:v>434.44444444444446</c:v>
                </c:pt>
                <c:pt idx="2">
                  <c:v>798.88888888888891</c:v>
                </c:pt>
                <c:pt idx="3">
                  <c:v>1163.3333333333333</c:v>
                </c:pt>
                <c:pt idx="4">
                  <c:v>1527.7777777777778</c:v>
                </c:pt>
                <c:pt idx="5">
                  <c:v>1892.2222222222222</c:v>
                </c:pt>
                <c:pt idx="6">
                  <c:v>2256.6666666666665</c:v>
                </c:pt>
                <c:pt idx="7">
                  <c:v>2621.1111111111113</c:v>
                </c:pt>
                <c:pt idx="8">
                  <c:v>2985.5555555555557</c:v>
                </c:pt>
                <c:pt idx="9">
                  <c:v>3350</c:v>
                </c:pt>
                <c:pt idx="10">
                  <c:v>#N/A</c:v>
                </c:pt>
                <c:pt idx="11">
                  <c:v>#N/A</c:v>
                </c:pt>
              </c:numCache>
            </c:numRef>
          </c:xVal>
          <c:yVal>
            <c:numRef>
              <c:f>Viga_DIN!$W$3:$W$14</c:f>
              <c:numCache>
                <c:formatCode>General</c:formatCode>
                <c:ptCount val="12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7F-4A89-BC1B-9E9DBF35AB23}"/>
            </c:ext>
          </c:extLst>
        </c:ser>
        <c:ser>
          <c:idx val="3"/>
          <c:order val="3"/>
          <c:tx>
            <c:v>Barras sup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80808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Viga_DIN!$X$3:$X$4</c:f>
              <c:numCache>
                <c:formatCode>0</c:formatCode>
                <c:ptCount val="2"/>
                <c:pt idx="0" formatCode="General">
                  <c:v>70</c:v>
                </c:pt>
                <c:pt idx="1">
                  <c:v>3350</c:v>
                </c:pt>
              </c:numCache>
            </c:numRef>
          </c:xVal>
          <c:yVal>
            <c:numRef>
              <c:f>Viga_DIN!$Y$3:$Y$4</c:f>
              <c:numCache>
                <c:formatCode>0</c:formatCode>
                <c:ptCount val="2"/>
                <c:pt idx="0">
                  <c:v>530</c:v>
                </c:pt>
                <c:pt idx="1">
                  <c:v>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7F-4A89-BC1B-9E9DBF35A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798672"/>
        <c:axId val="1908470000"/>
      </c:scatterChart>
      <c:valAx>
        <c:axId val="1772798672"/>
        <c:scaling>
          <c:orientation val="minMax"/>
          <c:max val="577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470000"/>
        <c:crosses val="autoZero"/>
        <c:crossBetween val="midCat"/>
      </c:valAx>
      <c:valAx>
        <c:axId val="1908470000"/>
        <c:scaling>
          <c:orientation val="minMax"/>
          <c:max val="577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9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Sección — disposición del refuerzo (mm)</a:t>
            </a:r>
          </a:p>
        </c:rich>
      </c:tx>
      <c:layout>
        <c:manualLayout>
          <c:xMode val="edge"/>
          <c:yMode val="edge"/>
          <c:x val="0.20737143155849394"/>
          <c:y val="0.20015801948907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Contorno</c:v>
          </c:tx>
          <c:spPr>
            <a:ln w="25400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Viga_2025!$R$3:$R$7</c:f>
              <c:numCache>
                <c:formatCode>General</c:formatCode>
                <c:ptCount val="5"/>
                <c:pt idx="0">
                  <c:v>0</c:v>
                </c:pt>
                <c:pt idx="1">
                  <c:v>3420</c:v>
                </c:pt>
                <c:pt idx="2">
                  <c:v>3420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Viga_2025!$S$3:$S$7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600</c:v>
                </c:pt>
                <c:pt idx="3">
                  <c:v>600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C-4E59-BAD5-BB3D9B86136E}"/>
            </c:ext>
          </c:extLst>
        </c:ser>
        <c:ser>
          <c:idx val="1"/>
          <c:order val="1"/>
          <c:tx>
            <c:v>Estribo</c:v>
          </c:tx>
          <c:spPr>
            <a:ln w="158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Viga_2025!$T$3:$T$7</c:f>
              <c:numCache>
                <c:formatCode>General</c:formatCode>
                <c:ptCount val="5"/>
                <c:pt idx="0">
                  <c:v>50</c:v>
                </c:pt>
                <c:pt idx="1">
                  <c:v>3370</c:v>
                </c:pt>
                <c:pt idx="2">
                  <c:v>3370</c:v>
                </c:pt>
                <c:pt idx="3">
                  <c:v>50</c:v>
                </c:pt>
                <c:pt idx="4">
                  <c:v>50</c:v>
                </c:pt>
              </c:numCache>
            </c:numRef>
          </c:xVal>
          <c:yVal>
            <c:numRef>
              <c:f>Viga_2025!$U$3:$U$7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550</c:v>
                </c:pt>
                <c:pt idx="3">
                  <c:v>550</c:v>
                </c:pt>
                <c:pt idx="4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EC-4E59-BAD5-BB3D9B86136E}"/>
            </c:ext>
          </c:extLst>
        </c:ser>
        <c:ser>
          <c:idx val="2"/>
          <c:order val="2"/>
          <c:tx>
            <c:v>Barras inf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Viga_2025!$V$3:$V$14</c:f>
              <c:numCache>
                <c:formatCode>General</c:formatCode>
                <c:ptCount val="12"/>
                <c:pt idx="0">
                  <c:v>70</c:v>
                </c:pt>
                <c:pt idx="1">
                  <c:v>434.44444444444446</c:v>
                </c:pt>
                <c:pt idx="2">
                  <c:v>798.88888888888891</c:v>
                </c:pt>
                <c:pt idx="3">
                  <c:v>1163.3333333333333</c:v>
                </c:pt>
                <c:pt idx="4">
                  <c:v>1527.7777777777778</c:v>
                </c:pt>
                <c:pt idx="5">
                  <c:v>1892.2222222222222</c:v>
                </c:pt>
                <c:pt idx="6">
                  <c:v>2256.6666666666665</c:v>
                </c:pt>
                <c:pt idx="7">
                  <c:v>2621.1111111111113</c:v>
                </c:pt>
                <c:pt idx="8">
                  <c:v>2985.5555555555557</c:v>
                </c:pt>
                <c:pt idx="9">
                  <c:v>3350</c:v>
                </c:pt>
                <c:pt idx="10">
                  <c:v>#N/A</c:v>
                </c:pt>
                <c:pt idx="11">
                  <c:v>#N/A</c:v>
                </c:pt>
              </c:numCache>
            </c:numRef>
          </c:xVal>
          <c:yVal>
            <c:numRef>
              <c:f>Viga_2025!$W$3:$W$14</c:f>
              <c:numCache>
                <c:formatCode>General</c:formatCode>
                <c:ptCount val="12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EC-4E59-BAD5-BB3D9B86136E}"/>
            </c:ext>
          </c:extLst>
        </c:ser>
        <c:ser>
          <c:idx val="3"/>
          <c:order val="3"/>
          <c:tx>
            <c:v>Barras sup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80808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Viga_2025!$X$3:$X$4</c:f>
              <c:numCache>
                <c:formatCode>0</c:formatCode>
                <c:ptCount val="2"/>
                <c:pt idx="0" formatCode="General">
                  <c:v>70</c:v>
                </c:pt>
                <c:pt idx="1">
                  <c:v>3350</c:v>
                </c:pt>
              </c:numCache>
            </c:numRef>
          </c:xVal>
          <c:yVal>
            <c:numRef>
              <c:f>Viga_2025!$Y$3:$Y$4</c:f>
              <c:numCache>
                <c:formatCode>0</c:formatCode>
                <c:ptCount val="2"/>
                <c:pt idx="0">
                  <c:v>530</c:v>
                </c:pt>
                <c:pt idx="1">
                  <c:v>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EC-4E59-BAD5-BB3D9B861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798672"/>
        <c:axId val="1908470000"/>
      </c:scatterChart>
      <c:valAx>
        <c:axId val="1772798672"/>
        <c:scaling>
          <c:orientation val="minMax"/>
          <c:max val="577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470000"/>
        <c:crosses val="autoZero"/>
        <c:crossBetween val="midCat"/>
      </c:valAx>
      <c:valAx>
        <c:axId val="1908470000"/>
        <c:scaling>
          <c:orientation val="minMax"/>
          <c:max val="577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9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Sección del pilote — disposición del refuerzo 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Contorno</c:v>
          </c:tx>
          <c:spPr>
            <a:ln w="28575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Pilote_DIN!$R$3:$R$39</c:f>
              <c:numCache>
                <c:formatCode>General</c:formatCode>
                <c:ptCount val="37"/>
                <c:pt idx="0">
                  <c:v>750</c:v>
                </c:pt>
                <c:pt idx="1">
                  <c:v>744.30290737957807</c:v>
                </c:pt>
                <c:pt idx="2">
                  <c:v>727.38473279471566</c:v>
                </c:pt>
                <c:pt idx="3">
                  <c:v>699.75952641916456</c:v>
                </c:pt>
                <c:pt idx="4">
                  <c:v>662.26666616961677</c:v>
                </c:pt>
                <c:pt idx="5">
                  <c:v>616.04535363245225</c:v>
                </c:pt>
                <c:pt idx="6">
                  <c:v>562.5</c:v>
                </c:pt>
                <c:pt idx="7">
                  <c:v>503.25755374712583</c:v>
                </c:pt>
                <c:pt idx="8">
                  <c:v>440.11806662509889</c:v>
                </c:pt>
                <c:pt idx="9">
                  <c:v>375</c:v>
                </c:pt>
                <c:pt idx="10">
                  <c:v>309.88193337490111</c:v>
                </c:pt>
                <c:pt idx="11">
                  <c:v>246.74244625287423</c:v>
                </c:pt>
                <c:pt idx="12">
                  <c:v>187.50000000000009</c:v>
                </c:pt>
                <c:pt idx="13">
                  <c:v>133.95464636754775</c:v>
                </c:pt>
                <c:pt idx="14">
                  <c:v>87.733333830383287</c:v>
                </c:pt>
                <c:pt idx="15">
                  <c:v>50.240473580835499</c:v>
                </c:pt>
                <c:pt idx="16">
                  <c:v>22.615267205284397</c:v>
                </c:pt>
                <c:pt idx="17">
                  <c:v>5.6970926204219836</c:v>
                </c:pt>
                <c:pt idx="18">
                  <c:v>0</c:v>
                </c:pt>
                <c:pt idx="19">
                  <c:v>5.6970926204219836</c:v>
                </c:pt>
                <c:pt idx="20">
                  <c:v>22.61526720528434</c:v>
                </c:pt>
                <c:pt idx="21">
                  <c:v>50.240473580835499</c:v>
                </c:pt>
                <c:pt idx="22">
                  <c:v>87.733333830383231</c:v>
                </c:pt>
                <c:pt idx="23">
                  <c:v>133.9546463675477</c:v>
                </c:pt>
                <c:pt idx="24">
                  <c:v>187.49999999999983</c:v>
                </c:pt>
                <c:pt idx="25">
                  <c:v>246.74244625287429</c:v>
                </c:pt>
                <c:pt idx="26">
                  <c:v>309.88193337490111</c:v>
                </c:pt>
                <c:pt idx="27">
                  <c:v>374.99999999999994</c:v>
                </c:pt>
                <c:pt idx="28">
                  <c:v>440.11806662509872</c:v>
                </c:pt>
                <c:pt idx="29">
                  <c:v>503.25755374712588</c:v>
                </c:pt>
                <c:pt idx="30">
                  <c:v>562.5</c:v>
                </c:pt>
                <c:pt idx="31">
                  <c:v>616.04535363245225</c:v>
                </c:pt>
                <c:pt idx="32">
                  <c:v>662.26666616961666</c:v>
                </c:pt>
                <c:pt idx="33">
                  <c:v>699.75952641916433</c:v>
                </c:pt>
                <c:pt idx="34">
                  <c:v>727.38473279471566</c:v>
                </c:pt>
                <c:pt idx="35">
                  <c:v>744.30290737957807</c:v>
                </c:pt>
                <c:pt idx="36">
                  <c:v>750</c:v>
                </c:pt>
              </c:numCache>
            </c:numRef>
          </c:xVal>
          <c:yVal>
            <c:numRef>
              <c:f>Pilote_DIN!$S$3:$S$39</c:f>
              <c:numCache>
                <c:formatCode>General</c:formatCode>
                <c:ptCount val="37"/>
                <c:pt idx="0">
                  <c:v>375</c:v>
                </c:pt>
                <c:pt idx="1">
                  <c:v>440.11806662509889</c:v>
                </c:pt>
                <c:pt idx="2">
                  <c:v>503.25755374712577</c:v>
                </c:pt>
                <c:pt idx="3">
                  <c:v>562.5</c:v>
                </c:pt>
                <c:pt idx="4">
                  <c:v>616.04535363245225</c:v>
                </c:pt>
                <c:pt idx="5">
                  <c:v>662.26666616961677</c:v>
                </c:pt>
                <c:pt idx="6">
                  <c:v>699.75952641916456</c:v>
                </c:pt>
                <c:pt idx="7">
                  <c:v>727.38473279471555</c:v>
                </c:pt>
                <c:pt idx="8">
                  <c:v>744.30290737957807</c:v>
                </c:pt>
                <c:pt idx="9">
                  <c:v>750</c:v>
                </c:pt>
                <c:pt idx="10">
                  <c:v>744.30290737957807</c:v>
                </c:pt>
                <c:pt idx="11">
                  <c:v>727.38473279471566</c:v>
                </c:pt>
                <c:pt idx="12">
                  <c:v>699.75952641916456</c:v>
                </c:pt>
                <c:pt idx="13">
                  <c:v>662.26666616961677</c:v>
                </c:pt>
                <c:pt idx="14">
                  <c:v>616.04535363245236</c:v>
                </c:pt>
                <c:pt idx="15">
                  <c:v>562.5</c:v>
                </c:pt>
                <c:pt idx="16">
                  <c:v>503.25755374712583</c:v>
                </c:pt>
                <c:pt idx="17">
                  <c:v>440.11806662509883</c:v>
                </c:pt>
                <c:pt idx="18">
                  <c:v>375.00000000000006</c:v>
                </c:pt>
                <c:pt idx="19">
                  <c:v>309.88193337490105</c:v>
                </c:pt>
                <c:pt idx="20">
                  <c:v>246.74244625287426</c:v>
                </c:pt>
                <c:pt idx="21">
                  <c:v>187.49999999999997</c:v>
                </c:pt>
                <c:pt idx="22">
                  <c:v>133.95464636754778</c:v>
                </c:pt>
                <c:pt idx="23">
                  <c:v>87.733333830383287</c:v>
                </c:pt>
                <c:pt idx="24">
                  <c:v>50.240473580835612</c:v>
                </c:pt>
                <c:pt idx="25">
                  <c:v>22.61526720528434</c:v>
                </c:pt>
                <c:pt idx="26">
                  <c:v>5.6970926204219836</c:v>
                </c:pt>
                <c:pt idx="27">
                  <c:v>0</c:v>
                </c:pt>
                <c:pt idx="28">
                  <c:v>5.6970926204219268</c:v>
                </c:pt>
                <c:pt idx="29">
                  <c:v>22.615267205284397</c:v>
                </c:pt>
                <c:pt idx="30">
                  <c:v>50.240473580835499</c:v>
                </c:pt>
                <c:pt idx="31">
                  <c:v>87.733333830383231</c:v>
                </c:pt>
                <c:pt idx="32">
                  <c:v>133.95464636754767</c:v>
                </c:pt>
                <c:pt idx="33">
                  <c:v>187.49999999999983</c:v>
                </c:pt>
                <c:pt idx="34">
                  <c:v>246.74244625287429</c:v>
                </c:pt>
                <c:pt idx="35">
                  <c:v>309.88193337490111</c:v>
                </c:pt>
                <c:pt idx="36">
                  <c:v>374.99999999999989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3F-49AD-9656-45E5282DAE45}"/>
            </c:ext>
          </c:extLst>
        </c:ser>
        <c:ser>
          <c:idx val="1"/>
          <c:order val="1"/>
          <c:tx>
            <c:v>Espiral</c:v>
          </c:tx>
          <c:spPr>
            <a:ln w="158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Pilote_DIN!$T$3:$T$39</c:f>
              <c:numCache>
                <c:formatCode>General</c:formatCode>
                <c:ptCount val="37"/>
                <c:pt idx="0">
                  <c:v>675</c:v>
                </c:pt>
                <c:pt idx="1">
                  <c:v>670.44232590366232</c:v>
                </c:pt>
                <c:pt idx="2">
                  <c:v>656.90778623577251</c:v>
                </c:pt>
                <c:pt idx="3">
                  <c:v>634.8076211353316</c:v>
                </c:pt>
                <c:pt idx="4">
                  <c:v>604.81333293569344</c:v>
                </c:pt>
                <c:pt idx="5">
                  <c:v>567.83628290596175</c:v>
                </c:pt>
                <c:pt idx="6">
                  <c:v>525</c:v>
                </c:pt>
                <c:pt idx="7">
                  <c:v>477.60604299770063</c:v>
                </c:pt>
                <c:pt idx="8">
                  <c:v>427.09445330007912</c:v>
                </c:pt>
                <c:pt idx="9">
                  <c:v>375</c:v>
                </c:pt>
                <c:pt idx="10">
                  <c:v>322.90554669992093</c:v>
                </c:pt>
                <c:pt idx="11">
                  <c:v>272.39395700229937</c:v>
                </c:pt>
                <c:pt idx="12">
                  <c:v>225.00000000000006</c:v>
                </c:pt>
                <c:pt idx="13">
                  <c:v>182.16371709403819</c:v>
                </c:pt>
                <c:pt idx="14">
                  <c:v>145.18666706430662</c:v>
                </c:pt>
                <c:pt idx="15">
                  <c:v>115.1923788646684</c:v>
                </c:pt>
                <c:pt idx="16">
                  <c:v>93.092213764227495</c:v>
                </c:pt>
                <c:pt idx="17">
                  <c:v>79.557674096337621</c:v>
                </c:pt>
                <c:pt idx="18">
                  <c:v>75</c:v>
                </c:pt>
                <c:pt idx="19">
                  <c:v>79.557674096337621</c:v>
                </c:pt>
                <c:pt idx="20">
                  <c:v>93.092213764227495</c:v>
                </c:pt>
                <c:pt idx="21">
                  <c:v>115.1923788646684</c:v>
                </c:pt>
                <c:pt idx="22">
                  <c:v>145.18666706430659</c:v>
                </c:pt>
                <c:pt idx="23">
                  <c:v>182.16371709403816</c:v>
                </c:pt>
                <c:pt idx="24">
                  <c:v>224.99999999999986</c:v>
                </c:pt>
                <c:pt idx="25">
                  <c:v>272.39395700229943</c:v>
                </c:pt>
                <c:pt idx="26">
                  <c:v>322.90554669992088</c:v>
                </c:pt>
                <c:pt idx="27">
                  <c:v>374.99999999999994</c:v>
                </c:pt>
                <c:pt idx="28">
                  <c:v>427.09445330007901</c:v>
                </c:pt>
                <c:pt idx="29">
                  <c:v>477.60604299770068</c:v>
                </c:pt>
                <c:pt idx="30">
                  <c:v>525</c:v>
                </c:pt>
                <c:pt idx="31">
                  <c:v>567.83628290596175</c:v>
                </c:pt>
                <c:pt idx="32">
                  <c:v>604.81333293569332</c:v>
                </c:pt>
                <c:pt idx="33">
                  <c:v>634.80762113533149</c:v>
                </c:pt>
                <c:pt idx="34">
                  <c:v>656.90778623577251</c:v>
                </c:pt>
                <c:pt idx="35">
                  <c:v>670.44232590366232</c:v>
                </c:pt>
                <c:pt idx="36">
                  <c:v>675</c:v>
                </c:pt>
              </c:numCache>
            </c:numRef>
          </c:xVal>
          <c:yVal>
            <c:numRef>
              <c:f>Pilote_DIN!$U$3:$U$39</c:f>
              <c:numCache>
                <c:formatCode>General</c:formatCode>
                <c:ptCount val="37"/>
                <c:pt idx="0">
                  <c:v>375</c:v>
                </c:pt>
                <c:pt idx="1">
                  <c:v>427.09445330007912</c:v>
                </c:pt>
                <c:pt idx="2">
                  <c:v>477.60604299770063</c:v>
                </c:pt>
                <c:pt idx="3">
                  <c:v>525</c:v>
                </c:pt>
                <c:pt idx="4">
                  <c:v>567.83628290596175</c:v>
                </c:pt>
                <c:pt idx="5">
                  <c:v>604.81333293569344</c:v>
                </c:pt>
                <c:pt idx="6">
                  <c:v>634.8076211353316</c:v>
                </c:pt>
                <c:pt idx="7">
                  <c:v>656.90778623577251</c:v>
                </c:pt>
                <c:pt idx="8">
                  <c:v>670.44232590366232</c:v>
                </c:pt>
                <c:pt idx="9">
                  <c:v>675</c:v>
                </c:pt>
                <c:pt idx="10">
                  <c:v>670.44232590366232</c:v>
                </c:pt>
                <c:pt idx="11">
                  <c:v>656.90778623577251</c:v>
                </c:pt>
                <c:pt idx="12">
                  <c:v>634.8076211353316</c:v>
                </c:pt>
                <c:pt idx="13">
                  <c:v>604.81333293569344</c:v>
                </c:pt>
                <c:pt idx="14">
                  <c:v>567.83628290596187</c:v>
                </c:pt>
                <c:pt idx="15">
                  <c:v>525</c:v>
                </c:pt>
                <c:pt idx="16">
                  <c:v>477.60604299770068</c:v>
                </c:pt>
                <c:pt idx="17">
                  <c:v>427.09445330007907</c:v>
                </c:pt>
                <c:pt idx="18">
                  <c:v>375.00000000000006</c:v>
                </c:pt>
                <c:pt idx="19">
                  <c:v>322.90554669992088</c:v>
                </c:pt>
                <c:pt idx="20">
                  <c:v>272.39395700229943</c:v>
                </c:pt>
                <c:pt idx="21">
                  <c:v>224.99999999999997</c:v>
                </c:pt>
                <c:pt idx="22">
                  <c:v>182.16371709403822</c:v>
                </c:pt>
                <c:pt idx="23">
                  <c:v>145.18666706430662</c:v>
                </c:pt>
                <c:pt idx="24">
                  <c:v>115.19237886466851</c:v>
                </c:pt>
                <c:pt idx="25">
                  <c:v>93.092213764227495</c:v>
                </c:pt>
                <c:pt idx="26">
                  <c:v>79.557674096337621</c:v>
                </c:pt>
                <c:pt idx="27">
                  <c:v>75</c:v>
                </c:pt>
                <c:pt idx="28">
                  <c:v>79.557674096337564</c:v>
                </c:pt>
                <c:pt idx="29">
                  <c:v>93.092213764227495</c:v>
                </c:pt>
                <c:pt idx="30">
                  <c:v>115.1923788646684</c:v>
                </c:pt>
                <c:pt idx="31">
                  <c:v>145.18666706430656</c:v>
                </c:pt>
                <c:pt idx="32">
                  <c:v>182.16371709403813</c:v>
                </c:pt>
                <c:pt idx="33">
                  <c:v>224.99999999999986</c:v>
                </c:pt>
                <c:pt idx="34">
                  <c:v>272.39395700229943</c:v>
                </c:pt>
                <c:pt idx="35">
                  <c:v>322.90554669992088</c:v>
                </c:pt>
                <c:pt idx="36">
                  <c:v>374.99999999999994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3F-49AD-9656-45E5282DAE45}"/>
            </c:ext>
          </c:extLst>
        </c:ser>
        <c:ser>
          <c:idx val="2"/>
          <c:order val="2"/>
          <c:tx>
            <c:v>Barras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Pilote_DIN!$V$3:$V$26</c:f>
              <c:numCache>
                <c:formatCode>General</c:formatCode>
                <c:ptCount val="24"/>
                <c:pt idx="0">
                  <c:v>655</c:v>
                </c:pt>
                <c:pt idx="1">
                  <c:v>572.98989873223331</c:v>
                </c:pt>
                <c:pt idx="2">
                  <c:v>375</c:v>
                </c:pt>
                <c:pt idx="3">
                  <c:v>177.01010126776671</c:v>
                </c:pt>
                <c:pt idx="4">
                  <c:v>95</c:v>
                </c:pt>
                <c:pt idx="5">
                  <c:v>177.01010126776666</c:v>
                </c:pt>
                <c:pt idx="6">
                  <c:v>374.99999999999994</c:v>
                </c:pt>
                <c:pt idx="7">
                  <c:v>572.98989873223331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xVal>
          <c:yVal>
            <c:numRef>
              <c:f>Pilote_DIN!$W$3:$W$26</c:f>
              <c:numCache>
                <c:formatCode>General</c:formatCode>
                <c:ptCount val="24"/>
                <c:pt idx="0">
                  <c:v>375</c:v>
                </c:pt>
                <c:pt idx="1">
                  <c:v>572.98989873223331</c:v>
                </c:pt>
                <c:pt idx="2">
                  <c:v>655</c:v>
                </c:pt>
                <c:pt idx="3">
                  <c:v>572.98989873223331</c:v>
                </c:pt>
                <c:pt idx="4">
                  <c:v>375.00000000000006</c:v>
                </c:pt>
                <c:pt idx="5">
                  <c:v>177.01010126776671</c:v>
                </c:pt>
                <c:pt idx="6">
                  <c:v>95</c:v>
                </c:pt>
                <c:pt idx="7">
                  <c:v>177.01010126776666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3F-49AD-9656-45E5282DA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953232"/>
        <c:axId val="1908454640"/>
      </c:scatterChart>
      <c:valAx>
        <c:axId val="1177953232"/>
        <c:scaling>
          <c:orientation val="minMax"/>
          <c:max val="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454640"/>
        <c:crosses val="autoZero"/>
        <c:crossBetween val="midCat"/>
      </c:valAx>
      <c:valAx>
        <c:axId val="1908454640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953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Sección del pilote — disposición del refuerzo 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Contorno</c:v>
          </c:tx>
          <c:spPr>
            <a:ln w="28575" cap="rnd">
              <a:solidFill>
                <a:srgbClr val="1F386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Pilote_2025!$R$3:$R$39</c:f>
              <c:numCache>
                <c:formatCode>General</c:formatCode>
                <c:ptCount val="37"/>
                <c:pt idx="0">
                  <c:v>750</c:v>
                </c:pt>
                <c:pt idx="1">
                  <c:v>744.30290737957807</c:v>
                </c:pt>
                <c:pt idx="2">
                  <c:v>727.38473279471566</c:v>
                </c:pt>
                <c:pt idx="3">
                  <c:v>699.75952641916456</c:v>
                </c:pt>
                <c:pt idx="4">
                  <c:v>662.26666616961677</c:v>
                </c:pt>
                <c:pt idx="5">
                  <c:v>616.04535363245225</c:v>
                </c:pt>
                <c:pt idx="6">
                  <c:v>562.5</c:v>
                </c:pt>
                <c:pt idx="7">
                  <c:v>503.25755374712583</c:v>
                </c:pt>
                <c:pt idx="8">
                  <c:v>440.11806662509889</c:v>
                </c:pt>
                <c:pt idx="9">
                  <c:v>375</c:v>
                </c:pt>
                <c:pt idx="10">
                  <c:v>309.88193337490111</c:v>
                </c:pt>
                <c:pt idx="11">
                  <c:v>246.74244625287423</c:v>
                </c:pt>
                <c:pt idx="12">
                  <c:v>187.50000000000009</c:v>
                </c:pt>
                <c:pt idx="13">
                  <c:v>133.95464636754775</c:v>
                </c:pt>
                <c:pt idx="14">
                  <c:v>87.733333830383287</c:v>
                </c:pt>
                <c:pt idx="15">
                  <c:v>50.240473580835499</c:v>
                </c:pt>
                <c:pt idx="16">
                  <c:v>22.615267205284397</c:v>
                </c:pt>
                <c:pt idx="17">
                  <c:v>5.6970926204219836</c:v>
                </c:pt>
                <c:pt idx="18">
                  <c:v>0</c:v>
                </c:pt>
                <c:pt idx="19">
                  <c:v>5.6970926204219836</c:v>
                </c:pt>
                <c:pt idx="20">
                  <c:v>22.61526720528434</c:v>
                </c:pt>
                <c:pt idx="21">
                  <c:v>50.240473580835499</c:v>
                </c:pt>
                <c:pt idx="22">
                  <c:v>87.733333830383231</c:v>
                </c:pt>
                <c:pt idx="23">
                  <c:v>133.9546463675477</c:v>
                </c:pt>
                <c:pt idx="24">
                  <c:v>187.49999999999983</c:v>
                </c:pt>
                <c:pt idx="25">
                  <c:v>246.74244625287429</c:v>
                </c:pt>
                <c:pt idx="26">
                  <c:v>309.88193337490111</c:v>
                </c:pt>
                <c:pt idx="27">
                  <c:v>374.99999999999994</c:v>
                </c:pt>
                <c:pt idx="28">
                  <c:v>440.11806662509872</c:v>
                </c:pt>
                <c:pt idx="29">
                  <c:v>503.25755374712588</c:v>
                </c:pt>
                <c:pt idx="30">
                  <c:v>562.5</c:v>
                </c:pt>
                <c:pt idx="31">
                  <c:v>616.04535363245225</c:v>
                </c:pt>
                <c:pt idx="32">
                  <c:v>662.26666616961666</c:v>
                </c:pt>
                <c:pt idx="33">
                  <c:v>699.75952641916433</c:v>
                </c:pt>
                <c:pt idx="34">
                  <c:v>727.38473279471566</c:v>
                </c:pt>
                <c:pt idx="35">
                  <c:v>744.30290737957807</c:v>
                </c:pt>
                <c:pt idx="36">
                  <c:v>750</c:v>
                </c:pt>
              </c:numCache>
            </c:numRef>
          </c:xVal>
          <c:yVal>
            <c:numRef>
              <c:f>Pilote_2025!$S$3:$S$39</c:f>
              <c:numCache>
                <c:formatCode>General</c:formatCode>
                <c:ptCount val="37"/>
                <c:pt idx="0">
                  <c:v>375</c:v>
                </c:pt>
                <c:pt idx="1">
                  <c:v>440.11806662509889</c:v>
                </c:pt>
                <c:pt idx="2">
                  <c:v>503.25755374712577</c:v>
                </c:pt>
                <c:pt idx="3">
                  <c:v>562.5</c:v>
                </c:pt>
                <c:pt idx="4">
                  <c:v>616.04535363245225</c:v>
                </c:pt>
                <c:pt idx="5">
                  <c:v>662.26666616961677</c:v>
                </c:pt>
                <c:pt idx="6">
                  <c:v>699.75952641916456</c:v>
                </c:pt>
                <c:pt idx="7">
                  <c:v>727.38473279471555</c:v>
                </c:pt>
                <c:pt idx="8">
                  <c:v>744.30290737957807</c:v>
                </c:pt>
                <c:pt idx="9">
                  <c:v>750</c:v>
                </c:pt>
                <c:pt idx="10">
                  <c:v>744.30290737957807</c:v>
                </c:pt>
                <c:pt idx="11">
                  <c:v>727.38473279471566</c:v>
                </c:pt>
                <c:pt idx="12">
                  <c:v>699.75952641916456</c:v>
                </c:pt>
                <c:pt idx="13">
                  <c:v>662.26666616961677</c:v>
                </c:pt>
                <c:pt idx="14">
                  <c:v>616.04535363245236</c:v>
                </c:pt>
                <c:pt idx="15">
                  <c:v>562.5</c:v>
                </c:pt>
                <c:pt idx="16">
                  <c:v>503.25755374712583</c:v>
                </c:pt>
                <c:pt idx="17">
                  <c:v>440.11806662509883</c:v>
                </c:pt>
                <c:pt idx="18">
                  <c:v>375.00000000000006</c:v>
                </c:pt>
                <c:pt idx="19">
                  <c:v>309.88193337490105</c:v>
                </c:pt>
                <c:pt idx="20">
                  <c:v>246.74244625287426</c:v>
                </c:pt>
                <c:pt idx="21">
                  <c:v>187.49999999999997</c:v>
                </c:pt>
                <c:pt idx="22">
                  <c:v>133.95464636754778</c:v>
                </c:pt>
                <c:pt idx="23">
                  <c:v>87.733333830383287</c:v>
                </c:pt>
                <c:pt idx="24">
                  <c:v>50.240473580835612</c:v>
                </c:pt>
                <c:pt idx="25">
                  <c:v>22.61526720528434</c:v>
                </c:pt>
                <c:pt idx="26">
                  <c:v>5.6970926204219836</c:v>
                </c:pt>
                <c:pt idx="27">
                  <c:v>0</c:v>
                </c:pt>
                <c:pt idx="28">
                  <c:v>5.6970926204219268</c:v>
                </c:pt>
                <c:pt idx="29">
                  <c:v>22.615267205284397</c:v>
                </c:pt>
                <c:pt idx="30">
                  <c:v>50.240473580835499</c:v>
                </c:pt>
                <c:pt idx="31">
                  <c:v>87.733333830383231</c:v>
                </c:pt>
                <c:pt idx="32">
                  <c:v>133.95464636754767</c:v>
                </c:pt>
                <c:pt idx="33">
                  <c:v>187.49999999999983</c:v>
                </c:pt>
                <c:pt idx="34">
                  <c:v>246.74244625287429</c:v>
                </c:pt>
                <c:pt idx="35">
                  <c:v>309.88193337490111</c:v>
                </c:pt>
                <c:pt idx="36">
                  <c:v>374.99999999999989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63-42FF-A3DD-7380567ADB55}"/>
            </c:ext>
          </c:extLst>
        </c:ser>
        <c:ser>
          <c:idx val="1"/>
          <c:order val="1"/>
          <c:tx>
            <c:v>Espiral</c:v>
          </c:tx>
          <c:spPr>
            <a:ln w="158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Pilote_2025!$T$3:$T$39</c:f>
              <c:numCache>
                <c:formatCode>General</c:formatCode>
                <c:ptCount val="37"/>
                <c:pt idx="0">
                  <c:v>675</c:v>
                </c:pt>
                <c:pt idx="1">
                  <c:v>670.44232590366232</c:v>
                </c:pt>
                <c:pt idx="2">
                  <c:v>656.90778623577251</c:v>
                </c:pt>
                <c:pt idx="3">
                  <c:v>634.8076211353316</c:v>
                </c:pt>
                <c:pt idx="4">
                  <c:v>604.81333293569344</c:v>
                </c:pt>
                <c:pt idx="5">
                  <c:v>567.83628290596175</c:v>
                </c:pt>
                <c:pt idx="6">
                  <c:v>525</c:v>
                </c:pt>
                <c:pt idx="7">
                  <c:v>477.60604299770063</c:v>
                </c:pt>
                <c:pt idx="8">
                  <c:v>427.09445330007912</c:v>
                </c:pt>
                <c:pt idx="9">
                  <c:v>375</c:v>
                </c:pt>
                <c:pt idx="10">
                  <c:v>322.90554669992093</c:v>
                </c:pt>
                <c:pt idx="11">
                  <c:v>272.39395700229937</c:v>
                </c:pt>
                <c:pt idx="12">
                  <c:v>225.00000000000006</c:v>
                </c:pt>
                <c:pt idx="13">
                  <c:v>182.16371709403819</c:v>
                </c:pt>
                <c:pt idx="14">
                  <c:v>145.18666706430662</c:v>
                </c:pt>
                <c:pt idx="15">
                  <c:v>115.1923788646684</c:v>
                </c:pt>
                <c:pt idx="16">
                  <c:v>93.092213764227495</c:v>
                </c:pt>
                <c:pt idx="17">
                  <c:v>79.557674096337621</c:v>
                </c:pt>
                <c:pt idx="18">
                  <c:v>75</c:v>
                </c:pt>
                <c:pt idx="19">
                  <c:v>79.557674096337621</c:v>
                </c:pt>
                <c:pt idx="20">
                  <c:v>93.092213764227495</c:v>
                </c:pt>
                <c:pt idx="21">
                  <c:v>115.1923788646684</c:v>
                </c:pt>
                <c:pt idx="22">
                  <c:v>145.18666706430659</c:v>
                </c:pt>
                <c:pt idx="23">
                  <c:v>182.16371709403816</c:v>
                </c:pt>
                <c:pt idx="24">
                  <c:v>224.99999999999986</c:v>
                </c:pt>
                <c:pt idx="25">
                  <c:v>272.39395700229943</c:v>
                </c:pt>
                <c:pt idx="26">
                  <c:v>322.90554669992088</c:v>
                </c:pt>
                <c:pt idx="27">
                  <c:v>374.99999999999994</c:v>
                </c:pt>
                <c:pt idx="28">
                  <c:v>427.09445330007901</c:v>
                </c:pt>
                <c:pt idx="29">
                  <c:v>477.60604299770068</c:v>
                </c:pt>
                <c:pt idx="30">
                  <c:v>525</c:v>
                </c:pt>
                <c:pt idx="31">
                  <c:v>567.83628290596175</c:v>
                </c:pt>
                <c:pt idx="32">
                  <c:v>604.81333293569332</c:v>
                </c:pt>
                <c:pt idx="33">
                  <c:v>634.80762113533149</c:v>
                </c:pt>
                <c:pt idx="34">
                  <c:v>656.90778623577251</c:v>
                </c:pt>
                <c:pt idx="35">
                  <c:v>670.44232590366232</c:v>
                </c:pt>
                <c:pt idx="36">
                  <c:v>675</c:v>
                </c:pt>
              </c:numCache>
            </c:numRef>
          </c:xVal>
          <c:yVal>
            <c:numRef>
              <c:f>Pilote_2025!$U$3:$U$39</c:f>
              <c:numCache>
                <c:formatCode>General</c:formatCode>
                <c:ptCount val="37"/>
                <c:pt idx="0">
                  <c:v>375</c:v>
                </c:pt>
                <c:pt idx="1">
                  <c:v>427.09445330007912</c:v>
                </c:pt>
                <c:pt idx="2">
                  <c:v>477.60604299770063</c:v>
                </c:pt>
                <c:pt idx="3">
                  <c:v>525</c:v>
                </c:pt>
                <c:pt idx="4">
                  <c:v>567.83628290596175</c:v>
                </c:pt>
                <c:pt idx="5">
                  <c:v>604.81333293569344</c:v>
                </c:pt>
                <c:pt idx="6">
                  <c:v>634.8076211353316</c:v>
                </c:pt>
                <c:pt idx="7">
                  <c:v>656.90778623577251</c:v>
                </c:pt>
                <c:pt idx="8">
                  <c:v>670.44232590366232</c:v>
                </c:pt>
                <c:pt idx="9">
                  <c:v>675</c:v>
                </c:pt>
                <c:pt idx="10">
                  <c:v>670.44232590366232</c:v>
                </c:pt>
                <c:pt idx="11">
                  <c:v>656.90778623577251</c:v>
                </c:pt>
                <c:pt idx="12">
                  <c:v>634.8076211353316</c:v>
                </c:pt>
                <c:pt idx="13">
                  <c:v>604.81333293569344</c:v>
                </c:pt>
                <c:pt idx="14">
                  <c:v>567.83628290596187</c:v>
                </c:pt>
                <c:pt idx="15">
                  <c:v>525</c:v>
                </c:pt>
                <c:pt idx="16">
                  <c:v>477.60604299770068</c:v>
                </c:pt>
                <c:pt idx="17">
                  <c:v>427.09445330007907</c:v>
                </c:pt>
                <c:pt idx="18">
                  <c:v>375.00000000000006</c:v>
                </c:pt>
                <c:pt idx="19">
                  <c:v>322.90554669992088</c:v>
                </c:pt>
                <c:pt idx="20">
                  <c:v>272.39395700229943</c:v>
                </c:pt>
                <c:pt idx="21">
                  <c:v>224.99999999999997</c:v>
                </c:pt>
                <c:pt idx="22">
                  <c:v>182.16371709403822</c:v>
                </c:pt>
                <c:pt idx="23">
                  <c:v>145.18666706430662</c:v>
                </c:pt>
                <c:pt idx="24">
                  <c:v>115.19237886466851</c:v>
                </c:pt>
                <c:pt idx="25">
                  <c:v>93.092213764227495</c:v>
                </c:pt>
                <c:pt idx="26">
                  <c:v>79.557674096337621</c:v>
                </c:pt>
                <c:pt idx="27">
                  <c:v>75</c:v>
                </c:pt>
                <c:pt idx="28">
                  <c:v>79.557674096337564</c:v>
                </c:pt>
                <c:pt idx="29">
                  <c:v>93.092213764227495</c:v>
                </c:pt>
                <c:pt idx="30">
                  <c:v>115.1923788646684</c:v>
                </c:pt>
                <c:pt idx="31">
                  <c:v>145.18666706430656</c:v>
                </c:pt>
                <c:pt idx="32">
                  <c:v>182.16371709403813</c:v>
                </c:pt>
                <c:pt idx="33">
                  <c:v>224.99999999999986</c:v>
                </c:pt>
                <c:pt idx="34">
                  <c:v>272.39395700229943</c:v>
                </c:pt>
                <c:pt idx="35">
                  <c:v>322.90554669992088</c:v>
                </c:pt>
                <c:pt idx="36">
                  <c:v>374.99999999999994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63-42FF-A3DD-7380567ADB55}"/>
            </c:ext>
          </c:extLst>
        </c:ser>
        <c:ser>
          <c:idx val="2"/>
          <c:order val="2"/>
          <c:tx>
            <c:v>Barras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Pilote_2025!$V$3:$V$26</c:f>
              <c:numCache>
                <c:formatCode>General</c:formatCode>
                <c:ptCount val="24"/>
                <c:pt idx="0">
                  <c:v>655</c:v>
                </c:pt>
                <c:pt idx="1">
                  <c:v>572.98989873223331</c:v>
                </c:pt>
                <c:pt idx="2">
                  <c:v>375</c:v>
                </c:pt>
                <c:pt idx="3">
                  <c:v>177.01010126776671</c:v>
                </c:pt>
                <c:pt idx="4">
                  <c:v>95</c:v>
                </c:pt>
                <c:pt idx="5">
                  <c:v>177.01010126776666</c:v>
                </c:pt>
                <c:pt idx="6">
                  <c:v>374.99999999999994</c:v>
                </c:pt>
                <c:pt idx="7">
                  <c:v>572.98989873223331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xVal>
          <c:yVal>
            <c:numRef>
              <c:f>Pilote_2025!$W$3:$W$26</c:f>
              <c:numCache>
                <c:formatCode>General</c:formatCode>
                <c:ptCount val="24"/>
                <c:pt idx="0">
                  <c:v>375</c:v>
                </c:pt>
                <c:pt idx="1">
                  <c:v>572.98989873223331</c:v>
                </c:pt>
                <c:pt idx="2">
                  <c:v>655</c:v>
                </c:pt>
                <c:pt idx="3">
                  <c:v>572.98989873223331</c:v>
                </c:pt>
                <c:pt idx="4">
                  <c:v>375.00000000000006</c:v>
                </c:pt>
                <c:pt idx="5">
                  <c:v>177.01010126776671</c:v>
                </c:pt>
                <c:pt idx="6">
                  <c:v>95</c:v>
                </c:pt>
                <c:pt idx="7">
                  <c:v>177.01010126776666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63-42FF-A3DD-7380567A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953232"/>
        <c:axId val="1908454640"/>
      </c:scatterChart>
      <c:valAx>
        <c:axId val="1177953232"/>
        <c:scaling>
          <c:orientation val="minMax"/>
          <c:max val="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454640"/>
        <c:crosses val="autoZero"/>
        <c:crossBetween val="midCat"/>
      </c:valAx>
      <c:valAx>
        <c:axId val="1908454640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953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146050</xdr:colOff>
      <xdr:row>0</xdr:row>
      <xdr:rowOff>190500</xdr:rowOff>
    </xdr:from>
    <xdr:to>
      <xdr:col>14</xdr:col>
      <xdr:colOff>273050</xdr:colOff>
      <xdr:row>29</xdr:row>
      <xdr:rowOff>79375</xdr:rowOff>
    </xdr:to>
    <xdr:graphicFrame macro="">
      <xdr:nvGraphicFramePr>
        <xdr:cNvPr id="2" name="SeccionBalken">
          <a:extLst>
            <a:ext uri="{FF2B5EF4-FFF2-40B4-BE49-F238E27FC236}">
              <a16:creationId xmlns:a16="http://schemas.microsoft.com/office/drawing/2014/main" id="{7A1B2AE0-080B-0060-59F7-F9BCBA74C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146050</xdr:colOff>
      <xdr:row>0</xdr:row>
      <xdr:rowOff>190500</xdr:rowOff>
    </xdr:from>
    <xdr:to>
      <xdr:col>14</xdr:col>
      <xdr:colOff>273050</xdr:colOff>
      <xdr:row>29</xdr:row>
      <xdr:rowOff>79375</xdr:rowOff>
    </xdr:to>
    <xdr:graphicFrame macro="">
      <xdr:nvGraphicFramePr>
        <xdr:cNvPr id="2" name="SeccionBalken">
          <a:extLst>
            <a:ext uri="{FF2B5EF4-FFF2-40B4-BE49-F238E27FC236}">
              <a16:creationId xmlns:a16="http://schemas.microsoft.com/office/drawing/2014/main" id="{3F49346E-F491-4D86-811E-1F9EC98D7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0</xdr:row>
      <xdr:rowOff>190500</xdr:rowOff>
    </xdr:from>
    <xdr:to>
      <xdr:col>13</xdr:col>
      <xdr:colOff>454025</xdr:colOff>
      <xdr:row>24</xdr:row>
      <xdr:rowOff>21590</xdr:rowOff>
    </xdr:to>
    <xdr:graphicFrame macro="">
      <xdr:nvGraphicFramePr>
        <xdr:cNvPr id="2" name="SeccionPfahl">
          <a:extLst>
            <a:ext uri="{FF2B5EF4-FFF2-40B4-BE49-F238E27FC236}">
              <a16:creationId xmlns:a16="http://schemas.microsoft.com/office/drawing/2014/main" id="{2AF67CEE-D2FB-4F0C-753C-DA48EEBA2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0</xdr:row>
      <xdr:rowOff>190500</xdr:rowOff>
    </xdr:from>
    <xdr:to>
      <xdr:col>13</xdr:col>
      <xdr:colOff>454025</xdr:colOff>
      <xdr:row>24</xdr:row>
      <xdr:rowOff>21590</xdr:rowOff>
    </xdr:to>
    <xdr:graphicFrame macro="">
      <xdr:nvGraphicFramePr>
        <xdr:cNvPr id="2" name="SeccionPfahl">
          <a:extLst>
            <a:ext uri="{FF2B5EF4-FFF2-40B4-BE49-F238E27FC236}">
              <a16:creationId xmlns:a16="http://schemas.microsoft.com/office/drawing/2014/main" id="{6EF35AF7-8498-49D5-B79F-28FC9DEDE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222250</xdr:colOff>
      <xdr:row>0</xdr:row>
      <xdr:rowOff>190500</xdr:rowOff>
    </xdr:from>
    <xdr:to>
      <xdr:col>11</xdr:col>
      <xdr:colOff>1003299</xdr:colOff>
      <xdr:row>24</xdr:row>
      <xdr:rowOff>140074</xdr:rowOff>
    </xdr:to>
    <xdr:graphicFrame macro="">
      <xdr:nvGraphicFramePr>
        <xdr:cNvPr id="2" name="SeccionViga">
          <a:extLst>
            <a:ext uri="{FF2B5EF4-FFF2-40B4-BE49-F238E27FC236}">
              <a16:creationId xmlns:a16="http://schemas.microsoft.com/office/drawing/2014/main" id="{DEAF5940-2499-217B-7714-0DBFB3F85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222250</xdr:colOff>
      <xdr:row>0</xdr:row>
      <xdr:rowOff>190500</xdr:rowOff>
    </xdr:from>
    <xdr:to>
      <xdr:col>11</xdr:col>
      <xdr:colOff>1003299</xdr:colOff>
      <xdr:row>24</xdr:row>
      <xdr:rowOff>140074</xdr:rowOff>
    </xdr:to>
    <xdr:graphicFrame macro="">
      <xdr:nvGraphicFramePr>
        <xdr:cNvPr id="2" name="SeccionViga">
          <a:extLst>
            <a:ext uri="{FF2B5EF4-FFF2-40B4-BE49-F238E27FC236}">
              <a16:creationId xmlns:a16="http://schemas.microsoft.com/office/drawing/2014/main" id="{1497CA3F-9ABA-46F7-B15A-A4E1707DA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0</xdr:row>
      <xdr:rowOff>190500</xdr:rowOff>
    </xdr:from>
    <xdr:to>
      <xdr:col>13</xdr:col>
      <xdr:colOff>452120</xdr:colOff>
      <xdr:row>24</xdr:row>
      <xdr:rowOff>23495</xdr:rowOff>
    </xdr:to>
    <xdr:graphicFrame macro="">
      <xdr:nvGraphicFramePr>
        <xdr:cNvPr id="2" name="SeccionPilote">
          <a:extLst>
            <a:ext uri="{FF2B5EF4-FFF2-40B4-BE49-F238E27FC236}">
              <a16:creationId xmlns:a16="http://schemas.microsoft.com/office/drawing/2014/main" id="{4331205C-3042-44E0-9A5B-1EB4E0E70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0</xdr:row>
      <xdr:rowOff>190500</xdr:rowOff>
    </xdr:from>
    <xdr:to>
      <xdr:col>13</xdr:col>
      <xdr:colOff>452120</xdr:colOff>
      <xdr:row>24</xdr:row>
      <xdr:rowOff>23495</xdr:rowOff>
    </xdr:to>
    <xdr:graphicFrame macro="">
      <xdr:nvGraphicFramePr>
        <xdr:cNvPr id="2" name="SeccionPilote">
          <a:extLst>
            <a:ext uri="{FF2B5EF4-FFF2-40B4-BE49-F238E27FC236}">
              <a16:creationId xmlns:a16="http://schemas.microsoft.com/office/drawing/2014/main" id="{CE39B75B-BF09-4C02-9B3B-D96482B80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5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D090D8-5639-4EF7-90FF-93E6EAA0AE21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4f05d54e-2449-4f1b-a745-537855ebb15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3048-30C0-49EA-ABA6-D260C94B895A}">
  <dimension ref="A1:K103"/>
  <sheetViews>
    <sheetView workbookViewId="0">
      <selection activeCell="C19" sqref="C19"/>
    </sheetView>
  </sheetViews>
  <sheetFormatPr defaultRowHeight="14.4" x14ac:dyDescent="0.3"/>
  <cols>
    <col min="1" max="1" width="40" customWidth="1"/>
    <col min="2" max="6" width="14.88671875" customWidth="1"/>
    <col min="7" max="13" width="11.88671875" customWidth="1"/>
  </cols>
  <sheetData>
    <row r="1" spans="1:6" ht="15.6" x14ac:dyDescent="0.3">
      <c r="A1" s="79" t="s">
        <v>934</v>
      </c>
      <c r="B1" s="79"/>
      <c r="C1" s="79"/>
      <c r="D1" s="79"/>
      <c r="E1" s="79"/>
      <c r="F1" s="79"/>
    </row>
    <row r="2" spans="1:6" x14ac:dyDescent="0.3">
      <c r="A2" s="80" t="s">
        <v>935</v>
      </c>
      <c r="B2" s="81"/>
      <c r="C2" s="81"/>
      <c r="D2" s="81"/>
      <c r="E2" s="81"/>
      <c r="F2" s="81"/>
    </row>
    <row r="4" spans="1:6" x14ac:dyDescent="0.3">
      <c r="A4" s="82" t="s">
        <v>936</v>
      </c>
      <c r="B4" s="82"/>
      <c r="C4" s="82"/>
      <c r="D4" s="82"/>
      <c r="E4" s="82"/>
      <c r="F4" s="82"/>
    </row>
    <row r="5" spans="1:6" ht="30" customHeight="1" x14ac:dyDescent="0.3">
      <c r="A5" s="76" t="s">
        <v>937</v>
      </c>
      <c r="B5" s="76" t="s">
        <v>931</v>
      </c>
      <c r="C5" s="76" t="s">
        <v>932</v>
      </c>
      <c r="D5" s="76" t="s">
        <v>933</v>
      </c>
      <c r="E5" s="76" t="s">
        <v>938</v>
      </c>
      <c r="F5" s="76" t="s">
        <v>939</v>
      </c>
    </row>
    <row r="6" spans="1:6" x14ac:dyDescent="0.3">
      <c r="A6" s="69" t="str">
        <f>"Ø "&amp;B6</f>
        <v>Ø 6</v>
      </c>
      <c r="B6" s="70">
        <v>6</v>
      </c>
      <c r="C6" s="71">
        <f>PI()*B6^2/4</f>
        <v>28.274333882308138</v>
      </c>
      <c r="D6" s="72">
        <f>C6/100</f>
        <v>0.28274333882308139</v>
      </c>
      <c r="E6" s="71">
        <f>PI()*B6</f>
        <v>18.849555921538759</v>
      </c>
      <c r="F6" s="73">
        <f>0.00785*C6</f>
        <v>0.22195352097611887</v>
      </c>
    </row>
    <row r="7" spans="1:6" x14ac:dyDescent="0.3">
      <c r="A7" s="69" t="str">
        <f t="shared" ref="A7:A16" si="0">"Ø "&amp;B7</f>
        <v>Ø 8</v>
      </c>
      <c r="B7" s="70">
        <v>8</v>
      </c>
      <c r="C7" s="71">
        <f t="shared" ref="C7:C16" si="1">PI()*B7^2/4</f>
        <v>50.26548245743669</v>
      </c>
      <c r="D7" s="72">
        <f t="shared" ref="D7:D16" si="2">C7/100</f>
        <v>0.50265482457436694</v>
      </c>
      <c r="E7" s="71">
        <f t="shared" ref="E7:E16" si="3">PI()*B7</f>
        <v>25.132741228718345</v>
      </c>
      <c r="F7" s="73">
        <f t="shared" ref="F7:F16" si="4">0.00785*C7</f>
        <v>0.39458403729087799</v>
      </c>
    </row>
    <row r="8" spans="1:6" x14ac:dyDescent="0.3">
      <c r="A8" s="69" t="str">
        <f t="shared" si="0"/>
        <v>Ø 10</v>
      </c>
      <c r="B8" s="70">
        <v>10</v>
      </c>
      <c r="C8" s="71">
        <f t="shared" si="1"/>
        <v>78.539816339744831</v>
      </c>
      <c r="D8" s="72">
        <f t="shared" si="2"/>
        <v>0.78539816339744828</v>
      </c>
      <c r="E8" s="71">
        <f t="shared" si="3"/>
        <v>31.415926535897931</v>
      </c>
      <c r="F8" s="73">
        <f t="shared" si="4"/>
        <v>0.61653755826699685</v>
      </c>
    </row>
    <row r="9" spans="1:6" x14ac:dyDescent="0.3">
      <c r="A9" s="69" t="str">
        <f t="shared" si="0"/>
        <v>Ø 12</v>
      </c>
      <c r="B9" s="70">
        <v>12</v>
      </c>
      <c r="C9" s="71">
        <f t="shared" si="1"/>
        <v>113.09733552923255</v>
      </c>
      <c r="D9" s="72">
        <f t="shared" si="2"/>
        <v>1.1309733552923256</v>
      </c>
      <c r="E9" s="71">
        <f t="shared" si="3"/>
        <v>37.699111843077517</v>
      </c>
      <c r="F9" s="73">
        <f t="shared" si="4"/>
        <v>0.88781408390447547</v>
      </c>
    </row>
    <row r="10" spans="1:6" x14ac:dyDescent="0.3">
      <c r="A10" s="69" t="str">
        <f t="shared" si="0"/>
        <v>Ø 14</v>
      </c>
      <c r="B10" s="70">
        <v>14</v>
      </c>
      <c r="C10" s="71">
        <f t="shared" si="1"/>
        <v>153.93804002589985</v>
      </c>
      <c r="D10" s="72">
        <f t="shared" si="2"/>
        <v>1.5393804002589986</v>
      </c>
      <c r="E10" s="71">
        <f t="shared" si="3"/>
        <v>43.982297150257104</v>
      </c>
      <c r="F10" s="73">
        <f t="shared" si="4"/>
        <v>1.2084136142033137</v>
      </c>
    </row>
    <row r="11" spans="1:6" x14ac:dyDescent="0.3">
      <c r="A11" s="69" t="str">
        <f t="shared" si="0"/>
        <v>Ø 16</v>
      </c>
      <c r="B11" s="70">
        <v>16</v>
      </c>
      <c r="C11" s="71">
        <f t="shared" si="1"/>
        <v>201.06192982974676</v>
      </c>
      <c r="D11" s="72">
        <f t="shared" si="2"/>
        <v>2.0106192982974678</v>
      </c>
      <c r="E11" s="71">
        <f t="shared" si="3"/>
        <v>50.26548245743669</v>
      </c>
      <c r="F11" s="73">
        <f t="shared" si="4"/>
        <v>1.5783361491635119</v>
      </c>
    </row>
    <row r="12" spans="1:6" x14ac:dyDescent="0.3">
      <c r="A12" s="69" t="str">
        <f t="shared" si="0"/>
        <v>Ø 20</v>
      </c>
      <c r="B12" s="70">
        <v>20</v>
      </c>
      <c r="C12" s="71">
        <f t="shared" si="1"/>
        <v>314.15926535897933</v>
      </c>
      <c r="D12" s="72">
        <f t="shared" si="2"/>
        <v>3.1415926535897931</v>
      </c>
      <c r="E12" s="71">
        <f t="shared" si="3"/>
        <v>62.831853071795862</v>
      </c>
      <c r="F12" s="73">
        <f t="shared" si="4"/>
        <v>2.4661502330679874</v>
      </c>
    </row>
    <row r="13" spans="1:6" x14ac:dyDescent="0.3">
      <c r="A13" s="69" t="str">
        <f t="shared" si="0"/>
        <v>Ø 25</v>
      </c>
      <c r="B13" s="70">
        <v>25</v>
      </c>
      <c r="C13" s="71">
        <f t="shared" si="1"/>
        <v>490.87385212340519</v>
      </c>
      <c r="D13" s="72">
        <f t="shared" si="2"/>
        <v>4.908738521234052</v>
      </c>
      <c r="E13" s="71">
        <f t="shared" si="3"/>
        <v>78.539816339744831</v>
      </c>
      <c r="F13" s="73">
        <f t="shared" si="4"/>
        <v>3.8533597391687304</v>
      </c>
    </row>
    <row r="14" spans="1:6" x14ac:dyDescent="0.3">
      <c r="A14" s="69" t="str">
        <f t="shared" si="0"/>
        <v>Ø 28</v>
      </c>
      <c r="B14" s="70">
        <v>28</v>
      </c>
      <c r="C14" s="71">
        <f t="shared" si="1"/>
        <v>615.75216010359941</v>
      </c>
      <c r="D14" s="72">
        <f t="shared" si="2"/>
        <v>6.1575216010359943</v>
      </c>
      <c r="E14" s="71">
        <f t="shared" si="3"/>
        <v>87.964594300514207</v>
      </c>
      <c r="F14" s="73">
        <f t="shared" si="4"/>
        <v>4.8336544568132549</v>
      </c>
    </row>
    <row r="15" spans="1:6" x14ac:dyDescent="0.3">
      <c r="A15" s="69" t="str">
        <f t="shared" si="0"/>
        <v>Ø 32</v>
      </c>
      <c r="B15" s="70">
        <v>32</v>
      </c>
      <c r="C15" s="71">
        <f t="shared" si="1"/>
        <v>804.24771931898704</v>
      </c>
      <c r="D15" s="72">
        <f t="shared" si="2"/>
        <v>8.0424771931898711</v>
      </c>
      <c r="E15" s="71">
        <f t="shared" si="3"/>
        <v>100.53096491487338</v>
      </c>
      <c r="F15" s="73">
        <f t="shared" si="4"/>
        <v>6.3133445966540478</v>
      </c>
    </row>
    <row r="16" spans="1:6" x14ac:dyDescent="0.3">
      <c r="A16" s="69" t="str">
        <f t="shared" si="0"/>
        <v>Ø 40</v>
      </c>
      <c r="B16" s="70">
        <v>40</v>
      </c>
      <c r="C16" s="71">
        <f t="shared" si="1"/>
        <v>1256.6370614359173</v>
      </c>
      <c r="D16" s="72">
        <f t="shared" si="2"/>
        <v>12.566370614359172</v>
      </c>
      <c r="E16" s="71">
        <f t="shared" si="3"/>
        <v>125.66370614359172</v>
      </c>
      <c r="F16" s="73">
        <f t="shared" si="4"/>
        <v>9.8646009322719497</v>
      </c>
    </row>
    <row r="18" spans="1:11" x14ac:dyDescent="0.3">
      <c r="A18" s="82" t="s">
        <v>940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</row>
    <row r="19" spans="1:11" ht="30" customHeight="1" x14ac:dyDescent="0.3">
      <c r="A19" s="76" t="s">
        <v>941</v>
      </c>
      <c r="B19" s="76">
        <v>1</v>
      </c>
      <c r="C19" s="76">
        <v>2</v>
      </c>
      <c r="D19" s="76">
        <v>3</v>
      </c>
      <c r="E19" s="76">
        <v>4</v>
      </c>
      <c r="F19" s="76">
        <v>5</v>
      </c>
      <c r="G19" s="76">
        <v>6</v>
      </c>
      <c r="H19" s="76">
        <v>7</v>
      </c>
      <c r="I19" s="76">
        <v>8</v>
      </c>
      <c r="J19" s="76">
        <v>9</v>
      </c>
      <c r="K19" s="76">
        <v>10</v>
      </c>
    </row>
    <row r="20" spans="1:11" x14ac:dyDescent="0.3">
      <c r="A20" s="75" t="str">
        <f>A6</f>
        <v>Ø 6</v>
      </c>
      <c r="B20" s="72">
        <f>B$19*PI()*$B6^2/4/100</f>
        <v>0.28274333882308139</v>
      </c>
      <c r="C20" s="72">
        <f t="shared" ref="C20:K20" si="5">C$19*PI()*$B6^2/4/100</f>
        <v>0.56548667764616278</v>
      </c>
      <c r="D20" s="72">
        <f t="shared" si="5"/>
        <v>0.84823001646924412</v>
      </c>
      <c r="E20" s="72">
        <f t="shared" si="5"/>
        <v>1.1309733552923256</v>
      </c>
      <c r="F20" s="72">
        <f t="shared" si="5"/>
        <v>1.4137166941154069</v>
      </c>
      <c r="G20" s="72">
        <f t="shared" si="5"/>
        <v>1.6964600329384882</v>
      </c>
      <c r="H20" s="72">
        <f t="shared" si="5"/>
        <v>1.9792033717615698</v>
      </c>
      <c r="I20" s="72">
        <f t="shared" si="5"/>
        <v>2.2619467105846511</v>
      </c>
      <c r="J20" s="72">
        <f t="shared" si="5"/>
        <v>2.5446900494077322</v>
      </c>
      <c r="K20" s="72">
        <f t="shared" si="5"/>
        <v>2.8274333882308138</v>
      </c>
    </row>
    <row r="21" spans="1:11" x14ac:dyDescent="0.3">
      <c r="A21" s="75" t="str">
        <f t="shared" ref="A21:A30" si="6">A7</f>
        <v>Ø 8</v>
      </c>
      <c r="B21" s="72">
        <f t="shared" ref="B21:K21" si="7">B$19*PI()*$B7^2/4/100</f>
        <v>0.50265482457436694</v>
      </c>
      <c r="C21" s="72">
        <f t="shared" si="7"/>
        <v>1.0053096491487339</v>
      </c>
      <c r="D21" s="72">
        <f t="shared" si="7"/>
        <v>1.5079644737231006</v>
      </c>
      <c r="E21" s="72">
        <f t="shared" si="7"/>
        <v>2.0106192982974678</v>
      </c>
      <c r="F21" s="72">
        <f t="shared" si="7"/>
        <v>2.5132741228718345</v>
      </c>
      <c r="G21" s="72">
        <f t="shared" si="7"/>
        <v>3.0159289474462012</v>
      </c>
      <c r="H21" s="72">
        <f t="shared" si="7"/>
        <v>3.5185837720205684</v>
      </c>
      <c r="I21" s="72">
        <f t="shared" si="7"/>
        <v>4.0212385965949355</v>
      </c>
      <c r="J21" s="72">
        <f t="shared" si="7"/>
        <v>4.5238934211693023</v>
      </c>
      <c r="K21" s="72">
        <f t="shared" si="7"/>
        <v>5.026548245743669</v>
      </c>
    </row>
    <row r="22" spans="1:11" x14ac:dyDescent="0.3">
      <c r="A22" s="75" t="str">
        <f t="shared" si="6"/>
        <v>Ø 10</v>
      </c>
      <c r="B22" s="72">
        <f t="shared" ref="B22:K22" si="8">B$19*PI()*$B8^2/4/100</f>
        <v>0.78539816339744828</v>
      </c>
      <c r="C22" s="72">
        <f t="shared" si="8"/>
        <v>1.5707963267948966</v>
      </c>
      <c r="D22" s="72">
        <f t="shared" si="8"/>
        <v>2.3561944901923448</v>
      </c>
      <c r="E22" s="72">
        <f t="shared" si="8"/>
        <v>3.1415926535897931</v>
      </c>
      <c r="F22" s="72">
        <f t="shared" si="8"/>
        <v>3.926990816987241</v>
      </c>
      <c r="G22" s="72">
        <f t="shared" si="8"/>
        <v>4.7123889803846897</v>
      </c>
      <c r="H22" s="72">
        <f t="shared" si="8"/>
        <v>5.4977871437821371</v>
      </c>
      <c r="I22" s="72">
        <f t="shared" si="8"/>
        <v>6.2831853071795862</v>
      </c>
      <c r="J22" s="72">
        <f t="shared" si="8"/>
        <v>7.0685834705770345</v>
      </c>
      <c r="K22" s="72">
        <f t="shared" si="8"/>
        <v>7.8539816339744819</v>
      </c>
    </row>
    <row r="23" spans="1:11" x14ac:dyDescent="0.3">
      <c r="A23" s="75" t="str">
        <f t="shared" si="6"/>
        <v>Ø 12</v>
      </c>
      <c r="B23" s="72">
        <f t="shared" ref="B23:K23" si="9">B$19*PI()*$B9^2/4/100</f>
        <v>1.1309733552923256</v>
      </c>
      <c r="C23" s="72">
        <f t="shared" si="9"/>
        <v>2.2619467105846511</v>
      </c>
      <c r="D23" s="72">
        <f t="shared" si="9"/>
        <v>3.3929200658769765</v>
      </c>
      <c r="E23" s="72">
        <f t="shared" si="9"/>
        <v>4.5238934211693023</v>
      </c>
      <c r="F23" s="72">
        <f t="shared" si="9"/>
        <v>5.6548667764616276</v>
      </c>
      <c r="G23" s="72">
        <f t="shared" si="9"/>
        <v>6.785840131753953</v>
      </c>
      <c r="H23" s="72">
        <f t="shared" si="9"/>
        <v>7.9168134870462792</v>
      </c>
      <c r="I23" s="72">
        <f t="shared" si="9"/>
        <v>9.0477868423386045</v>
      </c>
      <c r="J23" s="72">
        <f t="shared" si="9"/>
        <v>10.178760197630929</v>
      </c>
      <c r="K23" s="72">
        <f t="shared" si="9"/>
        <v>11.309733552923255</v>
      </c>
    </row>
    <row r="24" spans="1:11" x14ac:dyDescent="0.3">
      <c r="A24" s="75" t="str">
        <f t="shared" si="6"/>
        <v>Ø 14</v>
      </c>
      <c r="B24" s="72">
        <f t="shared" ref="B24:K24" si="10">B$19*PI()*$B10^2/4/100</f>
        <v>1.5393804002589986</v>
      </c>
      <c r="C24" s="72">
        <f t="shared" si="10"/>
        <v>3.0787608005179972</v>
      </c>
      <c r="D24" s="72">
        <f t="shared" si="10"/>
        <v>4.6181412007769964</v>
      </c>
      <c r="E24" s="72">
        <f t="shared" si="10"/>
        <v>6.1575216010359943</v>
      </c>
      <c r="F24" s="72">
        <f t="shared" si="10"/>
        <v>7.6969020012949931</v>
      </c>
      <c r="G24" s="72">
        <f t="shared" si="10"/>
        <v>9.2362824015539928</v>
      </c>
      <c r="H24" s="72">
        <f t="shared" si="10"/>
        <v>10.775662801812992</v>
      </c>
      <c r="I24" s="72">
        <f t="shared" si="10"/>
        <v>12.315043202071989</v>
      </c>
      <c r="J24" s="72">
        <f t="shared" si="10"/>
        <v>13.854423602330987</v>
      </c>
      <c r="K24" s="72">
        <f t="shared" si="10"/>
        <v>15.393804002589986</v>
      </c>
    </row>
    <row r="25" spans="1:11" x14ac:dyDescent="0.3">
      <c r="A25" s="75" t="str">
        <f t="shared" si="6"/>
        <v>Ø 16</v>
      </c>
      <c r="B25" s="72">
        <f t="shared" ref="B25:K25" si="11">B$19*PI()*$B11^2/4/100</f>
        <v>2.0106192982974678</v>
      </c>
      <c r="C25" s="72">
        <f t="shared" si="11"/>
        <v>4.0212385965949355</v>
      </c>
      <c r="D25" s="72">
        <f t="shared" si="11"/>
        <v>6.0318578948924024</v>
      </c>
      <c r="E25" s="72">
        <f t="shared" si="11"/>
        <v>8.0424771931898711</v>
      </c>
      <c r="F25" s="72">
        <f t="shared" si="11"/>
        <v>10.053096491487338</v>
      </c>
      <c r="G25" s="72">
        <f t="shared" si="11"/>
        <v>12.063715789784805</v>
      </c>
      <c r="H25" s="72">
        <f t="shared" si="11"/>
        <v>14.074335088082274</v>
      </c>
      <c r="I25" s="72">
        <f t="shared" si="11"/>
        <v>16.084954386379742</v>
      </c>
      <c r="J25" s="72">
        <f t="shared" si="11"/>
        <v>18.095573684677209</v>
      </c>
      <c r="K25" s="72">
        <f t="shared" si="11"/>
        <v>20.106192982974676</v>
      </c>
    </row>
    <row r="26" spans="1:11" x14ac:dyDescent="0.3">
      <c r="A26" s="75" t="str">
        <f t="shared" si="6"/>
        <v>Ø 20</v>
      </c>
      <c r="B26" s="72">
        <f t="shared" ref="B26:K26" si="12">B$19*PI()*$B12^2/4/100</f>
        <v>3.1415926535897931</v>
      </c>
      <c r="C26" s="72">
        <f t="shared" si="12"/>
        <v>6.2831853071795862</v>
      </c>
      <c r="D26" s="72">
        <f t="shared" si="12"/>
        <v>9.4247779607693793</v>
      </c>
      <c r="E26" s="72">
        <f t="shared" si="12"/>
        <v>12.566370614359172</v>
      </c>
      <c r="F26" s="72">
        <f t="shared" si="12"/>
        <v>15.707963267948964</v>
      </c>
      <c r="G26" s="72">
        <f t="shared" si="12"/>
        <v>18.849555921538759</v>
      </c>
      <c r="H26" s="72">
        <f t="shared" si="12"/>
        <v>21.991148575128548</v>
      </c>
      <c r="I26" s="72">
        <f t="shared" si="12"/>
        <v>25.132741228718345</v>
      </c>
      <c r="J26" s="72">
        <f t="shared" si="12"/>
        <v>28.274333882308138</v>
      </c>
      <c r="K26" s="72">
        <f t="shared" si="12"/>
        <v>31.415926535897928</v>
      </c>
    </row>
    <row r="27" spans="1:11" x14ac:dyDescent="0.3">
      <c r="A27" s="75" t="str">
        <f t="shared" si="6"/>
        <v>Ø 25</v>
      </c>
      <c r="B27" s="72">
        <f t="shared" ref="B27:K27" si="13">B$19*PI()*$B13^2/4/100</f>
        <v>4.908738521234052</v>
      </c>
      <c r="C27" s="72">
        <f t="shared" si="13"/>
        <v>9.8174770424681039</v>
      </c>
      <c r="D27" s="72">
        <f t="shared" si="13"/>
        <v>14.726215563702155</v>
      </c>
      <c r="E27" s="72">
        <f t="shared" si="13"/>
        <v>19.634954084936208</v>
      </c>
      <c r="F27" s="72">
        <f t="shared" si="13"/>
        <v>24.543692606170257</v>
      </c>
      <c r="G27" s="72">
        <f t="shared" si="13"/>
        <v>29.45243112740431</v>
      </c>
      <c r="H27" s="72">
        <f t="shared" si="13"/>
        <v>34.361169648638359</v>
      </c>
      <c r="I27" s="72">
        <f t="shared" si="13"/>
        <v>39.269908169872416</v>
      </c>
      <c r="J27" s="72">
        <f t="shared" si="13"/>
        <v>44.178646691106472</v>
      </c>
      <c r="K27" s="72">
        <f t="shared" si="13"/>
        <v>49.087385212340514</v>
      </c>
    </row>
    <row r="28" spans="1:11" x14ac:dyDescent="0.3">
      <c r="A28" s="75" t="str">
        <f t="shared" si="6"/>
        <v>Ø 28</v>
      </c>
      <c r="B28" s="72">
        <f t="shared" ref="B28:K28" si="14">B$19*PI()*$B14^2/4/100</f>
        <v>6.1575216010359943</v>
      </c>
      <c r="C28" s="72">
        <f t="shared" si="14"/>
        <v>12.315043202071989</v>
      </c>
      <c r="D28" s="72">
        <f t="shared" si="14"/>
        <v>18.472564803107986</v>
      </c>
      <c r="E28" s="72">
        <f t="shared" si="14"/>
        <v>24.630086404143977</v>
      </c>
      <c r="F28" s="72">
        <f t="shared" si="14"/>
        <v>30.787608005179973</v>
      </c>
      <c r="G28" s="72">
        <f t="shared" si="14"/>
        <v>36.945129606215971</v>
      </c>
      <c r="H28" s="72">
        <f t="shared" si="14"/>
        <v>43.102651207251967</v>
      </c>
      <c r="I28" s="72">
        <f t="shared" si="14"/>
        <v>49.260172808287955</v>
      </c>
      <c r="J28" s="72">
        <f t="shared" si="14"/>
        <v>55.41769440932395</v>
      </c>
      <c r="K28" s="72">
        <f t="shared" si="14"/>
        <v>61.575216010359945</v>
      </c>
    </row>
    <row r="29" spans="1:11" x14ac:dyDescent="0.3">
      <c r="A29" s="75" t="str">
        <f t="shared" si="6"/>
        <v>Ø 32</v>
      </c>
      <c r="B29" s="72">
        <f t="shared" ref="B29:K29" si="15">B$19*PI()*$B15^2/4/100</f>
        <v>8.0424771931898711</v>
      </c>
      <c r="C29" s="72">
        <f t="shared" si="15"/>
        <v>16.084954386379742</v>
      </c>
      <c r="D29" s="72">
        <f t="shared" si="15"/>
        <v>24.12743157956961</v>
      </c>
      <c r="E29" s="72">
        <f t="shared" si="15"/>
        <v>32.169908772759484</v>
      </c>
      <c r="F29" s="72">
        <f t="shared" si="15"/>
        <v>40.212385965949352</v>
      </c>
      <c r="G29" s="72">
        <f t="shared" si="15"/>
        <v>48.254863159139219</v>
      </c>
      <c r="H29" s="72">
        <f t="shared" si="15"/>
        <v>56.297340352329094</v>
      </c>
      <c r="I29" s="72">
        <f t="shared" si="15"/>
        <v>64.339817545518969</v>
      </c>
      <c r="J29" s="72">
        <f t="shared" si="15"/>
        <v>72.382294738708836</v>
      </c>
      <c r="K29" s="72">
        <f t="shared" si="15"/>
        <v>80.424771931898704</v>
      </c>
    </row>
    <row r="30" spans="1:11" x14ac:dyDescent="0.3">
      <c r="A30" s="75" t="str">
        <f t="shared" si="6"/>
        <v>Ø 40</v>
      </c>
      <c r="B30" s="72">
        <f t="shared" ref="B30:K30" si="16">B$19*PI()*$B16^2/4/100</f>
        <v>12.566370614359172</v>
      </c>
      <c r="C30" s="72">
        <f t="shared" si="16"/>
        <v>25.132741228718345</v>
      </c>
      <c r="D30" s="72">
        <f t="shared" si="16"/>
        <v>37.699111843077517</v>
      </c>
      <c r="E30" s="72">
        <f t="shared" si="16"/>
        <v>50.26548245743669</v>
      </c>
      <c r="F30" s="72">
        <f t="shared" si="16"/>
        <v>62.831853071795855</v>
      </c>
      <c r="G30" s="72">
        <f t="shared" si="16"/>
        <v>75.398223686155035</v>
      </c>
      <c r="H30" s="72">
        <f t="shared" si="16"/>
        <v>87.964594300514193</v>
      </c>
      <c r="I30" s="72">
        <f t="shared" si="16"/>
        <v>100.53096491487338</v>
      </c>
      <c r="J30" s="72">
        <f t="shared" si="16"/>
        <v>113.09733552923255</v>
      </c>
      <c r="K30" s="72">
        <f t="shared" si="16"/>
        <v>125.66370614359171</v>
      </c>
    </row>
    <row r="33" spans="1:6" x14ac:dyDescent="0.3">
      <c r="A33" s="82" t="s">
        <v>942</v>
      </c>
      <c r="B33" s="81"/>
      <c r="C33" s="81"/>
      <c r="D33" s="81"/>
      <c r="E33" s="81"/>
      <c r="F33" s="81"/>
    </row>
    <row r="34" spans="1:6" x14ac:dyDescent="0.3">
      <c r="A34" s="83" t="s">
        <v>943</v>
      </c>
      <c r="B34" s="83" t="s">
        <v>944</v>
      </c>
      <c r="C34" s="83" t="s">
        <v>945</v>
      </c>
      <c r="D34" s="83" t="s">
        <v>946</v>
      </c>
      <c r="E34" s="83" t="s">
        <v>947</v>
      </c>
      <c r="F34" s="83" t="s">
        <v>948</v>
      </c>
    </row>
    <row r="35" spans="1:6" x14ac:dyDescent="0.3">
      <c r="A35" s="84" t="s">
        <v>949</v>
      </c>
      <c r="B35" s="85">
        <v>12</v>
      </c>
      <c r="C35" s="85">
        <v>15</v>
      </c>
      <c r="D35" s="72">
        <f>0.3*B35^(2/3)</f>
        <v>1.5724448365253381</v>
      </c>
      <c r="E35" s="72">
        <f>0.7*D35</f>
        <v>1.1007113855677366</v>
      </c>
      <c r="F35" s="85">
        <f>22000*((B35+8)/10)^0.3</f>
        <v>27085.177093588158</v>
      </c>
    </row>
    <row r="36" spans="1:6" x14ac:dyDescent="0.3">
      <c r="A36" s="84" t="s">
        <v>950</v>
      </c>
      <c r="B36" s="85">
        <v>16</v>
      </c>
      <c r="C36" s="85">
        <v>20</v>
      </c>
      <c r="D36" s="72">
        <f t="shared" ref="D36:D43" si="17">0.3*B36^(2/3)</f>
        <v>1.9048812623618392</v>
      </c>
      <c r="E36" s="72">
        <f t="shared" ref="E36:E43" si="18">0.7*D36</f>
        <v>1.3334168836532874</v>
      </c>
      <c r="F36" s="85">
        <f t="shared" ref="F36:F43" si="19">22000*((B36+8)/10)^0.3</f>
        <v>28607.904894961401</v>
      </c>
    </row>
    <row r="37" spans="1:6" x14ac:dyDescent="0.3">
      <c r="A37" s="84" t="s">
        <v>951</v>
      </c>
      <c r="B37" s="85">
        <v>20</v>
      </c>
      <c r="C37" s="85">
        <v>25</v>
      </c>
      <c r="D37" s="72">
        <f t="shared" si="17"/>
        <v>2.2104188991842313</v>
      </c>
      <c r="E37" s="72">
        <f t="shared" si="18"/>
        <v>1.5472932294289619</v>
      </c>
      <c r="F37" s="85">
        <f t="shared" si="19"/>
        <v>29961.951054640307</v>
      </c>
    </row>
    <row r="38" spans="1:6" x14ac:dyDescent="0.3">
      <c r="A38" s="84" t="s">
        <v>952</v>
      </c>
      <c r="B38" s="85">
        <v>25</v>
      </c>
      <c r="C38" s="85">
        <v>30</v>
      </c>
      <c r="D38" s="72">
        <f t="shared" si="17"/>
        <v>2.5649639200150443</v>
      </c>
      <c r="E38" s="72">
        <f t="shared" si="18"/>
        <v>1.7954747440105308</v>
      </c>
      <c r="F38" s="85">
        <f t="shared" si="19"/>
        <v>31475.806210019346</v>
      </c>
    </row>
    <row r="39" spans="1:6" x14ac:dyDescent="0.3">
      <c r="A39" s="84" t="s">
        <v>953</v>
      </c>
      <c r="B39" s="85">
        <v>30</v>
      </c>
      <c r="C39" s="85">
        <v>37</v>
      </c>
      <c r="D39" s="72">
        <f t="shared" si="17"/>
        <v>2.896468153816889</v>
      </c>
      <c r="E39" s="72">
        <f t="shared" si="18"/>
        <v>2.0275277076718221</v>
      </c>
      <c r="F39" s="85">
        <f t="shared" si="19"/>
        <v>32836.568031330789</v>
      </c>
    </row>
    <row r="40" spans="1:6" x14ac:dyDescent="0.3">
      <c r="A40" s="84" t="s">
        <v>954</v>
      </c>
      <c r="B40" s="85">
        <v>35</v>
      </c>
      <c r="C40" s="85">
        <v>45</v>
      </c>
      <c r="D40" s="72">
        <f t="shared" si="17"/>
        <v>3.2099624416952368</v>
      </c>
      <c r="E40" s="72">
        <f t="shared" si="18"/>
        <v>2.2469737091866655</v>
      </c>
      <c r="F40" s="85">
        <f t="shared" si="19"/>
        <v>34077.14619918933</v>
      </c>
    </row>
    <row r="41" spans="1:6" x14ac:dyDescent="0.3">
      <c r="A41" s="84" t="s">
        <v>955</v>
      </c>
      <c r="B41" s="85">
        <v>40</v>
      </c>
      <c r="C41" s="85">
        <v>50</v>
      </c>
      <c r="D41" s="72">
        <f t="shared" si="17"/>
        <v>3.5088212858554391</v>
      </c>
      <c r="E41" s="72">
        <f t="shared" si="18"/>
        <v>2.4561749000988073</v>
      </c>
      <c r="F41" s="85">
        <f t="shared" si="19"/>
        <v>35220.462288934417</v>
      </c>
    </row>
    <row r="42" spans="1:6" x14ac:dyDescent="0.3">
      <c r="A42" s="84" t="s">
        <v>956</v>
      </c>
      <c r="B42" s="85">
        <v>45</v>
      </c>
      <c r="C42" s="85">
        <v>55</v>
      </c>
      <c r="D42" s="72">
        <f t="shared" si="17"/>
        <v>3.7954469938578708</v>
      </c>
      <c r="E42" s="72">
        <f t="shared" si="18"/>
        <v>2.6568128957005093</v>
      </c>
      <c r="F42" s="85">
        <f t="shared" si="19"/>
        <v>36283.188218914132</v>
      </c>
    </row>
    <row r="43" spans="1:6" x14ac:dyDescent="0.3">
      <c r="A43" s="84" t="s">
        <v>957</v>
      </c>
      <c r="B43" s="85">
        <v>50</v>
      </c>
      <c r="C43" s="85">
        <v>60</v>
      </c>
      <c r="D43" s="72">
        <f t="shared" si="17"/>
        <v>4.0716264248923588</v>
      </c>
      <c r="E43" s="72">
        <f t="shared" si="18"/>
        <v>2.8501384974246511</v>
      </c>
      <c r="F43" s="85">
        <f t="shared" si="19"/>
        <v>37277.869091614652</v>
      </c>
    </row>
    <row r="45" spans="1:6" x14ac:dyDescent="0.3">
      <c r="A45" s="82" t="s">
        <v>958</v>
      </c>
      <c r="B45" s="81"/>
      <c r="C45" s="81"/>
      <c r="D45" s="81"/>
      <c r="E45" s="81"/>
      <c r="F45" s="81"/>
    </row>
    <row r="46" spans="1:6" x14ac:dyDescent="0.3">
      <c r="A46" s="83" t="s">
        <v>959</v>
      </c>
      <c r="B46" s="83" t="s">
        <v>960</v>
      </c>
      <c r="C46" s="83" t="s">
        <v>961</v>
      </c>
      <c r="D46" s="83" t="s">
        <v>962</v>
      </c>
      <c r="E46" s="83" t="s">
        <v>963</v>
      </c>
    </row>
    <row r="47" spans="1:6" x14ac:dyDescent="0.3">
      <c r="A47" s="84" t="s">
        <v>964</v>
      </c>
      <c r="B47" s="69">
        <v>500</v>
      </c>
      <c r="C47" s="69">
        <v>25</v>
      </c>
      <c r="D47" s="69">
        <v>1.05</v>
      </c>
      <c r="E47" s="86" t="s">
        <v>965</v>
      </c>
    </row>
    <row r="48" spans="1:6" x14ac:dyDescent="0.3">
      <c r="A48" s="84" t="s">
        <v>966</v>
      </c>
      <c r="B48" s="69">
        <v>500</v>
      </c>
      <c r="C48" s="69">
        <v>25</v>
      </c>
      <c r="D48" s="69">
        <v>1.08</v>
      </c>
      <c r="E48" s="86" t="s">
        <v>967</v>
      </c>
    </row>
    <row r="49" spans="1:9" x14ac:dyDescent="0.3">
      <c r="A49" s="84" t="s">
        <v>968</v>
      </c>
      <c r="B49" s="69">
        <v>500</v>
      </c>
      <c r="C49" s="69">
        <v>25</v>
      </c>
      <c r="D49" s="69">
        <v>1.1499999999999999</v>
      </c>
      <c r="E49" s="86" t="s">
        <v>969</v>
      </c>
    </row>
    <row r="51" spans="1:9" x14ac:dyDescent="0.3">
      <c r="A51" s="93" t="s">
        <v>970</v>
      </c>
      <c r="B51" s="92"/>
      <c r="C51" s="92"/>
      <c r="D51" s="92"/>
      <c r="E51" s="92"/>
      <c r="F51" s="92"/>
      <c r="G51" s="92"/>
      <c r="H51" s="92"/>
      <c r="I51" s="92"/>
    </row>
    <row r="52" spans="1:9" ht="30" customHeight="1" x14ac:dyDescent="0.3">
      <c r="A52" s="95" t="s">
        <v>971</v>
      </c>
      <c r="B52" s="76" t="s">
        <v>972</v>
      </c>
      <c r="C52" s="76" t="s">
        <v>973</v>
      </c>
      <c r="D52" s="76" t="s">
        <v>974</v>
      </c>
      <c r="E52" s="76" t="s">
        <v>975</v>
      </c>
      <c r="F52" s="76" t="s">
        <v>976</v>
      </c>
      <c r="G52" s="76" t="s">
        <v>977</v>
      </c>
      <c r="H52" s="76" t="s">
        <v>978</v>
      </c>
      <c r="I52" s="76" t="s">
        <v>979</v>
      </c>
    </row>
    <row r="53" spans="1:9" x14ac:dyDescent="0.3">
      <c r="A53" s="96" t="s">
        <v>980</v>
      </c>
      <c r="B53" s="69" t="s">
        <v>981</v>
      </c>
      <c r="C53" s="73">
        <v>0.375</v>
      </c>
      <c r="D53" s="71">
        <f>C53*25.4</f>
        <v>9.5249999999999986</v>
      </c>
      <c r="E53" s="72">
        <v>0.11</v>
      </c>
      <c r="F53" s="85">
        <f>E53*645.16</f>
        <v>70.96759999999999</v>
      </c>
      <c r="G53" s="72">
        <f>F53/100</f>
        <v>0.70967599999999986</v>
      </c>
      <c r="H53" s="73">
        <f>0.00785*F53</f>
        <v>0.55709565999999988</v>
      </c>
      <c r="I53" s="69" t="s">
        <v>982</v>
      </c>
    </row>
    <row r="54" spans="1:9" x14ac:dyDescent="0.3">
      <c r="A54" s="96" t="s">
        <v>983</v>
      </c>
      <c r="B54" s="69" t="s">
        <v>984</v>
      </c>
      <c r="C54" s="73">
        <v>0.5</v>
      </c>
      <c r="D54" s="71">
        <f t="shared" ref="D54:D63" si="20">C54*25.4</f>
        <v>12.7</v>
      </c>
      <c r="E54" s="72">
        <v>0.2</v>
      </c>
      <c r="F54" s="85">
        <f t="shared" ref="F54:F63" si="21">E54*645.16</f>
        <v>129.03200000000001</v>
      </c>
      <c r="G54" s="72">
        <f t="shared" ref="G54:G63" si="22">F54/100</f>
        <v>1.2903200000000001</v>
      </c>
      <c r="H54" s="73">
        <f t="shared" ref="H54:H63" si="23">0.00785*F54</f>
        <v>1.0129011999999999</v>
      </c>
      <c r="I54" s="69" t="s">
        <v>985</v>
      </c>
    </row>
    <row r="55" spans="1:9" x14ac:dyDescent="0.3">
      <c r="A55" s="96" t="s">
        <v>986</v>
      </c>
      <c r="B55" s="69" t="s">
        <v>987</v>
      </c>
      <c r="C55" s="73">
        <v>0.625</v>
      </c>
      <c r="D55" s="71">
        <f t="shared" si="20"/>
        <v>15.875</v>
      </c>
      <c r="E55" s="72">
        <v>0.31</v>
      </c>
      <c r="F55" s="85">
        <f t="shared" si="21"/>
        <v>199.99959999999999</v>
      </c>
      <c r="G55" s="72">
        <f t="shared" si="22"/>
        <v>1.9999959999999999</v>
      </c>
      <c r="H55" s="73">
        <f t="shared" si="23"/>
        <v>1.5699968599999998</v>
      </c>
      <c r="I55" s="69" t="s">
        <v>988</v>
      </c>
    </row>
    <row r="56" spans="1:9" x14ac:dyDescent="0.3">
      <c r="A56" s="96" t="s">
        <v>989</v>
      </c>
      <c r="B56" s="69" t="s">
        <v>990</v>
      </c>
      <c r="C56" s="73">
        <v>0.75</v>
      </c>
      <c r="D56" s="71">
        <f t="shared" si="20"/>
        <v>19.049999999999997</v>
      </c>
      <c r="E56" s="72">
        <v>0.44</v>
      </c>
      <c r="F56" s="85">
        <f t="shared" si="21"/>
        <v>283.87039999999996</v>
      </c>
      <c r="G56" s="72">
        <f t="shared" si="22"/>
        <v>2.8387039999999994</v>
      </c>
      <c r="H56" s="73">
        <f t="shared" si="23"/>
        <v>2.2283826399999995</v>
      </c>
      <c r="I56" s="69" t="s">
        <v>991</v>
      </c>
    </row>
    <row r="57" spans="1:9" x14ac:dyDescent="0.3">
      <c r="A57" s="96" t="s">
        <v>992</v>
      </c>
      <c r="B57" s="69" t="s">
        <v>993</v>
      </c>
      <c r="C57" s="73">
        <v>0.875</v>
      </c>
      <c r="D57" s="71">
        <f t="shared" si="20"/>
        <v>22.224999999999998</v>
      </c>
      <c r="E57" s="72">
        <v>0.6</v>
      </c>
      <c r="F57" s="85">
        <f t="shared" si="21"/>
        <v>387.09599999999995</v>
      </c>
      <c r="G57" s="72">
        <f t="shared" si="22"/>
        <v>3.8709599999999993</v>
      </c>
      <c r="H57" s="73">
        <f t="shared" si="23"/>
        <v>3.0387035999999994</v>
      </c>
      <c r="I57" s="69" t="s">
        <v>994</v>
      </c>
    </row>
    <row r="58" spans="1:9" x14ac:dyDescent="0.3">
      <c r="A58" s="96" t="s">
        <v>995</v>
      </c>
      <c r="B58" s="69" t="s">
        <v>996</v>
      </c>
      <c r="C58" s="73">
        <v>1</v>
      </c>
      <c r="D58" s="71">
        <f t="shared" si="20"/>
        <v>25.4</v>
      </c>
      <c r="E58" s="72">
        <v>0.79</v>
      </c>
      <c r="F58" s="85">
        <f t="shared" si="21"/>
        <v>509.6764</v>
      </c>
      <c r="G58" s="72">
        <f t="shared" si="22"/>
        <v>5.0967640000000003</v>
      </c>
      <c r="H58" s="73">
        <f t="shared" si="23"/>
        <v>4.0009597399999999</v>
      </c>
      <c r="I58" s="69" t="s">
        <v>997</v>
      </c>
    </row>
    <row r="59" spans="1:9" x14ac:dyDescent="0.3">
      <c r="A59" s="96" t="s">
        <v>998</v>
      </c>
      <c r="B59" s="69" t="s">
        <v>999</v>
      </c>
      <c r="C59" s="73">
        <v>1.1279999999999999</v>
      </c>
      <c r="D59" s="71">
        <f t="shared" si="20"/>
        <v>28.651199999999996</v>
      </c>
      <c r="E59" s="72">
        <v>1</v>
      </c>
      <c r="F59" s="85">
        <f t="shared" si="21"/>
        <v>645.16</v>
      </c>
      <c r="G59" s="72">
        <f t="shared" si="22"/>
        <v>6.4516</v>
      </c>
      <c r="H59" s="73">
        <f t="shared" si="23"/>
        <v>5.0645059999999997</v>
      </c>
      <c r="I59" s="69" t="s">
        <v>1000</v>
      </c>
    </row>
    <row r="60" spans="1:9" x14ac:dyDescent="0.3">
      <c r="A60" s="96" t="s">
        <v>1001</v>
      </c>
      <c r="B60" s="69" t="s">
        <v>1002</v>
      </c>
      <c r="C60" s="73">
        <v>1.27</v>
      </c>
      <c r="D60" s="71">
        <f t="shared" si="20"/>
        <v>32.257999999999996</v>
      </c>
      <c r="E60" s="72">
        <v>1.27</v>
      </c>
      <c r="F60" s="85">
        <f t="shared" si="21"/>
        <v>819.35320000000002</v>
      </c>
      <c r="G60" s="72">
        <f t="shared" si="22"/>
        <v>8.1935319999999994</v>
      </c>
      <c r="H60" s="73">
        <f t="shared" si="23"/>
        <v>6.4319226199999999</v>
      </c>
      <c r="I60" s="69" t="s">
        <v>1003</v>
      </c>
    </row>
    <row r="61" spans="1:9" x14ac:dyDescent="0.3">
      <c r="A61" s="96" t="s">
        <v>1004</v>
      </c>
      <c r="B61" s="69" t="s">
        <v>1005</v>
      </c>
      <c r="C61" s="73">
        <v>1.41</v>
      </c>
      <c r="D61" s="71">
        <f t="shared" si="20"/>
        <v>35.813999999999993</v>
      </c>
      <c r="E61" s="72">
        <v>1.56</v>
      </c>
      <c r="F61" s="85">
        <f t="shared" si="21"/>
        <v>1006.4496</v>
      </c>
      <c r="G61" s="72">
        <f t="shared" si="22"/>
        <v>10.064496</v>
      </c>
      <c r="H61" s="73">
        <f t="shared" si="23"/>
        <v>7.9006293599999999</v>
      </c>
      <c r="I61" s="69" t="s">
        <v>1006</v>
      </c>
    </row>
    <row r="62" spans="1:9" x14ac:dyDescent="0.3">
      <c r="A62" s="96" t="s">
        <v>1007</v>
      </c>
      <c r="B62" s="69" t="s">
        <v>1008</v>
      </c>
      <c r="C62" s="73">
        <v>1.6930000000000001</v>
      </c>
      <c r="D62" s="71">
        <f t="shared" si="20"/>
        <v>43.002200000000002</v>
      </c>
      <c r="E62" s="72">
        <v>2.25</v>
      </c>
      <c r="F62" s="85">
        <f t="shared" si="21"/>
        <v>1451.61</v>
      </c>
      <c r="G62" s="72">
        <f t="shared" si="22"/>
        <v>14.5161</v>
      </c>
      <c r="H62" s="73">
        <f t="shared" si="23"/>
        <v>11.395138499999998</v>
      </c>
      <c r="I62" s="69" t="s">
        <v>1009</v>
      </c>
    </row>
    <row r="63" spans="1:9" x14ac:dyDescent="0.3">
      <c r="A63" s="96" t="s">
        <v>1010</v>
      </c>
      <c r="B63" s="69" t="s">
        <v>1011</v>
      </c>
      <c r="C63" s="73">
        <v>2.2570000000000001</v>
      </c>
      <c r="D63" s="71">
        <f t="shared" si="20"/>
        <v>57.327799999999996</v>
      </c>
      <c r="E63" s="72">
        <v>4</v>
      </c>
      <c r="F63" s="85">
        <f t="shared" si="21"/>
        <v>2580.64</v>
      </c>
      <c r="G63" s="72">
        <f t="shared" si="22"/>
        <v>25.8064</v>
      </c>
      <c r="H63" s="73">
        <f t="shared" si="23"/>
        <v>20.258023999999999</v>
      </c>
      <c r="I63" s="69" t="s">
        <v>1012</v>
      </c>
    </row>
    <row r="66" spans="1:6" x14ac:dyDescent="0.3">
      <c r="A66" s="97" t="s">
        <v>1013</v>
      </c>
      <c r="B66" s="97"/>
      <c r="C66" s="97"/>
      <c r="D66" s="97"/>
      <c r="E66" s="97"/>
      <c r="F66" s="97"/>
    </row>
    <row r="67" spans="1:6" x14ac:dyDescent="0.3">
      <c r="A67" s="94" t="s">
        <v>1014</v>
      </c>
      <c r="C67" s="88" t="s">
        <v>952</v>
      </c>
    </row>
    <row r="68" spans="1:6" x14ac:dyDescent="0.3">
      <c r="A68" s="94" t="s">
        <v>42</v>
      </c>
      <c r="C68">
        <f>_xlfn.XLOOKUP(C67,$A$35:$A$43,$B$35:$B$43)</f>
        <v>25</v>
      </c>
      <c r="D68" t="s">
        <v>43</v>
      </c>
    </row>
    <row r="69" spans="1:6" x14ac:dyDescent="0.3">
      <c r="A69" s="94" t="s">
        <v>68</v>
      </c>
      <c r="C69">
        <f>_xlfn.XLOOKUP(C67,$A$35:$A$43,$D$35:$D$43)</f>
        <v>2.5649639200150443</v>
      </c>
      <c r="D69" t="s">
        <v>43</v>
      </c>
    </row>
    <row r="70" spans="1:6" x14ac:dyDescent="0.3">
      <c r="A70" s="94" t="s">
        <v>1015</v>
      </c>
      <c r="C70">
        <f>0.7*C69/1.5</f>
        <v>1.1969831626736871</v>
      </c>
      <c r="D70" t="s">
        <v>43</v>
      </c>
    </row>
    <row r="71" spans="1:6" x14ac:dyDescent="0.3">
      <c r="A71" s="94" t="s">
        <v>1016</v>
      </c>
      <c r="C71">
        <f>2.25*C70</f>
        <v>2.693212116015796</v>
      </c>
      <c r="D71" t="s">
        <v>43</v>
      </c>
    </row>
    <row r="72" spans="1:6" x14ac:dyDescent="0.3">
      <c r="A72" s="94" t="s">
        <v>1017</v>
      </c>
      <c r="C72">
        <f>500/1.15</f>
        <v>434.78260869565219</v>
      </c>
      <c r="D72" t="s">
        <v>43</v>
      </c>
    </row>
    <row r="73" spans="1:6" x14ac:dyDescent="0.3">
      <c r="A73" s="99" t="s">
        <v>1018</v>
      </c>
    </row>
    <row r="74" spans="1:6" ht="28.8" x14ac:dyDescent="0.3">
      <c r="A74" s="95" t="s">
        <v>1019</v>
      </c>
      <c r="B74" s="76" t="s">
        <v>1020</v>
      </c>
      <c r="C74" s="76" t="s">
        <v>1021</v>
      </c>
      <c r="D74" s="76" t="s">
        <v>1022</v>
      </c>
      <c r="E74" s="76" t="s">
        <v>1023</v>
      </c>
      <c r="F74" s="76" t="s">
        <v>1024</v>
      </c>
    </row>
    <row r="75" spans="1:6" x14ac:dyDescent="0.3">
      <c r="A75" s="69">
        <v>6</v>
      </c>
      <c r="B75" s="85">
        <f>(A75/4)*$C$72/($C$71*IF(A75&gt;32,(132-A75)/100,1))</f>
        <v>242.15467811286692</v>
      </c>
      <c r="C75" s="85">
        <f>MAX(B75,0.3*B75,10*A75,100)</f>
        <v>242.15467811286692</v>
      </c>
      <c r="D75" s="85">
        <f>MAX(0.7*B75,0.3*B75,10*A75,100)</f>
        <v>169.50827467900683</v>
      </c>
      <c r="E75" s="85">
        <f>MAX(1.5*B75,0.45*B75,15*A75,200)</f>
        <v>363.23201716930038</v>
      </c>
      <c r="F75" s="71">
        <f>E75/A75</f>
        <v>60.53866952821673</v>
      </c>
    </row>
    <row r="76" spans="1:6" x14ac:dyDescent="0.3">
      <c r="A76" s="69">
        <v>8</v>
      </c>
      <c r="B76" s="85">
        <f t="shared" ref="B76:B85" si="24">(A76/4)*$C$72/($C$71*IF(A76&gt;32,(132-A76)/100,1))</f>
        <v>322.87290415048921</v>
      </c>
      <c r="C76" s="85">
        <f t="shared" ref="C76:C85" si="25">MAX(B76,0.3*B76,10*A76,100)</f>
        <v>322.87290415048921</v>
      </c>
      <c r="D76" s="85">
        <f t="shared" ref="D76:D85" si="26">MAX(0.7*B76,0.3*B76,10*A76,100)</f>
        <v>226.01103290534243</v>
      </c>
      <c r="E76" s="85">
        <f t="shared" ref="E76:E85" si="27">MAX(1.5*B76,0.45*B76,15*A76,200)</f>
        <v>484.30935622573384</v>
      </c>
      <c r="F76" s="71">
        <f t="shared" ref="F76:F85" si="28">E76/A76</f>
        <v>60.53866952821673</v>
      </c>
    </row>
    <row r="77" spans="1:6" x14ac:dyDescent="0.3">
      <c r="A77" s="69">
        <v>10</v>
      </c>
      <c r="B77" s="85">
        <f t="shared" si="24"/>
        <v>403.59113018811155</v>
      </c>
      <c r="C77" s="85">
        <f t="shared" si="25"/>
        <v>403.59113018811155</v>
      </c>
      <c r="D77" s="85">
        <f t="shared" si="26"/>
        <v>282.51379113167809</v>
      </c>
      <c r="E77" s="85">
        <f t="shared" si="27"/>
        <v>605.38669528216735</v>
      </c>
      <c r="F77" s="71">
        <f t="shared" si="28"/>
        <v>60.538669528216737</v>
      </c>
    </row>
    <row r="78" spans="1:6" x14ac:dyDescent="0.3">
      <c r="A78" s="69">
        <v>12</v>
      </c>
      <c r="B78" s="85">
        <f t="shared" si="24"/>
        <v>484.30935622573384</v>
      </c>
      <c r="C78" s="85">
        <f t="shared" si="25"/>
        <v>484.30935622573384</v>
      </c>
      <c r="D78" s="85">
        <f t="shared" si="26"/>
        <v>339.01654935801366</v>
      </c>
      <c r="E78" s="85">
        <f t="shared" si="27"/>
        <v>726.46403433860075</v>
      </c>
      <c r="F78" s="71">
        <f t="shared" si="28"/>
        <v>60.53866952821673</v>
      </c>
    </row>
    <row r="79" spans="1:6" x14ac:dyDescent="0.3">
      <c r="A79" s="69">
        <v>14</v>
      </c>
      <c r="B79" s="85">
        <f t="shared" si="24"/>
        <v>565.02758226335618</v>
      </c>
      <c r="C79" s="85">
        <f t="shared" si="25"/>
        <v>565.02758226335618</v>
      </c>
      <c r="D79" s="85">
        <f t="shared" si="26"/>
        <v>395.51930758434929</v>
      </c>
      <c r="E79" s="85">
        <f t="shared" si="27"/>
        <v>847.54137339503427</v>
      </c>
      <c r="F79" s="71">
        <f t="shared" si="28"/>
        <v>60.538669528216737</v>
      </c>
    </row>
    <row r="80" spans="1:6" x14ac:dyDescent="0.3">
      <c r="A80" s="69">
        <v>16</v>
      </c>
      <c r="B80" s="85">
        <f t="shared" si="24"/>
        <v>645.74580830097841</v>
      </c>
      <c r="C80" s="85">
        <f t="shared" si="25"/>
        <v>645.74580830097841</v>
      </c>
      <c r="D80" s="85">
        <f t="shared" si="26"/>
        <v>452.02206581068486</v>
      </c>
      <c r="E80" s="85">
        <f t="shared" si="27"/>
        <v>968.61871245146767</v>
      </c>
      <c r="F80" s="71">
        <f t="shared" si="28"/>
        <v>60.53866952821673</v>
      </c>
    </row>
    <row r="81" spans="1:6" x14ac:dyDescent="0.3">
      <c r="A81" s="69">
        <v>20</v>
      </c>
      <c r="B81" s="85">
        <f t="shared" si="24"/>
        <v>807.1822603762231</v>
      </c>
      <c r="C81" s="85">
        <f t="shared" si="25"/>
        <v>807.1822603762231</v>
      </c>
      <c r="D81" s="85">
        <f t="shared" si="26"/>
        <v>565.02758226335618</v>
      </c>
      <c r="E81" s="85">
        <f t="shared" si="27"/>
        <v>1210.7733905643347</v>
      </c>
      <c r="F81" s="71">
        <f t="shared" si="28"/>
        <v>60.538669528216737</v>
      </c>
    </row>
    <row r="82" spans="1:6" x14ac:dyDescent="0.3">
      <c r="A82" s="69">
        <v>25</v>
      </c>
      <c r="B82" s="85">
        <f t="shared" si="24"/>
        <v>1008.9778254702787</v>
      </c>
      <c r="C82" s="85">
        <f t="shared" si="25"/>
        <v>1008.9778254702787</v>
      </c>
      <c r="D82" s="85">
        <f t="shared" si="26"/>
        <v>706.28447782919511</v>
      </c>
      <c r="E82" s="85">
        <f t="shared" si="27"/>
        <v>1513.4667382054181</v>
      </c>
      <c r="F82" s="71">
        <f t="shared" si="28"/>
        <v>60.538669528216722</v>
      </c>
    </row>
    <row r="83" spans="1:6" x14ac:dyDescent="0.3">
      <c r="A83" s="69">
        <v>28</v>
      </c>
      <c r="B83" s="85">
        <f t="shared" si="24"/>
        <v>1130.0551645267124</v>
      </c>
      <c r="C83" s="85">
        <f t="shared" si="25"/>
        <v>1130.0551645267124</v>
      </c>
      <c r="D83" s="85">
        <f t="shared" si="26"/>
        <v>791.03861516869858</v>
      </c>
      <c r="E83" s="85">
        <f t="shared" si="27"/>
        <v>1695.0827467900685</v>
      </c>
      <c r="F83" s="71">
        <f t="shared" si="28"/>
        <v>60.538669528216737</v>
      </c>
    </row>
    <row r="84" spans="1:6" x14ac:dyDescent="0.3">
      <c r="A84" s="69">
        <v>32</v>
      </c>
      <c r="B84" s="85">
        <f t="shared" si="24"/>
        <v>1291.4916166019568</v>
      </c>
      <c r="C84" s="85">
        <f t="shared" si="25"/>
        <v>1291.4916166019568</v>
      </c>
      <c r="D84" s="85">
        <f t="shared" si="26"/>
        <v>904.04413162136973</v>
      </c>
      <c r="E84" s="85">
        <f t="shared" si="27"/>
        <v>1937.2374249029353</v>
      </c>
      <c r="F84" s="71">
        <f t="shared" si="28"/>
        <v>60.53866952821673</v>
      </c>
    </row>
    <row r="85" spans="1:6" x14ac:dyDescent="0.3">
      <c r="A85" s="69">
        <v>40</v>
      </c>
      <c r="B85" s="85">
        <f t="shared" si="24"/>
        <v>1754.7440442961372</v>
      </c>
      <c r="C85" s="85">
        <f t="shared" si="25"/>
        <v>1754.7440442961372</v>
      </c>
      <c r="D85" s="85">
        <f t="shared" si="26"/>
        <v>1228.320831007296</v>
      </c>
      <c r="E85" s="85">
        <f t="shared" si="27"/>
        <v>2632.1160664442059</v>
      </c>
      <c r="F85" s="71">
        <f t="shared" si="28"/>
        <v>65.802901661105153</v>
      </c>
    </row>
    <row r="88" spans="1:6" x14ac:dyDescent="0.3">
      <c r="A88" s="98" t="s">
        <v>1025</v>
      </c>
      <c r="B88" s="98"/>
      <c r="C88" s="98"/>
      <c r="D88" s="98"/>
      <c r="E88" s="98"/>
      <c r="F88" s="98"/>
    </row>
    <row r="89" spans="1:6" x14ac:dyDescent="0.3">
      <c r="A89" t="s">
        <v>1026</v>
      </c>
      <c r="C89">
        <f>C68*145.038</f>
        <v>3625.9500000000003</v>
      </c>
      <c r="D89" t="s">
        <v>1027</v>
      </c>
    </row>
    <row r="90" spans="1:6" x14ac:dyDescent="0.3">
      <c r="A90" t="s">
        <v>1028</v>
      </c>
      <c r="C90" s="87">
        <v>60000</v>
      </c>
      <c r="D90" t="s">
        <v>1027</v>
      </c>
    </row>
    <row r="91" spans="1:6" x14ac:dyDescent="0.3">
      <c r="A91" s="74" t="s">
        <v>1029</v>
      </c>
    </row>
    <row r="92" spans="1:6" ht="28.8" x14ac:dyDescent="0.3">
      <c r="A92" s="76" t="s">
        <v>971</v>
      </c>
      <c r="B92" s="76" t="s">
        <v>1030</v>
      </c>
      <c r="C92" s="76" t="s">
        <v>1031</v>
      </c>
      <c r="D92" s="76" t="s">
        <v>1032</v>
      </c>
      <c r="E92" s="76" t="s">
        <v>1033</v>
      </c>
      <c r="F92" s="76" t="s">
        <v>1034</v>
      </c>
    </row>
    <row r="93" spans="1:6" x14ac:dyDescent="0.3">
      <c r="A93" s="75" t="str">
        <f>A53</f>
        <v>#3</v>
      </c>
      <c r="B93" s="73">
        <f>C53</f>
        <v>0.375</v>
      </c>
      <c r="C93" s="71">
        <f>D53</f>
        <v>9.5249999999999986</v>
      </c>
      <c r="D93" s="85">
        <f>($C$90/(IF(B93&lt;=0.75,25,20)*SQRT($C$89)))*B93*25.4</f>
        <v>379.63419198005477</v>
      </c>
      <c r="E93" s="85">
        <f>(0.02*$C$90/SQRT($C$89))*B93*25.4</f>
        <v>189.81709599002741</v>
      </c>
      <c r="F93" s="85">
        <f>1.3*D93</f>
        <v>493.52444957407118</v>
      </c>
    </row>
    <row r="94" spans="1:6" x14ac:dyDescent="0.3">
      <c r="A94" s="75" t="str">
        <f t="shared" ref="A94:A103" si="29">A54</f>
        <v>#4</v>
      </c>
      <c r="B94" s="73">
        <f t="shared" ref="B94:C94" si="30">C54</f>
        <v>0.5</v>
      </c>
      <c r="C94" s="71">
        <f t="shared" si="30"/>
        <v>12.7</v>
      </c>
      <c r="D94" s="85">
        <f t="shared" ref="D94:D103" si="31">($C$90/(IF(B94&lt;=0.75,25,20)*SQRT($C$89)))*B94*25.4</f>
        <v>506.17892264007304</v>
      </c>
      <c r="E94" s="85">
        <f t="shared" ref="E94:E103" si="32">(0.02*$C$90/SQRT($C$89))*B94*25.4</f>
        <v>253.08946132003655</v>
      </c>
      <c r="F94" s="85">
        <f t="shared" ref="F94:F103" si="33">1.3*D94</f>
        <v>658.03259943209503</v>
      </c>
    </row>
    <row r="95" spans="1:6" x14ac:dyDescent="0.3">
      <c r="A95" s="75" t="str">
        <f t="shared" si="29"/>
        <v>#5</v>
      </c>
      <c r="B95" s="73">
        <f t="shared" ref="B95:C95" si="34">C55</f>
        <v>0.625</v>
      </c>
      <c r="C95" s="71">
        <f t="shared" si="34"/>
        <v>15.875</v>
      </c>
      <c r="D95" s="85">
        <f t="shared" si="31"/>
        <v>632.7236533000912</v>
      </c>
      <c r="E95" s="85">
        <f t="shared" si="32"/>
        <v>316.36182665004571</v>
      </c>
      <c r="F95" s="85">
        <f t="shared" si="33"/>
        <v>822.54074929011858</v>
      </c>
    </row>
    <row r="96" spans="1:6" x14ac:dyDescent="0.3">
      <c r="A96" s="75" t="str">
        <f t="shared" si="29"/>
        <v>#6</v>
      </c>
      <c r="B96" s="73">
        <f t="shared" ref="B96:C96" si="35">C56</f>
        <v>0.75</v>
      </c>
      <c r="C96" s="71">
        <f t="shared" si="35"/>
        <v>19.049999999999997</v>
      </c>
      <c r="D96" s="85">
        <f t="shared" si="31"/>
        <v>759.26838396010953</v>
      </c>
      <c r="E96" s="85">
        <f t="shared" si="32"/>
        <v>379.63419198005482</v>
      </c>
      <c r="F96" s="85">
        <f t="shared" si="33"/>
        <v>987.04889914814237</v>
      </c>
    </row>
    <row r="97" spans="1:6" x14ac:dyDescent="0.3">
      <c r="A97" s="75" t="str">
        <f t="shared" si="29"/>
        <v>#7</v>
      </c>
      <c r="B97" s="73">
        <f t="shared" ref="B97:C97" si="36">C57</f>
        <v>0.875</v>
      </c>
      <c r="C97" s="71">
        <f t="shared" si="36"/>
        <v>22.224999999999998</v>
      </c>
      <c r="D97" s="85">
        <f t="shared" si="31"/>
        <v>1107.26639327516</v>
      </c>
      <c r="E97" s="85">
        <f t="shared" si="32"/>
        <v>442.90655731006399</v>
      </c>
      <c r="F97" s="85">
        <f t="shared" si="33"/>
        <v>1439.446311257708</v>
      </c>
    </row>
    <row r="98" spans="1:6" x14ac:dyDescent="0.3">
      <c r="A98" s="75" t="str">
        <f t="shared" si="29"/>
        <v>#8</v>
      </c>
      <c r="B98" s="73">
        <f t="shared" ref="B98:C98" si="37">C58</f>
        <v>1</v>
      </c>
      <c r="C98" s="71">
        <f t="shared" si="37"/>
        <v>25.4</v>
      </c>
      <c r="D98" s="85">
        <f t="shared" si="31"/>
        <v>1265.4473066001829</v>
      </c>
      <c r="E98" s="85">
        <f t="shared" si="32"/>
        <v>506.1789226400731</v>
      </c>
      <c r="F98" s="85">
        <f t="shared" si="33"/>
        <v>1645.0814985802378</v>
      </c>
    </row>
    <row r="99" spans="1:6" x14ac:dyDescent="0.3">
      <c r="A99" s="75" t="str">
        <f t="shared" si="29"/>
        <v>#9</v>
      </c>
      <c r="B99" s="73">
        <f t="shared" ref="B99:C99" si="38">C59</f>
        <v>1.1279999999999999</v>
      </c>
      <c r="C99" s="71">
        <f t="shared" si="38"/>
        <v>28.651199999999996</v>
      </c>
      <c r="D99" s="85">
        <f t="shared" si="31"/>
        <v>1427.4245618450061</v>
      </c>
      <c r="E99" s="85">
        <f t="shared" si="32"/>
        <v>570.96982473800244</v>
      </c>
      <c r="F99" s="85">
        <f t="shared" si="33"/>
        <v>1855.6519303985081</v>
      </c>
    </row>
    <row r="100" spans="1:6" x14ac:dyDescent="0.3">
      <c r="A100" s="75" t="str">
        <f t="shared" si="29"/>
        <v>#10</v>
      </c>
      <c r="B100" s="73">
        <f t="shared" ref="B100:C100" si="39">C60</f>
        <v>1.27</v>
      </c>
      <c r="C100" s="71">
        <f t="shared" si="39"/>
        <v>32.257999999999996</v>
      </c>
      <c r="D100" s="85">
        <f t="shared" si="31"/>
        <v>1607.1180793822323</v>
      </c>
      <c r="E100" s="85">
        <f t="shared" si="32"/>
        <v>642.84723175289287</v>
      </c>
      <c r="F100" s="85">
        <f t="shared" si="33"/>
        <v>2089.2535031969019</v>
      </c>
    </row>
    <row r="101" spans="1:6" x14ac:dyDescent="0.3">
      <c r="A101" s="75" t="str">
        <f t="shared" si="29"/>
        <v>#11</v>
      </c>
      <c r="B101" s="73">
        <f t="shared" ref="B101:C101" si="40">C61</f>
        <v>1.41</v>
      </c>
      <c r="C101" s="71">
        <f t="shared" si="40"/>
        <v>35.813999999999993</v>
      </c>
      <c r="D101" s="85">
        <f t="shared" si="31"/>
        <v>1784.2807023062578</v>
      </c>
      <c r="E101" s="85">
        <f t="shared" si="32"/>
        <v>713.71228092250306</v>
      </c>
      <c r="F101" s="85">
        <f t="shared" si="33"/>
        <v>2319.5649129981352</v>
      </c>
    </row>
    <row r="102" spans="1:6" x14ac:dyDescent="0.3">
      <c r="A102" s="75" t="str">
        <f t="shared" si="29"/>
        <v>#14</v>
      </c>
      <c r="B102" s="73">
        <f t="shared" ref="B102:C102" si="41">C62</f>
        <v>1.6930000000000001</v>
      </c>
      <c r="C102" s="71">
        <f t="shared" si="41"/>
        <v>43.002200000000002</v>
      </c>
      <c r="D102" s="85">
        <f t="shared" si="31"/>
        <v>2142.4022900741097</v>
      </c>
      <c r="E102" s="85">
        <f t="shared" si="32"/>
        <v>856.96091602964373</v>
      </c>
      <c r="F102" s="85">
        <f t="shared" si="33"/>
        <v>2785.1229770963428</v>
      </c>
    </row>
    <row r="103" spans="1:6" x14ac:dyDescent="0.3">
      <c r="A103" s="75" t="str">
        <f t="shared" si="29"/>
        <v>#18</v>
      </c>
      <c r="B103" s="73">
        <f t="shared" ref="B103:C103" si="42">C63</f>
        <v>2.2570000000000001</v>
      </c>
      <c r="C103" s="71">
        <f t="shared" si="42"/>
        <v>57.327799999999996</v>
      </c>
      <c r="D103" s="85">
        <f t="shared" si="31"/>
        <v>2856.1145709966127</v>
      </c>
      <c r="E103" s="85">
        <f t="shared" si="32"/>
        <v>1142.4458283986451</v>
      </c>
      <c r="F103" s="85">
        <f t="shared" si="33"/>
        <v>3712.9489422955967</v>
      </c>
    </row>
  </sheetData>
  <mergeCells count="9">
    <mergeCell ref="A45:F45"/>
    <mergeCell ref="A51:I51"/>
    <mergeCell ref="A66:F66"/>
    <mergeCell ref="A88:F88"/>
    <mergeCell ref="A1:F1"/>
    <mergeCell ref="A2:F2"/>
    <mergeCell ref="A4:F4"/>
    <mergeCell ref="A18:K18"/>
    <mergeCell ref="A33:F33"/>
  </mergeCells>
  <dataValidations count="1">
    <dataValidation type="list" allowBlank="1" showInputMessage="1" showErrorMessage="1" sqref="C67" xr:uid="{79023CF6-E17A-441D-A78B-ACE974A92C24}">
      <formula1>$A$35:$A$43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8338-579A-479D-BCC3-307ECEA9BC8A}">
  <dimension ref="A1:Y130"/>
  <sheetViews>
    <sheetView topLeftCell="A56" workbookViewId="0">
      <selection activeCell="C100" sqref="C100"/>
    </sheetView>
  </sheetViews>
  <sheetFormatPr defaultRowHeight="14.4" x14ac:dyDescent="0.3"/>
  <cols>
    <col min="1" max="1" width="57.109375" customWidth="1"/>
    <col min="2" max="2" width="13.33203125" customWidth="1"/>
    <col min="3" max="3" width="15.33203125" customWidth="1"/>
    <col min="4" max="4" width="10.44140625" customWidth="1"/>
    <col min="5" max="5" width="28.5546875" customWidth="1"/>
    <col min="6" max="6" width="64.6640625" customWidth="1"/>
  </cols>
  <sheetData>
    <row r="1" spans="1:25" ht="18" x14ac:dyDescent="0.35">
      <c r="A1" s="44" t="s">
        <v>770</v>
      </c>
      <c r="B1" s="43"/>
      <c r="C1" s="43"/>
      <c r="D1" s="43"/>
      <c r="E1" s="43"/>
      <c r="F1" s="43"/>
    </row>
    <row r="2" spans="1:25" x14ac:dyDescent="0.3">
      <c r="A2" s="45" t="s">
        <v>771</v>
      </c>
      <c r="R2" t="s">
        <v>918</v>
      </c>
      <c r="S2" t="s">
        <v>919</v>
      </c>
      <c r="T2" t="s">
        <v>920</v>
      </c>
      <c r="U2" t="s">
        <v>921</v>
      </c>
      <c r="V2" t="s">
        <v>922</v>
      </c>
      <c r="W2" t="s">
        <v>923</v>
      </c>
      <c r="X2" t="s">
        <v>924</v>
      </c>
      <c r="Y2" t="s">
        <v>925</v>
      </c>
    </row>
    <row r="3" spans="1:25" x14ac:dyDescent="0.3">
      <c r="R3">
        <f>0</f>
        <v>0</v>
      </c>
      <c r="S3">
        <f>0</f>
        <v>0</v>
      </c>
      <c r="T3">
        <f>C11</f>
        <v>35</v>
      </c>
      <c r="U3">
        <f>C11</f>
        <v>35</v>
      </c>
      <c r="V3">
        <f>IF(1&lt;=$C$13,$C$33+(1-1)*($C$9-2*$C$33)/MAX($C$13-1,1),NA())</f>
        <v>55</v>
      </c>
      <c r="W3">
        <f>IF(1&lt;=$C$13,$C$33,NA())</f>
        <v>55</v>
      </c>
      <c r="X3">
        <f>$C$33</f>
        <v>55</v>
      </c>
      <c r="Y3" s="53">
        <f>$C$10-$C$33</f>
        <v>545</v>
      </c>
    </row>
    <row r="4" spans="1:25" x14ac:dyDescent="0.3">
      <c r="A4" s="4" t="s">
        <v>772</v>
      </c>
      <c r="B4" s="3"/>
      <c r="C4" s="3"/>
      <c r="D4" s="3"/>
      <c r="E4" s="3"/>
      <c r="F4" s="3"/>
      <c r="R4">
        <f>C9</f>
        <v>3420</v>
      </c>
      <c r="S4">
        <f>0</f>
        <v>0</v>
      </c>
      <c r="T4">
        <f>C9-C11</f>
        <v>3385</v>
      </c>
      <c r="U4">
        <f>C11</f>
        <v>35</v>
      </c>
      <c r="V4">
        <f>IF(2&lt;=$C$13,$C$33+(2-1)*($C$9-2*$C$33)/MAX($C$13-1,1),NA())</f>
        <v>606.66666666666663</v>
      </c>
      <c r="W4">
        <f>IF(2&lt;=$C$13,$C$33,NA())</f>
        <v>55</v>
      </c>
      <c r="X4" s="53">
        <f>$C$9-$C$33</f>
        <v>3365</v>
      </c>
      <c r="Y4" s="53">
        <f>$C$10-$C$33</f>
        <v>545</v>
      </c>
    </row>
    <row r="5" spans="1:25" x14ac:dyDescent="0.3">
      <c r="A5" s="5" t="s">
        <v>365</v>
      </c>
      <c r="B5" s="5" t="s">
        <v>366</v>
      </c>
      <c r="C5" s="46" t="s">
        <v>367</v>
      </c>
      <c r="D5" s="46" t="s">
        <v>368</v>
      </c>
      <c r="E5" s="5" t="s">
        <v>369</v>
      </c>
      <c r="F5" s="5" t="s">
        <v>773</v>
      </c>
      <c r="R5">
        <f>C9</f>
        <v>3420</v>
      </c>
      <c r="S5">
        <f>C10</f>
        <v>600</v>
      </c>
      <c r="T5">
        <f>C9-C11</f>
        <v>3385</v>
      </c>
      <c r="U5">
        <f>C10-C11</f>
        <v>565</v>
      </c>
      <c r="V5">
        <f>IF(3&lt;=$C$13,$C$33+(3-1)*($C$9-2*$C$33)/MAX($C$13-1,1),NA())</f>
        <v>1158.3333333333333</v>
      </c>
      <c r="W5">
        <f>IF(3&lt;=$C$13,$C$33,NA())</f>
        <v>55</v>
      </c>
    </row>
    <row r="6" spans="1:25" x14ac:dyDescent="0.3">
      <c r="A6" t="s">
        <v>774</v>
      </c>
      <c r="B6" t="s">
        <v>17</v>
      </c>
      <c r="C6" s="47">
        <v>250</v>
      </c>
      <c r="D6" s="48" t="s">
        <v>18</v>
      </c>
      <c r="E6">
        <v>6.1</v>
      </c>
      <c r="F6" t="s">
        <v>372</v>
      </c>
      <c r="R6">
        <f>0</f>
        <v>0</v>
      </c>
      <c r="S6">
        <f>C10</f>
        <v>600</v>
      </c>
      <c r="T6">
        <f>C11</f>
        <v>35</v>
      </c>
      <c r="U6">
        <f>C10-C11</f>
        <v>565</v>
      </c>
      <c r="V6">
        <f>IF(4&lt;=$C$13,$C$33+(4-1)*($C$9-2*$C$33)/MAX($C$13-1,1),NA())</f>
        <v>1710</v>
      </c>
      <c r="W6">
        <f>IF(4&lt;=$C$13,$C$33,NA())</f>
        <v>55</v>
      </c>
    </row>
    <row r="7" spans="1:25" x14ac:dyDescent="0.3">
      <c r="A7" t="s">
        <v>373</v>
      </c>
      <c r="B7" t="s">
        <v>14</v>
      </c>
      <c r="C7" s="47">
        <v>200</v>
      </c>
      <c r="D7" s="48" t="s">
        <v>11</v>
      </c>
      <c r="E7" t="s">
        <v>15</v>
      </c>
      <c r="R7">
        <f>0</f>
        <v>0</v>
      </c>
      <c r="S7">
        <f>0</f>
        <v>0</v>
      </c>
      <c r="T7">
        <f>C11</f>
        <v>35</v>
      </c>
      <c r="U7">
        <f>C11</f>
        <v>35</v>
      </c>
      <c r="V7">
        <f>IF(5&lt;=$C$13,$C$33+(5-1)*($C$9-2*$C$33)/MAX($C$13-1,1),NA())</f>
        <v>2261.6666666666665</v>
      </c>
      <c r="W7">
        <f>IF(5&lt;=$C$13,$C$33,NA())</f>
        <v>55</v>
      </c>
    </row>
    <row r="8" spans="1:25" x14ac:dyDescent="0.3">
      <c r="A8" t="s">
        <v>775</v>
      </c>
      <c r="B8" t="s">
        <v>571</v>
      </c>
      <c r="C8" s="47">
        <v>25</v>
      </c>
      <c r="D8" s="48" t="s">
        <v>18</v>
      </c>
      <c r="E8" t="s">
        <v>572</v>
      </c>
      <c r="V8">
        <f>IF(6&lt;=$C$13,$C$33+(6-1)*($C$9-2*$C$33)/MAX($C$13-1,1),NA())</f>
        <v>2813.3333333333335</v>
      </c>
      <c r="W8">
        <f>IF(6&lt;=$C$13,$C$33,NA())</f>
        <v>55</v>
      </c>
    </row>
    <row r="9" spans="1:25" x14ac:dyDescent="0.3">
      <c r="A9" t="s">
        <v>776</v>
      </c>
      <c r="B9" t="s">
        <v>574</v>
      </c>
      <c r="C9" s="47">
        <v>3420</v>
      </c>
      <c r="D9" s="48" t="s">
        <v>21</v>
      </c>
      <c r="E9" t="s">
        <v>575</v>
      </c>
      <c r="V9">
        <f>IF(7&lt;=$C$13,$C$33+(7-1)*($C$9-2*$C$33)/MAX($C$13-1,1),NA())</f>
        <v>3365</v>
      </c>
      <c r="W9">
        <f>IF(7&lt;=$C$13,$C$33,NA())</f>
        <v>55</v>
      </c>
    </row>
    <row r="10" spans="1:25" x14ac:dyDescent="0.3">
      <c r="A10" t="s">
        <v>777</v>
      </c>
      <c r="B10" t="s">
        <v>577</v>
      </c>
      <c r="C10" s="47">
        <v>600</v>
      </c>
      <c r="D10" s="48" t="s">
        <v>21</v>
      </c>
      <c r="E10" t="s">
        <v>575</v>
      </c>
      <c r="V10" t="e">
        <f>IF(8&lt;=$C$13,$C$33+(8-1)*($C$9-2*$C$33)/MAX($C$13-1,1),NA())</f>
        <v>#N/A</v>
      </c>
      <c r="W10" t="e">
        <f>IF(8&lt;=$C$13,$C$33,NA())</f>
        <v>#N/A</v>
      </c>
    </row>
    <row r="11" spans="1:25" x14ac:dyDescent="0.3">
      <c r="A11" t="s">
        <v>376</v>
      </c>
      <c r="B11" t="s">
        <v>24</v>
      </c>
      <c r="C11" s="47">
        <v>35</v>
      </c>
      <c r="D11" s="48" t="s">
        <v>21</v>
      </c>
      <c r="E11" t="s">
        <v>578</v>
      </c>
      <c r="V11" t="e">
        <f>IF(9&lt;=$C$13,$C$33+(9-1)*($C$9-2*$C$33)/MAX($C$13-1,1),NA())</f>
        <v>#N/A</v>
      </c>
      <c r="W11" t="e">
        <f>IF(9&lt;=$C$13,$C$33,NA())</f>
        <v>#N/A</v>
      </c>
    </row>
    <row r="12" spans="1:25" x14ac:dyDescent="0.3">
      <c r="A12" t="s">
        <v>379</v>
      </c>
      <c r="B12" t="s">
        <v>32</v>
      </c>
      <c r="C12" s="100">
        <v>20</v>
      </c>
      <c r="D12" s="48" t="s">
        <v>21</v>
      </c>
      <c r="E12" t="s">
        <v>575</v>
      </c>
      <c r="V12" t="e">
        <f>IF(10&lt;=$C$13,$C$33+(10-1)*($C$9-2*$C$33)/MAX($C$13-1,1),NA())</f>
        <v>#N/A</v>
      </c>
      <c r="W12" t="e">
        <f>IF(10&lt;=$C$13,$C$33,NA())</f>
        <v>#N/A</v>
      </c>
    </row>
    <row r="13" spans="1:25" x14ac:dyDescent="0.3">
      <c r="A13" t="s">
        <v>778</v>
      </c>
      <c r="B13" t="s">
        <v>27</v>
      </c>
      <c r="C13" s="47">
        <v>7</v>
      </c>
      <c r="D13" s="48" t="s">
        <v>575</v>
      </c>
      <c r="E13" t="s">
        <v>575</v>
      </c>
      <c r="V13" t="e">
        <f>IF(11&lt;=$C$13,$C$33+(11-1)*($C$9-2*$C$33)/MAX($C$13-1,1),NA())</f>
        <v>#N/A</v>
      </c>
      <c r="W13" t="e">
        <f>IF(11&lt;=$C$13,$C$33,NA())</f>
        <v>#N/A</v>
      </c>
    </row>
    <row r="14" spans="1:25" x14ac:dyDescent="0.3">
      <c r="A14" t="s">
        <v>779</v>
      </c>
      <c r="B14" t="s">
        <v>35</v>
      </c>
      <c r="C14" s="100">
        <v>10</v>
      </c>
      <c r="D14" s="48" t="s">
        <v>21</v>
      </c>
      <c r="E14" t="s">
        <v>582</v>
      </c>
      <c r="V14" t="e">
        <f>IF(12&lt;=$C$13,$C$33+(12-1)*($C$9-2*$C$33)/MAX($C$13-1,1),NA())</f>
        <v>#N/A</v>
      </c>
      <c r="W14" t="e">
        <f>IF(12&lt;=$C$13,$C$33,NA())</f>
        <v>#N/A</v>
      </c>
    </row>
    <row r="15" spans="1:25" x14ac:dyDescent="0.3">
      <c r="A15" t="s">
        <v>780</v>
      </c>
      <c r="B15" t="s">
        <v>584</v>
      </c>
      <c r="C15" s="47">
        <v>2</v>
      </c>
      <c r="D15" s="48" t="s">
        <v>575</v>
      </c>
      <c r="E15" t="s">
        <v>582</v>
      </c>
    </row>
    <row r="16" spans="1:25" x14ac:dyDescent="0.3">
      <c r="A16" t="s">
        <v>382</v>
      </c>
      <c r="B16" t="s">
        <v>42</v>
      </c>
      <c r="C16" s="90">
        <f>_xlfn.XLOOKUP(F16,Aceros_DIN!$A$35:$A$43,Aceros_DIN!$B$35:$B$43)</f>
        <v>30</v>
      </c>
      <c r="D16" s="48" t="s">
        <v>43</v>
      </c>
      <c r="E16" t="s">
        <v>44</v>
      </c>
      <c r="F16" s="89" t="s">
        <v>953</v>
      </c>
    </row>
    <row r="17" spans="1:6" x14ac:dyDescent="0.3">
      <c r="A17" t="s">
        <v>383</v>
      </c>
      <c r="B17" t="s">
        <v>46</v>
      </c>
      <c r="C17" s="90">
        <f>_xlfn.XLOOKUP(F17,Aceros_DIN!$A$47:$A$49,Aceros_DIN!$B$47:$B$49)</f>
        <v>500</v>
      </c>
      <c r="D17" s="48" t="s">
        <v>43</v>
      </c>
      <c r="E17" t="s">
        <v>47</v>
      </c>
      <c r="F17" s="89" t="s">
        <v>966</v>
      </c>
    </row>
    <row r="18" spans="1:6" x14ac:dyDescent="0.3">
      <c r="A18" t="s">
        <v>384</v>
      </c>
      <c r="B18" t="s">
        <v>49</v>
      </c>
      <c r="C18" s="47">
        <v>1.5</v>
      </c>
      <c r="D18" s="48" t="s">
        <v>575</v>
      </c>
      <c r="E18" t="s">
        <v>50</v>
      </c>
    </row>
    <row r="19" spans="1:6" x14ac:dyDescent="0.3">
      <c r="A19" t="s">
        <v>385</v>
      </c>
      <c r="B19" t="s">
        <v>52</v>
      </c>
      <c r="C19" s="47">
        <v>1.1499999999999999</v>
      </c>
      <c r="D19" s="48" t="s">
        <v>575</v>
      </c>
      <c r="E19" t="s">
        <v>50</v>
      </c>
    </row>
    <row r="20" spans="1:6" x14ac:dyDescent="0.3">
      <c r="A20" t="s">
        <v>386</v>
      </c>
      <c r="B20" t="s">
        <v>54</v>
      </c>
      <c r="C20" s="47">
        <v>0.85</v>
      </c>
      <c r="D20" s="48" t="s">
        <v>575</v>
      </c>
      <c r="E20" t="s">
        <v>55</v>
      </c>
    </row>
    <row r="21" spans="1:6" x14ac:dyDescent="0.3">
      <c r="A21" t="s">
        <v>388</v>
      </c>
      <c r="B21" t="s">
        <v>60</v>
      </c>
      <c r="C21" s="47">
        <v>0</v>
      </c>
      <c r="D21" s="48" t="s">
        <v>575</v>
      </c>
      <c r="E21" t="s">
        <v>553</v>
      </c>
    </row>
    <row r="22" spans="1:6" x14ac:dyDescent="0.3">
      <c r="A22" t="s">
        <v>781</v>
      </c>
      <c r="B22" t="s">
        <v>590</v>
      </c>
      <c r="C22" s="47">
        <v>0.52500000000000002</v>
      </c>
      <c r="D22" s="48" t="s">
        <v>575</v>
      </c>
      <c r="E22" t="s">
        <v>591</v>
      </c>
      <c r="F22" t="s">
        <v>782</v>
      </c>
    </row>
    <row r="24" spans="1:6" x14ac:dyDescent="0.3">
      <c r="A24" s="4" t="s">
        <v>389</v>
      </c>
      <c r="B24" s="3"/>
      <c r="C24" s="3"/>
      <c r="D24" s="3"/>
      <c r="E24" s="3"/>
      <c r="F24" s="3"/>
    </row>
    <row r="25" spans="1:6" x14ac:dyDescent="0.3">
      <c r="A25" t="s">
        <v>390</v>
      </c>
      <c r="B25" t="s">
        <v>64</v>
      </c>
      <c r="C25" s="49">
        <f>C20*C16/C18</f>
        <v>17</v>
      </c>
      <c r="D25" s="48" t="s">
        <v>43</v>
      </c>
      <c r="E25" t="s">
        <v>534</v>
      </c>
      <c r="F25" t="s">
        <v>594</v>
      </c>
    </row>
    <row r="26" spans="1:6" x14ac:dyDescent="0.3">
      <c r="A26" t="s">
        <v>391</v>
      </c>
      <c r="B26" t="s">
        <v>68</v>
      </c>
      <c r="C26" s="49">
        <f>0.3*C16^(2/3)</f>
        <v>2.896468153816889</v>
      </c>
      <c r="D26" s="48" t="s">
        <v>43</v>
      </c>
      <c r="E26" t="s">
        <v>44</v>
      </c>
      <c r="F26" t="s">
        <v>783</v>
      </c>
    </row>
    <row r="27" spans="1:6" x14ac:dyDescent="0.3">
      <c r="A27" t="s">
        <v>784</v>
      </c>
      <c r="B27" t="s">
        <v>597</v>
      </c>
      <c r="C27" s="49">
        <f>0.85*0.7*C26/C18</f>
        <v>1.1489323676806993</v>
      </c>
      <c r="D27" s="48" t="s">
        <v>43</v>
      </c>
      <c r="E27" t="s">
        <v>598</v>
      </c>
      <c r="F27" t="s">
        <v>599</v>
      </c>
    </row>
    <row r="28" spans="1:6" x14ac:dyDescent="0.3">
      <c r="A28" t="s">
        <v>392</v>
      </c>
      <c r="B28" t="s">
        <v>70</v>
      </c>
      <c r="C28" s="50">
        <f>C17/C19</f>
        <v>434.78260869565219</v>
      </c>
      <c r="D28" s="48" t="s">
        <v>43</v>
      </c>
      <c r="E28" t="s">
        <v>535</v>
      </c>
      <c r="F28" t="s">
        <v>601</v>
      </c>
    </row>
    <row r="29" spans="1:6" x14ac:dyDescent="0.3">
      <c r="A29" t="s">
        <v>785</v>
      </c>
      <c r="B29" t="s">
        <v>79</v>
      </c>
      <c r="C29" s="51">
        <v>3.5000000000000001E-3</v>
      </c>
      <c r="D29" s="48" t="s">
        <v>575</v>
      </c>
      <c r="E29" t="s">
        <v>44</v>
      </c>
    </row>
    <row r="30" spans="1:6" x14ac:dyDescent="0.3">
      <c r="A30" t="s">
        <v>786</v>
      </c>
      <c r="B30" t="s">
        <v>76</v>
      </c>
      <c r="C30" s="51">
        <f>C28/200000</f>
        <v>2.1739130434782609E-3</v>
      </c>
      <c r="D30" s="48" t="s">
        <v>575</v>
      </c>
      <c r="E30" t="s">
        <v>77</v>
      </c>
      <c r="F30" t="s">
        <v>604</v>
      </c>
    </row>
    <row r="32" spans="1:6" x14ac:dyDescent="0.3">
      <c r="A32" s="4" t="s">
        <v>787</v>
      </c>
      <c r="B32" s="3"/>
      <c r="C32" s="3"/>
      <c r="D32" s="3"/>
      <c r="E32" s="3"/>
      <c r="F32" s="3"/>
    </row>
    <row r="33" spans="1:6" x14ac:dyDescent="0.3">
      <c r="A33" t="s">
        <v>788</v>
      </c>
      <c r="B33" t="s">
        <v>607</v>
      </c>
      <c r="C33" s="52">
        <f>C11+C14+C12/2</f>
        <v>55</v>
      </c>
      <c r="D33" s="48" t="s">
        <v>21</v>
      </c>
      <c r="E33" t="s">
        <v>96</v>
      </c>
      <c r="F33" t="s">
        <v>608</v>
      </c>
    </row>
    <row r="34" spans="1:6" x14ac:dyDescent="0.3">
      <c r="A34" t="s">
        <v>789</v>
      </c>
      <c r="B34" t="s">
        <v>100</v>
      </c>
      <c r="C34" s="52">
        <f>C10-C33</f>
        <v>545</v>
      </c>
      <c r="D34" s="48" t="s">
        <v>21</v>
      </c>
      <c r="E34">
        <v>6.1</v>
      </c>
      <c r="F34" t="s">
        <v>610</v>
      </c>
    </row>
    <row r="35" spans="1:6" x14ac:dyDescent="0.3">
      <c r="A35" t="s">
        <v>400</v>
      </c>
      <c r="B35" t="s">
        <v>92</v>
      </c>
      <c r="C35" s="54">
        <f>C9*C10</f>
        <v>2052000</v>
      </c>
      <c r="D35" s="48" t="s">
        <v>93</v>
      </c>
      <c r="E35" t="s">
        <v>575</v>
      </c>
      <c r="F35" t="s">
        <v>612</v>
      </c>
    </row>
    <row r="36" spans="1:6" x14ac:dyDescent="0.3">
      <c r="A36" t="s">
        <v>790</v>
      </c>
      <c r="B36" t="s">
        <v>791</v>
      </c>
      <c r="C36" s="54">
        <f>C13*PI()*C12^2/4</f>
        <v>2199.114857512855</v>
      </c>
      <c r="D36" s="48" t="s">
        <v>93</v>
      </c>
      <c r="E36" t="s">
        <v>575</v>
      </c>
      <c r="F36" t="s">
        <v>792</v>
      </c>
    </row>
    <row r="37" spans="1:6" x14ac:dyDescent="0.3">
      <c r="A37" t="s">
        <v>793</v>
      </c>
      <c r="B37" t="s">
        <v>617</v>
      </c>
      <c r="C37" s="54">
        <f>2*(C9+C10)</f>
        <v>8040</v>
      </c>
      <c r="D37" s="48" t="s">
        <v>21</v>
      </c>
      <c r="E37" t="s">
        <v>618</v>
      </c>
      <c r="F37" t="s">
        <v>619</v>
      </c>
    </row>
    <row r="38" spans="1:6" x14ac:dyDescent="0.3">
      <c r="A38" t="s">
        <v>794</v>
      </c>
      <c r="B38" t="s">
        <v>621</v>
      </c>
      <c r="C38" s="52">
        <f>MAX(C35/C37,2*C33)</f>
        <v>255.22388059701493</v>
      </c>
      <c r="D38" s="48" t="s">
        <v>21</v>
      </c>
      <c r="E38" t="s">
        <v>618</v>
      </c>
      <c r="F38" t="s">
        <v>795</v>
      </c>
    </row>
    <row r="39" spans="1:6" x14ac:dyDescent="0.3">
      <c r="A39" t="s">
        <v>796</v>
      </c>
      <c r="B39" t="s">
        <v>624</v>
      </c>
      <c r="C39" s="54">
        <f>(C9-C38)*(C10-C38)</f>
        <v>1091139.2292269992</v>
      </c>
      <c r="D39" s="48" t="s">
        <v>93</v>
      </c>
      <c r="E39" t="s">
        <v>618</v>
      </c>
      <c r="F39" t="s">
        <v>625</v>
      </c>
    </row>
    <row r="40" spans="1:6" x14ac:dyDescent="0.3">
      <c r="A40" t="s">
        <v>797</v>
      </c>
      <c r="B40" t="s">
        <v>627</v>
      </c>
      <c r="C40" s="54">
        <f>2*((C9-C38)+(C10-C38))</f>
        <v>7019.1044776119397</v>
      </c>
      <c r="D40" s="48" t="s">
        <v>21</v>
      </c>
      <c r="E40" t="s">
        <v>618</v>
      </c>
      <c r="F40" t="s">
        <v>628</v>
      </c>
    </row>
    <row r="41" spans="1:6" x14ac:dyDescent="0.3">
      <c r="A41" t="s">
        <v>798</v>
      </c>
      <c r="B41" t="s">
        <v>103</v>
      </c>
      <c r="C41" s="52">
        <f>0.9*C34</f>
        <v>490.5</v>
      </c>
      <c r="D41" s="48" t="s">
        <v>21</v>
      </c>
      <c r="E41" t="s">
        <v>104</v>
      </c>
      <c r="F41" t="s">
        <v>630</v>
      </c>
    </row>
    <row r="43" spans="1:6" x14ac:dyDescent="0.3">
      <c r="A43" s="4" t="s">
        <v>799</v>
      </c>
      <c r="B43" s="3"/>
      <c r="C43" s="3"/>
      <c r="D43" s="3"/>
      <c r="E43" s="3"/>
      <c r="F43" s="3"/>
    </row>
    <row r="44" spans="1:6" x14ac:dyDescent="0.3">
      <c r="A44" t="s">
        <v>800</v>
      </c>
      <c r="B44" t="s">
        <v>633</v>
      </c>
      <c r="C44" s="55">
        <f>C6*1000000/(C9*C34^2*C25)</f>
        <v>1.4476780069944274E-2</v>
      </c>
      <c r="D44" s="48" t="s">
        <v>575</v>
      </c>
      <c r="E44" t="s">
        <v>634</v>
      </c>
      <c r="F44" t="s">
        <v>635</v>
      </c>
    </row>
    <row r="45" spans="1:6" x14ac:dyDescent="0.3">
      <c r="A45" t="s">
        <v>430</v>
      </c>
      <c r="B45" t="s">
        <v>637</v>
      </c>
      <c r="C45" s="55">
        <f>1.25*(1-SQRT(1-2*C44))</f>
        <v>1.8228892090164373E-2</v>
      </c>
      <c r="D45" s="48" t="s">
        <v>575</v>
      </c>
      <c r="E45" t="s">
        <v>801</v>
      </c>
      <c r="F45" t="s">
        <v>639</v>
      </c>
    </row>
    <row r="46" spans="1:6" x14ac:dyDescent="0.3">
      <c r="A46" t="s">
        <v>802</v>
      </c>
      <c r="B46" t="s">
        <v>875</v>
      </c>
      <c r="C46" s="56">
        <v>0.45</v>
      </c>
      <c r="D46" s="48" t="s">
        <v>575</v>
      </c>
      <c r="E46" t="s">
        <v>642</v>
      </c>
      <c r="F46" t="s">
        <v>803</v>
      </c>
    </row>
    <row r="47" spans="1:6" x14ac:dyDescent="0.3">
      <c r="A47" t="s">
        <v>804</v>
      </c>
      <c r="B47" t="s">
        <v>575</v>
      </c>
      <c r="C47" s="57" t="str">
        <f>IF(C45&lt;=C46,"OK","PRÜFEN – Druckbewehrung erforderlich")</f>
        <v>OK</v>
      </c>
      <c r="D47" s="48" t="s">
        <v>575</v>
      </c>
      <c r="E47" t="s">
        <v>645</v>
      </c>
    </row>
    <row r="48" spans="1:6" x14ac:dyDescent="0.3">
      <c r="A48" t="s">
        <v>805</v>
      </c>
      <c r="B48" t="s">
        <v>647</v>
      </c>
      <c r="C48" s="52">
        <f>C34*(1-0.4*C45)</f>
        <v>541.0261015243442</v>
      </c>
      <c r="D48" s="48" t="s">
        <v>21</v>
      </c>
      <c r="E48">
        <v>6.1</v>
      </c>
      <c r="F48" t="s">
        <v>648</v>
      </c>
    </row>
    <row r="49" spans="1:6" x14ac:dyDescent="0.3">
      <c r="A49" t="s">
        <v>806</v>
      </c>
      <c r="B49" t="s">
        <v>650</v>
      </c>
      <c r="C49" s="54">
        <f>C6*1000000/(C48*C28)</f>
        <v>1062.7953039232934</v>
      </c>
      <c r="D49" s="48" t="s">
        <v>93</v>
      </c>
      <c r="E49">
        <v>6.1</v>
      </c>
      <c r="F49" t="s">
        <v>651</v>
      </c>
    </row>
    <row r="50" spans="1:6" x14ac:dyDescent="0.3">
      <c r="A50" t="s">
        <v>807</v>
      </c>
      <c r="B50" t="s">
        <v>237</v>
      </c>
      <c r="C50" s="54">
        <f>MAX(0.26*C26/C17*C9*C34,0.0013*C9*C34)</f>
        <v>2807.3380357876358</v>
      </c>
      <c r="D50" s="48" t="s">
        <v>93</v>
      </c>
      <c r="E50" t="s">
        <v>653</v>
      </c>
      <c r="F50" t="s">
        <v>654</v>
      </c>
    </row>
    <row r="51" spans="1:6" x14ac:dyDescent="0.3">
      <c r="A51" t="s">
        <v>438</v>
      </c>
      <c r="B51" t="s">
        <v>240</v>
      </c>
      <c r="C51" s="54">
        <f>0.04*C35</f>
        <v>82080</v>
      </c>
      <c r="D51" s="48" t="s">
        <v>93</v>
      </c>
      <c r="E51" t="s">
        <v>655</v>
      </c>
      <c r="F51" t="s">
        <v>656</v>
      </c>
    </row>
    <row r="52" spans="1:6" x14ac:dyDescent="0.3">
      <c r="A52" s="2" t="s">
        <v>808</v>
      </c>
      <c r="B52" s="2" t="s">
        <v>650</v>
      </c>
      <c r="C52" s="59">
        <f>MAX(C49,C50)</f>
        <v>2807.3380357876358</v>
      </c>
      <c r="D52" s="58" t="s">
        <v>93</v>
      </c>
      <c r="E52" s="9" t="s">
        <v>645</v>
      </c>
      <c r="F52" s="9" t="s">
        <v>809</v>
      </c>
    </row>
    <row r="53" spans="1:6" x14ac:dyDescent="0.3">
      <c r="A53" s="5" t="s">
        <v>903</v>
      </c>
      <c r="B53" s="5"/>
      <c r="C53" s="5"/>
      <c r="D53" s="5"/>
      <c r="E53" s="5"/>
      <c r="F53" s="5"/>
    </row>
    <row r="54" spans="1:6" x14ac:dyDescent="0.3">
      <c r="A54" t="s">
        <v>904</v>
      </c>
      <c r="B54" t="s">
        <v>878</v>
      </c>
      <c r="C54" s="64">
        <f>(C34/10)/SQRT(C6*1000/C9)</f>
        <v>6.3744035015050615</v>
      </c>
      <c r="D54" s="48" t="s">
        <v>575</v>
      </c>
      <c r="E54" t="s">
        <v>879</v>
      </c>
      <c r="F54" t="s">
        <v>905</v>
      </c>
    </row>
    <row r="55" spans="1:6" x14ac:dyDescent="0.3">
      <c r="A55" t="s">
        <v>906</v>
      </c>
      <c r="B55" t="s">
        <v>193</v>
      </c>
      <c r="C55" s="64">
        <f>1000/(C56*C28)</f>
        <v>2.3168937625527799</v>
      </c>
      <c r="D55" s="48" t="s">
        <v>575</v>
      </c>
      <c r="E55" t="s">
        <v>882</v>
      </c>
      <c r="F55" t="s">
        <v>907</v>
      </c>
    </row>
    <row r="56" spans="1:6" x14ac:dyDescent="0.3">
      <c r="A56" t="s">
        <v>908</v>
      </c>
      <c r="B56" t="s">
        <v>885</v>
      </c>
      <c r="C56" s="64">
        <f>1-0.4*C45</f>
        <v>0.99270844316393425</v>
      </c>
      <c r="D56" s="48" t="s">
        <v>575</v>
      </c>
      <c r="E56">
        <v>6.1</v>
      </c>
      <c r="F56" t="s">
        <v>886</v>
      </c>
    </row>
    <row r="57" spans="1:6" x14ac:dyDescent="0.3">
      <c r="A57" t="s">
        <v>430</v>
      </c>
      <c r="B57" t="s">
        <v>637</v>
      </c>
      <c r="C57" s="64">
        <f>C45</f>
        <v>1.8228892090164373E-2</v>
      </c>
      <c r="D57" s="48" t="s">
        <v>575</v>
      </c>
      <c r="E57" t="s">
        <v>887</v>
      </c>
      <c r="F57" t="s">
        <v>909</v>
      </c>
    </row>
    <row r="58" spans="1:6" x14ac:dyDescent="0.3">
      <c r="A58" t="s">
        <v>910</v>
      </c>
      <c r="B58" t="s">
        <v>83</v>
      </c>
      <c r="C58" s="65">
        <f>-MIN(C29*1000,25*C45/(1-C45))</f>
        <v>-0.46418385974336712</v>
      </c>
      <c r="D58" s="48" t="s">
        <v>80</v>
      </c>
      <c r="E58" t="s">
        <v>890</v>
      </c>
      <c r="F58" t="s">
        <v>911</v>
      </c>
    </row>
    <row r="59" spans="1:6" x14ac:dyDescent="0.3">
      <c r="A59" t="s">
        <v>912</v>
      </c>
      <c r="B59" t="s">
        <v>893</v>
      </c>
      <c r="C59" s="65">
        <f>MIN(25,C29*1000*(1-C45)/C45)</f>
        <v>25</v>
      </c>
      <c r="D59" s="48" t="s">
        <v>80</v>
      </c>
      <c r="E59" t="s">
        <v>894</v>
      </c>
      <c r="F59" t="s">
        <v>913</v>
      </c>
    </row>
    <row r="60" spans="1:6" x14ac:dyDescent="0.3">
      <c r="A60" t="s">
        <v>431</v>
      </c>
      <c r="B60" t="s">
        <v>203</v>
      </c>
      <c r="C60" s="66">
        <f>C45*C34</f>
        <v>9.9347461891395827</v>
      </c>
      <c r="D60" s="48" t="s">
        <v>21</v>
      </c>
      <c r="E60">
        <v>6.1</v>
      </c>
      <c r="F60" t="s">
        <v>897</v>
      </c>
    </row>
    <row r="61" spans="1:6" x14ac:dyDescent="0.3">
      <c r="A61" t="s">
        <v>914</v>
      </c>
      <c r="B61" t="s">
        <v>103</v>
      </c>
      <c r="C61" s="66">
        <f>C48</f>
        <v>541.0261015243442</v>
      </c>
      <c r="D61" s="48" t="s">
        <v>21</v>
      </c>
      <c r="E61">
        <v>6.1</v>
      </c>
      <c r="F61" t="s">
        <v>915</v>
      </c>
    </row>
    <row r="62" spans="1:6" x14ac:dyDescent="0.3">
      <c r="A62" s="9" t="s">
        <v>916</v>
      </c>
      <c r="B62" s="9" t="s">
        <v>557</v>
      </c>
      <c r="C62" s="67">
        <f>C55*C6/(C34/10)</f>
        <v>10.627953039232937</v>
      </c>
      <c r="D62" s="68" t="s">
        <v>901</v>
      </c>
      <c r="E62" s="9" t="s">
        <v>882</v>
      </c>
      <c r="F62" s="9" t="s">
        <v>917</v>
      </c>
    </row>
    <row r="64" spans="1:6" x14ac:dyDescent="0.3">
      <c r="A64" s="4" t="s">
        <v>810</v>
      </c>
      <c r="B64" s="3"/>
      <c r="C64" s="3"/>
      <c r="D64" s="3"/>
      <c r="E64" s="3"/>
      <c r="F64" s="3"/>
    </row>
    <row r="65" spans="1:6" x14ac:dyDescent="0.3">
      <c r="A65" t="s">
        <v>811</v>
      </c>
      <c r="B65" t="s">
        <v>259</v>
      </c>
      <c r="C65" s="51">
        <f>MIN(C36/(C9*C34),0.02)</f>
        <v>1.1798459453365819E-3</v>
      </c>
      <c r="D65" s="48" t="s">
        <v>575</v>
      </c>
      <c r="E65" t="s">
        <v>260</v>
      </c>
    </row>
    <row r="66" spans="1:6" x14ac:dyDescent="0.3">
      <c r="A66" t="s">
        <v>452</v>
      </c>
      <c r="B66" t="s">
        <v>263</v>
      </c>
      <c r="C66" s="55">
        <f>MIN(1+SQRT(200/C34),2)</f>
        <v>1.6057825328153825</v>
      </c>
      <c r="D66" s="48" t="s">
        <v>575</v>
      </c>
      <c r="E66" t="s">
        <v>260</v>
      </c>
      <c r="F66" t="s">
        <v>662</v>
      </c>
    </row>
    <row r="67" spans="1:6" x14ac:dyDescent="0.3">
      <c r="A67" t="s">
        <v>453</v>
      </c>
      <c r="B67" t="s">
        <v>265</v>
      </c>
      <c r="C67" s="55">
        <f>0.15/C18</f>
        <v>9.9999999999999992E-2</v>
      </c>
      <c r="D67" s="48" t="s">
        <v>575</v>
      </c>
      <c r="E67" t="s">
        <v>663</v>
      </c>
    </row>
    <row r="68" spans="1:6" x14ac:dyDescent="0.3">
      <c r="A68" t="s">
        <v>812</v>
      </c>
      <c r="B68" t="s">
        <v>275</v>
      </c>
      <c r="C68" s="55">
        <f>IF(C34&lt;=600,0.0525,0.0375)*C66^1.5*SQRT(C16)</f>
        <v>0.58512684696957851</v>
      </c>
      <c r="D68" s="48" t="s">
        <v>43</v>
      </c>
      <c r="E68" t="s">
        <v>550</v>
      </c>
      <c r="F68" t="s">
        <v>665</v>
      </c>
    </row>
    <row r="69" spans="1:6" x14ac:dyDescent="0.3">
      <c r="A69" t="s">
        <v>813</v>
      </c>
      <c r="B69" t="s">
        <v>277</v>
      </c>
      <c r="C69" s="60">
        <f>MAX(C67*C66*(100*C65*C16)^(1/3),C68)*C9*C34/1000</f>
        <v>1090.6179300665974</v>
      </c>
      <c r="D69" s="48" t="s">
        <v>11</v>
      </c>
      <c r="E69" t="s">
        <v>667</v>
      </c>
    </row>
    <row r="70" spans="1:6" x14ac:dyDescent="0.3">
      <c r="A70" t="s">
        <v>458</v>
      </c>
      <c r="B70" t="s">
        <v>575</v>
      </c>
      <c r="C70" s="57" t="str">
        <f>IF(C7&gt;C69,"JA (V_Ed &gt; V_Rd,c)","NEIN (V_Ed ≤ V_Rd,c)")</f>
        <v>NEIN (V_Ed ≤ V_Rd,c)</v>
      </c>
      <c r="D70" s="48" t="s">
        <v>575</v>
      </c>
      <c r="E70" t="s">
        <v>280</v>
      </c>
    </row>
    <row r="71" spans="1:6" x14ac:dyDescent="0.3">
      <c r="A71" t="s">
        <v>461</v>
      </c>
      <c r="B71" t="s">
        <v>286</v>
      </c>
      <c r="C71" s="60">
        <f>0.5*0.48*C16^(1/3)*C9*C41/1000</f>
        <v>1250.9792642550378</v>
      </c>
      <c r="D71" s="48" t="s">
        <v>11</v>
      </c>
      <c r="E71" t="s">
        <v>670</v>
      </c>
      <c r="F71" t="s">
        <v>671</v>
      </c>
    </row>
    <row r="72" spans="1:6" x14ac:dyDescent="0.3">
      <c r="A72" t="s">
        <v>814</v>
      </c>
      <c r="B72" t="s">
        <v>560</v>
      </c>
      <c r="C72" s="49">
        <f>IF(C7=0,1,MIN(MAX(1.2/(1-C71/C7),1),3))</f>
        <v>1</v>
      </c>
      <c r="D72" s="48" t="s">
        <v>575</v>
      </c>
      <c r="E72" t="s">
        <v>553</v>
      </c>
    </row>
    <row r="73" spans="1:6" x14ac:dyDescent="0.3">
      <c r="A73" t="s">
        <v>463</v>
      </c>
      <c r="B73" t="s">
        <v>60</v>
      </c>
      <c r="C73" s="49">
        <f>IF(C21&gt;0,C21,C72)</f>
        <v>1</v>
      </c>
      <c r="D73" s="48" t="s">
        <v>575</v>
      </c>
      <c r="E73" t="s">
        <v>283</v>
      </c>
      <c r="F73" t="s">
        <v>815</v>
      </c>
    </row>
    <row r="74" spans="1:6" x14ac:dyDescent="0.3">
      <c r="A74" t="s">
        <v>816</v>
      </c>
      <c r="B74" t="s">
        <v>677</v>
      </c>
      <c r="C74" s="56">
        <v>0.75</v>
      </c>
      <c r="D74" s="48" t="s">
        <v>575</v>
      </c>
      <c r="E74" t="s">
        <v>678</v>
      </c>
    </row>
    <row r="75" spans="1:6" x14ac:dyDescent="0.3">
      <c r="A75" t="s">
        <v>817</v>
      </c>
      <c r="B75" t="s">
        <v>296</v>
      </c>
      <c r="C75" s="60">
        <f>C9*C41*C74*C25/(C73+1/C73)/1000</f>
        <v>10694.126249999999</v>
      </c>
      <c r="D75" s="48" t="s">
        <v>11</v>
      </c>
      <c r="E75" t="s">
        <v>554</v>
      </c>
      <c r="F75" t="s">
        <v>680</v>
      </c>
    </row>
    <row r="76" spans="1:6" x14ac:dyDescent="0.3">
      <c r="A76" t="s">
        <v>818</v>
      </c>
      <c r="B76" t="s">
        <v>575</v>
      </c>
      <c r="C76" s="57" t="str">
        <f>IF(C7&lt;=C75,"OK","NICHT ERFÜLLT – b oder f_ck erhöhen")</f>
        <v>OK</v>
      </c>
      <c r="D76" s="48" t="s">
        <v>575</v>
      </c>
      <c r="E76" t="s">
        <v>299</v>
      </c>
    </row>
    <row r="77" spans="1:6" x14ac:dyDescent="0.3">
      <c r="A77" t="s">
        <v>819</v>
      </c>
      <c r="B77" t="s">
        <v>683</v>
      </c>
      <c r="C77" s="54">
        <f>C7*1000000/(C41*C28*C73)</f>
        <v>937.81855249745149</v>
      </c>
      <c r="D77" s="48" t="s">
        <v>684</v>
      </c>
      <c r="E77" t="s">
        <v>555</v>
      </c>
      <c r="F77" t="s">
        <v>820</v>
      </c>
    </row>
    <row r="78" spans="1:6" x14ac:dyDescent="0.3">
      <c r="A78" t="s">
        <v>469</v>
      </c>
      <c r="B78" t="s">
        <v>306</v>
      </c>
      <c r="C78" s="51">
        <f>0.16*C26/C17</f>
        <v>9.2686980922140449E-4</v>
      </c>
      <c r="D78" s="48" t="s">
        <v>575</v>
      </c>
      <c r="E78" t="s">
        <v>556</v>
      </c>
      <c r="F78" t="s">
        <v>308</v>
      </c>
    </row>
    <row r="79" spans="1:6" x14ac:dyDescent="0.3">
      <c r="A79" t="s">
        <v>470</v>
      </c>
      <c r="B79" t="s">
        <v>688</v>
      </c>
      <c r="C79" s="54">
        <f>C78*C9*1000</f>
        <v>3169.8947475372033</v>
      </c>
      <c r="D79" s="48" t="s">
        <v>684</v>
      </c>
      <c r="E79" t="s">
        <v>311</v>
      </c>
      <c r="F79" t="s">
        <v>821</v>
      </c>
    </row>
    <row r="80" spans="1:6" x14ac:dyDescent="0.3">
      <c r="A80" s="2" t="s">
        <v>822</v>
      </c>
      <c r="B80" s="2" t="s">
        <v>683</v>
      </c>
      <c r="C80" s="59">
        <f>MAX(C77,C79)</f>
        <v>3169.8947475372033</v>
      </c>
      <c r="D80" s="58" t="s">
        <v>684</v>
      </c>
      <c r="E80" s="9" t="s">
        <v>582</v>
      </c>
      <c r="F80" s="9" t="s">
        <v>691</v>
      </c>
    </row>
    <row r="82" spans="1:6" x14ac:dyDescent="0.3">
      <c r="A82" s="4" t="s">
        <v>823</v>
      </c>
      <c r="B82" s="3"/>
      <c r="C82" s="3"/>
      <c r="D82" s="3"/>
      <c r="E82" s="3"/>
      <c r="F82" s="3"/>
    </row>
    <row r="83" spans="1:6" x14ac:dyDescent="0.3">
      <c r="A83" t="s">
        <v>824</v>
      </c>
      <c r="B83" t="s">
        <v>694</v>
      </c>
      <c r="C83" s="49">
        <f>C8*1000000/(2*C39*C38)</f>
        <v>4.4885755067051551E-2</v>
      </c>
      <c r="D83" s="48" t="s">
        <v>43</v>
      </c>
      <c r="E83" t="s">
        <v>695</v>
      </c>
      <c r="F83" t="s">
        <v>696</v>
      </c>
    </row>
    <row r="84" spans="1:6" x14ac:dyDescent="0.3">
      <c r="A84" t="s">
        <v>825</v>
      </c>
      <c r="B84" t="s">
        <v>698</v>
      </c>
      <c r="C84" s="50">
        <f>2*C39*C38*C27/1000000</f>
        <v>639.92037449542352</v>
      </c>
      <c r="D84" s="48" t="s">
        <v>18</v>
      </c>
      <c r="E84" t="s">
        <v>699</v>
      </c>
      <c r="F84" t="s">
        <v>700</v>
      </c>
    </row>
    <row r="85" spans="1:6" x14ac:dyDescent="0.3">
      <c r="A85" t="s">
        <v>826</v>
      </c>
      <c r="B85" t="s">
        <v>575</v>
      </c>
      <c r="C85" s="57" t="str">
        <f>IF(C8/C84+C7/C69&lt;=1,"NEIN (Mindestbew.)","JA")</f>
        <v>NEIN (Mindestbew.)</v>
      </c>
      <c r="D85" t="s">
        <v>575</v>
      </c>
      <c r="E85" t="s">
        <v>702</v>
      </c>
      <c r="F85" t="s">
        <v>827</v>
      </c>
    </row>
    <row r="86" spans="1:6" x14ac:dyDescent="0.3">
      <c r="A86" t="s">
        <v>828</v>
      </c>
      <c r="B86" t="s">
        <v>705</v>
      </c>
      <c r="C86" s="50">
        <f>2*C22*C25*C39*C38/(C73+1/C73)/1000000</f>
        <v>2485.4767360679339</v>
      </c>
      <c r="D86" s="48" t="s">
        <v>18</v>
      </c>
      <c r="E86" t="s">
        <v>706</v>
      </c>
      <c r="F86" t="s">
        <v>707</v>
      </c>
    </row>
    <row r="87" spans="1:6" x14ac:dyDescent="0.3">
      <c r="A87" t="s">
        <v>829</v>
      </c>
      <c r="B87" t="s">
        <v>575</v>
      </c>
      <c r="C87" s="57" t="str">
        <f>IF(C8&lt;=C86,"OK","NICHT ERFÜLLT – Querschnitt oder f_ck erhöhen")</f>
        <v>OK</v>
      </c>
      <c r="D87" s="48" t="s">
        <v>575</v>
      </c>
      <c r="E87" t="s">
        <v>709</v>
      </c>
    </row>
    <row r="88" spans="1:6" x14ac:dyDescent="0.3">
      <c r="A88" t="s">
        <v>830</v>
      </c>
      <c r="B88" t="s">
        <v>711</v>
      </c>
      <c r="C88" s="54">
        <f>C8*1000000000/(2*C39*C28*C73)</f>
        <v>26.348608161002048</v>
      </c>
      <c r="D88" s="48" t="s">
        <v>684</v>
      </c>
      <c r="E88" t="s">
        <v>712</v>
      </c>
      <c r="F88" t="s">
        <v>831</v>
      </c>
    </row>
    <row r="89" spans="1:6" x14ac:dyDescent="0.3">
      <c r="A89" t="s">
        <v>832</v>
      </c>
      <c r="B89" t="s">
        <v>715</v>
      </c>
      <c r="C89" s="54">
        <f>C8*1000000*C73*C40/(2*C39*C28)</f>
        <v>184.94363352173198</v>
      </c>
      <c r="D89" s="48" t="s">
        <v>93</v>
      </c>
      <c r="E89" t="s">
        <v>716</v>
      </c>
      <c r="F89" t="s">
        <v>833</v>
      </c>
    </row>
    <row r="91" spans="1:6" x14ac:dyDescent="0.3">
      <c r="A91" s="4" t="s">
        <v>834</v>
      </c>
      <c r="B91" s="3"/>
      <c r="C91" s="3"/>
      <c r="D91" s="3"/>
      <c r="E91" s="3"/>
      <c r="F91" s="3"/>
    </row>
    <row r="92" spans="1:6" x14ac:dyDescent="0.3">
      <c r="A92" t="s">
        <v>835</v>
      </c>
      <c r="B92" t="s">
        <v>575</v>
      </c>
      <c r="C92" s="55">
        <f>C8/C86+C7/C75</f>
        <v>2.8760287650232245E-2</v>
      </c>
      <c r="D92" s="48" t="s">
        <v>575</v>
      </c>
      <c r="E92" t="s">
        <v>720</v>
      </c>
      <c r="F92" t="s">
        <v>721</v>
      </c>
    </row>
    <row r="93" spans="1:6" x14ac:dyDescent="0.3">
      <c r="A93" t="s">
        <v>836</v>
      </c>
      <c r="B93" t="s">
        <v>575</v>
      </c>
      <c r="C93" s="57" t="str">
        <f>IF(C92&lt;=1,"OK","NICHT ERFÜLLT – cotθ verringern oder Querschnitt vergrößern")</f>
        <v>OK</v>
      </c>
      <c r="D93" s="48" t="s">
        <v>575</v>
      </c>
      <c r="E93" t="s">
        <v>709</v>
      </c>
    </row>
    <row r="94" spans="1:6" x14ac:dyDescent="0.3">
      <c r="A94" t="s">
        <v>837</v>
      </c>
      <c r="B94" t="s">
        <v>838</v>
      </c>
      <c r="C94" s="52">
        <f>PI()*C14^2/4</f>
        <v>78.539816339744831</v>
      </c>
      <c r="D94" s="48" t="s">
        <v>93</v>
      </c>
      <c r="E94" t="s">
        <v>575</v>
      </c>
      <c r="F94" t="s">
        <v>839</v>
      </c>
    </row>
    <row r="95" spans="1:6" x14ac:dyDescent="0.3">
      <c r="A95" t="s">
        <v>840</v>
      </c>
      <c r="B95" t="s">
        <v>727</v>
      </c>
      <c r="C95" s="54">
        <f>C80/C15+C88</f>
        <v>1611.2959819296036</v>
      </c>
      <c r="D95" s="48" t="s">
        <v>684</v>
      </c>
      <c r="E95" t="s">
        <v>728</v>
      </c>
      <c r="F95" t="s">
        <v>841</v>
      </c>
    </row>
    <row r="96" spans="1:6" x14ac:dyDescent="0.3">
      <c r="A96" t="s">
        <v>842</v>
      </c>
      <c r="B96" t="s">
        <v>562</v>
      </c>
      <c r="C96" s="52">
        <f>C94*1000/C95</f>
        <v>48.743258358833408</v>
      </c>
      <c r="D96" s="48" t="s">
        <v>21</v>
      </c>
      <c r="E96" t="s">
        <v>575</v>
      </c>
      <c r="F96" t="s">
        <v>843</v>
      </c>
    </row>
    <row r="97" spans="1:6" x14ac:dyDescent="0.3">
      <c r="A97" t="s">
        <v>844</v>
      </c>
      <c r="B97" t="s">
        <v>320</v>
      </c>
      <c r="C97" s="52">
        <f>MIN(0.75*C34,300,C40/8)</f>
        <v>300</v>
      </c>
      <c r="D97" s="48" t="s">
        <v>21</v>
      </c>
      <c r="E97" t="s">
        <v>732</v>
      </c>
      <c r="F97" t="s">
        <v>845</v>
      </c>
    </row>
    <row r="98" spans="1:6" x14ac:dyDescent="0.3">
      <c r="A98" s="2" t="s">
        <v>846</v>
      </c>
      <c r="B98" s="2" t="s">
        <v>735</v>
      </c>
      <c r="C98" s="61">
        <f>MIN(C96,C97)</f>
        <v>48.743258358833408</v>
      </c>
      <c r="D98" s="58" t="s">
        <v>21</v>
      </c>
      <c r="E98" s="9"/>
      <c r="F98" s="9" t="str">
        <f>"Geschlossener Bügel Ø"&amp;C14&amp;" alle "&amp;FLOOR(C98,10)&amp;" mm"</f>
        <v>Geschlossener Bügel Ø10 alle 40 mm</v>
      </c>
    </row>
    <row r="99" spans="1:6" x14ac:dyDescent="0.3">
      <c r="A99" t="s">
        <v>847</v>
      </c>
      <c r="B99" t="s">
        <v>848</v>
      </c>
      <c r="C99" s="54">
        <f>C89*(C9-C38)/C40</f>
        <v>83.387445887445878</v>
      </c>
      <c r="D99" s="48" t="s">
        <v>93</v>
      </c>
      <c r="E99" t="s">
        <v>738</v>
      </c>
      <c r="F99" t="s">
        <v>849</v>
      </c>
    </row>
    <row r="100" spans="1:6" x14ac:dyDescent="0.3">
      <c r="A100" s="2" t="s">
        <v>850</v>
      </c>
      <c r="B100" s="2" t="s">
        <v>851</v>
      </c>
      <c r="C100" s="59">
        <f>C52+C99</f>
        <v>2890.7254816750815</v>
      </c>
      <c r="D100" s="58" t="s">
        <v>93</v>
      </c>
      <c r="E100" s="9" t="s">
        <v>742</v>
      </c>
      <c r="F100" s="9" t="s">
        <v>852</v>
      </c>
    </row>
    <row r="102" spans="1:6" x14ac:dyDescent="0.3">
      <c r="A102" s="4" t="s">
        <v>853</v>
      </c>
      <c r="B102" s="3"/>
      <c r="C102" s="3"/>
      <c r="D102" s="3"/>
      <c r="E102" s="3"/>
      <c r="F102" s="3"/>
    </row>
    <row r="103" spans="1:6" x14ac:dyDescent="0.3">
      <c r="A103" t="s">
        <v>854</v>
      </c>
      <c r="C103" s="62" t="str">
        <f>"M_Ed = "&amp;C6&amp;" kNm  /  V_Ed = "&amp;C7&amp;" kN  /  T_Ed = "&amp;C8&amp;" kNm"</f>
        <v>M_Ed = 250 kNm  /  V_Ed = 200 kN  /  T_Ed = 25 kNm</v>
      </c>
    </row>
    <row r="104" spans="1:6" x14ac:dyDescent="0.3">
      <c r="A104" t="s">
        <v>855</v>
      </c>
      <c r="C104" s="62" t="str">
        <f>"b/h = "&amp;C9&amp;"/"&amp;C10&amp;" mm  ·  C"&amp;C16&amp;"  ·  B"&amp;C17&amp;"  ·  c_nom = "&amp;C11&amp;" mm"</f>
        <v>b/h = 3420/600 mm  ·  C30  ·  B500  ·  c_nom = 35 mm</v>
      </c>
    </row>
    <row r="105" spans="1:6" x14ac:dyDescent="0.3">
      <c r="A105" t="s">
        <v>856</v>
      </c>
      <c r="C105" s="62" t="str">
        <f>"erforderlich "&amp;ROUND(C100,0)&amp;" mm²  →  vorhanden "&amp;C13&amp;"Ø"&amp;C12&amp;" = "&amp;ROUND(C36,0)&amp;" mm²"</f>
        <v>erforderlich 2891 mm²  →  vorhanden 7Ø20 = 2199 mm²</v>
      </c>
    </row>
    <row r="106" spans="1:6" x14ac:dyDescent="0.3">
      <c r="A106" t="s">
        <v>857</v>
      </c>
      <c r="C106" s="62" t="str">
        <f>F98</f>
        <v>Geschlossener Bügel Ø10 alle 40 mm</v>
      </c>
    </row>
    <row r="107" spans="1:6" x14ac:dyDescent="0.3">
      <c r="A107" t="s">
        <v>858</v>
      </c>
      <c r="C107" s="62" t="str">
        <f>ROUND(C89,0)&amp;" mm² über den Umfang verteilt (mind. 1 Stab je Ecke)"</f>
        <v>185 mm² über den Umfang verteilt (mind. 1 Stab je Ecke)</v>
      </c>
    </row>
    <row r="108" spans="1:6" x14ac:dyDescent="0.3">
      <c r="A108" t="s">
        <v>859</v>
      </c>
      <c r="C108" s="57" t="str">
        <f>C47</f>
        <v>OK</v>
      </c>
    </row>
    <row r="109" spans="1:6" x14ac:dyDescent="0.3">
      <c r="A109" t="s">
        <v>860</v>
      </c>
      <c r="C109" s="57" t="str">
        <f>C76</f>
        <v>OK</v>
      </c>
    </row>
    <row r="110" spans="1:6" x14ac:dyDescent="0.3">
      <c r="A110" t="s">
        <v>861</v>
      </c>
      <c r="C110" s="57" t="str">
        <f>C87</f>
        <v>OK</v>
      </c>
    </row>
    <row r="111" spans="1:6" x14ac:dyDescent="0.3">
      <c r="A111" t="s">
        <v>862</v>
      </c>
      <c r="C111" s="57" t="str">
        <f>C93</f>
        <v>OK</v>
      </c>
    </row>
    <row r="112" spans="1:6" x14ac:dyDescent="0.3">
      <c r="A112" t="s">
        <v>863</v>
      </c>
      <c r="C112" s="57" t="str">
        <f>IF(C36&gt;=C100,"OK","NICHT ERFÜLLT – Stabzahl oder -durchmesser erhöhen")</f>
        <v>NICHT ERFÜLLT – Stabzahl oder -durchmesser erhöhen</v>
      </c>
    </row>
    <row r="113" spans="1:6" x14ac:dyDescent="0.3">
      <c r="A113" t="s">
        <v>864</v>
      </c>
      <c r="C113" s="57" t="str">
        <f>IF(C36&lt;=C51,"OK","NICHT ERFÜLLT – überschreitet 0,04·A_c")</f>
        <v>OK</v>
      </c>
    </row>
    <row r="114" spans="1:6" x14ac:dyDescent="0.3">
      <c r="A114" s="2" t="s">
        <v>489</v>
      </c>
      <c r="B114" s="9"/>
      <c r="C114" s="58" t="str">
        <f>IF(COUNTIF(C108:C113,"*OK*")=6,"ALLE NACHWEISE ERFÜLLT","PRÜFEN: nicht alle Nachweise erfüllt")</f>
        <v>PRÜFEN: nicht alle Nachweise erfüllt</v>
      </c>
      <c r="D114" s="9"/>
      <c r="E114" s="9"/>
      <c r="F114" s="9"/>
    </row>
    <row r="116" spans="1:6" x14ac:dyDescent="0.3">
      <c r="A116" s="4" t="s">
        <v>865</v>
      </c>
      <c r="B116" s="3"/>
      <c r="C116" s="3"/>
      <c r="D116" s="3"/>
      <c r="E116" s="3"/>
      <c r="F116" s="3"/>
    </row>
    <row r="117" spans="1:6" x14ac:dyDescent="0.3">
      <c r="A117" t="s">
        <v>342</v>
      </c>
    </row>
    <row r="118" spans="1:6" x14ac:dyDescent="0.3">
      <c r="A118" t="s">
        <v>866</v>
      </c>
    </row>
    <row r="119" spans="1:6" x14ac:dyDescent="0.3">
      <c r="A119" t="s">
        <v>493</v>
      </c>
    </row>
    <row r="120" spans="1:6" x14ac:dyDescent="0.3">
      <c r="A120" t="s">
        <v>494</v>
      </c>
    </row>
    <row r="121" spans="1:6" x14ac:dyDescent="0.3">
      <c r="A121" t="s">
        <v>867</v>
      </c>
    </row>
    <row r="122" spans="1:6" x14ac:dyDescent="0.3">
      <c r="A122" t="s">
        <v>762</v>
      </c>
    </row>
    <row r="123" spans="1:6" x14ac:dyDescent="0.3">
      <c r="A123" t="s">
        <v>868</v>
      </c>
    </row>
    <row r="124" spans="1:6" x14ac:dyDescent="0.3">
      <c r="A124" t="s">
        <v>869</v>
      </c>
    </row>
    <row r="125" spans="1:6" x14ac:dyDescent="0.3">
      <c r="A125" t="s">
        <v>870</v>
      </c>
    </row>
    <row r="126" spans="1:6" x14ac:dyDescent="0.3">
      <c r="A126" t="s">
        <v>871</v>
      </c>
    </row>
    <row r="127" spans="1:6" x14ac:dyDescent="0.3">
      <c r="A127" t="s">
        <v>872</v>
      </c>
    </row>
    <row r="128" spans="1:6" x14ac:dyDescent="0.3">
      <c r="A128" t="s">
        <v>873</v>
      </c>
    </row>
    <row r="130" spans="1:1" x14ac:dyDescent="0.3">
      <c r="A130" s="63" t="s">
        <v>874</v>
      </c>
    </row>
  </sheetData>
  <conditionalFormatting sqref="C47">
    <cfRule type="containsText" dxfId="147" priority="1" operator="containsText" text="NICHT ERFÜLLT">
      <formula>NOT(ISERROR(SEARCH("NICHT ERFÜLLT",C47)))</formula>
    </cfRule>
    <cfRule type="containsText" dxfId="146" priority="2" operator="containsText" text="PRÜFEN">
      <formula>NOT(ISERROR(SEARCH("PRÜFEN",C47)))</formula>
    </cfRule>
    <cfRule type="containsText" dxfId="145" priority="3" operator="containsText" text="OK">
      <formula>NOT(ISERROR(SEARCH("OK",C47)))</formula>
    </cfRule>
  </conditionalFormatting>
  <conditionalFormatting sqref="C76">
    <cfRule type="containsText" dxfId="144" priority="4" operator="containsText" text="NICHT ERFÜLLT">
      <formula>NOT(ISERROR(SEARCH("NICHT ERFÜLLT",C76)))</formula>
    </cfRule>
    <cfRule type="containsText" dxfId="143" priority="5" operator="containsText" text="PRÜFEN">
      <formula>NOT(ISERROR(SEARCH("PRÜFEN",C76)))</formula>
    </cfRule>
    <cfRule type="containsText" dxfId="142" priority="6" operator="containsText" text="OK">
      <formula>NOT(ISERROR(SEARCH("OK",C76)))</formula>
    </cfRule>
  </conditionalFormatting>
  <conditionalFormatting sqref="C87">
    <cfRule type="containsText" dxfId="141" priority="7" operator="containsText" text="NICHT ERFÜLLT">
      <formula>NOT(ISERROR(SEARCH("NICHT ERFÜLLT",C87)))</formula>
    </cfRule>
    <cfRule type="containsText" dxfId="140" priority="8" operator="containsText" text="PRÜFEN">
      <formula>NOT(ISERROR(SEARCH("PRÜFEN",C87)))</formula>
    </cfRule>
    <cfRule type="containsText" dxfId="139" priority="9" operator="containsText" text="OK">
      <formula>NOT(ISERROR(SEARCH("OK",C87)))</formula>
    </cfRule>
  </conditionalFormatting>
  <conditionalFormatting sqref="C93">
    <cfRule type="containsText" dxfId="138" priority="10" operator="containsText" text="NICHT ERFÜLLT">
      <formula>NOT(ISERROR(SEARCH("NICHT ERFÜLLT",C93)))</formula>
    </cfRule>
    <cfRule type="containsText" dxfId="137" priority="11" operator="containsText" text="PRÜFEN">
      <formula>NOT(ISERROR(SEARCH("PRÜFEN",C93)))</formula>
    </cfRule>
    <cfRule type="containsText" dxfId="136" priority="12" operator="containsText" text="OK">
      <formula>NOT(ISERROR(SEARCH("OK",C93)))</formula>
    </cfRule>
  </conditionalFormatting>
  <conditionalFormatting sqref="C108:C114">
    <cfRule type="containsText" dxfId="135" priority="13" operator="containsText" text="NICHT ERFÜLLT">
      <formula>NOT(ISERROR(SEARCH("NICHT ERFÜLLT",C108)))</formula>
    </cfRule>
    <cfRule type="containsText" dxfId="134" priority="14" operator="containsText" text="PRÜFEN">
      <formula>NOT(ISERROR(SEARCH("PRÜFEN",C108)))</formula>
    </cfRule>
    <cfRule type="containsText" dxfId="133" priority="15" operator="containsText" text="OK">
      <formula>NOT(ISERROR(SEARCH("OK",C108)))</formula>
    </cfRule>
  </conditionalFormatting>
  <conditionalFormatting sqref="C114">
    <cfRule type="containsText" dxfId="132" priority="34" operator="containsText" text="ALLE NACHWEISE ERFÜLLT">
      <formula>NOT(ISERROR(SEARCH("ALLE NACHWEISE ERFÜLLT",C114)))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5316910-46B2-4C94-A359-A68F0220A25E}">
          <x14:formula1>
            <xm:f>Aceros_DIN!$A$35:$A$43</xm:f>
          </x14:formula1>
          <xm:sqref>F16</xm:sqref>
        </x14:dataValidation>
        <x14:dataValidation type="list" allowBlank="1" showInputMessage="1" showErrorMessage="1" xr:uid="{F48A40D2-8A70-4F07-89FA-79413F28728E}">
          <x14:formula1>
            <xm:f>Aceros_DIN!$A$47:$A$49</xm:f>
          </x14:formula1>
          <xm:sqref>F17</xm:sqref>
        </x14:dataValidation>
        <x14:dataValidation type="list" allowBlank="1" showInputMessage="1" showErrorMessage="1" xr:uid="{2BB006A4-748B-45D1-A5AB-2F87D6B685AE}">
          <x14:formula1>
            <xm:f>Aceros_DIN!$B$6:$B$16</xm:f>
          </x14:formula1>
          <xm:sqref>C12 C14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AD5D-9F20-4CEE-8240-57BA52B01A07}">
  <sheetPr>
    <tabColor rgb="FFC00000"/>
  </sheetPr>
  <dimension ref="A1:Y130"/>
  <sheetViews>
    <sheetView workbookViewId="0">
      <selection activeCell="C85" sqref="C85"/>
    </sheetView>
  </sheetViews>
  <sheetFormatPr defaultRowHeight="14.4" x14ac:dyDescent="0.3"/>
  <cols>
    <col min="1" max="1" width="57.109375" customWidth="1"/>
    <col min="2" max="2" width="13.33203125" customWidth="1"/>
    <col min="3" max="3" width="25.33203125" customWidth="1"/>
    <col min="4" max="4" width="10.44140625" customWidth="1"/>
    <col min="5" max="5" width="28.5546875" customWidth="1"/>
    <col min="6" max="6" width="64.6640625" customWidth="1"/>
  </cols>
  <sheetData>
    <row r="1" spans="1:25" ht="18" x14ac:dyDescent="0.35">
      <c r="A1" s="44" t="s">
        <v>770</v>
      </c>
      <c r="B1" s="43"/>
      <c r="C1" s="43"/>
      <c r="D1" s="43"/>
      <c r="E1" s="43"/>
      <c r="F1" s="43"/>
    </row>
    <row r="2" spans="1:25" x14ac:dyDescent="0.3">
      <c r="A2" s="45" t="s">
        <v>1173</v>
      </c>
      <c r="R2" t="s">
        <v>918</v>
      </c>
      <c r="S2" t="s">
        <v>919</v>
      </c>
      <c r="T2" t="s">
        <v>920</v>
      </c>
      <c r="U2" t="s">
        <v>921</v>
      </c>
      <c r="V2" t="s">
        <v>922</v>
      </c>
      <c r="W2" t="s">
        <v>923</v>
      </c>
      <c r="X2" t="s">
        <v>924</v>
      </c>
      <c r="Y2" t="s">
        <v>925</v>
      </c>
    </row>
    <row r="3" spans="1:25" x14ac:dyDescent="0.3">
      <c r="R3">
        <f>0</f>
        <v>0</v>
      </c>
      <c r="S3">
        <f>0</f>
        <v>0</v>
      </c>
      <c r="T3">
        <f>C11</f>
        <v>35</v>
      </c>
      <c r="U3">
        <f>C11</f>
        <v>35</v>
      </c>
      <c r="V3">
        <f>IF(1&lt;=$C$13,$C$33+(1-1)*($C$9-2*$C$33)/MAX($C$13-1,1),NA())</f>
        <v>57</v>
      </c>
      <c r="W3">
        <f>IF(1&lt;=$C$13,$C$33,NA())</f>
        <v>57</v>
      </c>
      <c r="X3">
        <f>$C$33</f>
        <v>57</v>
      </c>
      <c r="Y3" s="53">
        <f>$C$10-$C$33</f>
        <v>543</v>
      </c>
    </row>
    <row r="4" spans="1:25" x14ac:dyDescent="0.3">
      <c r="A4" s="4" t="s">
        <v>772</v>
      </c>
      <c r="B4" s="3"/>
      <c r="C4" s="3"/>
      <c r="D4" s="3"/>
      <c r="E4" s="3"/>
      <c r="F4" s="3"/>
      <c r="R4">
        <f>C9</f>
        <v>3420</v>
      </c>
      <c r="S4">
        <f>0</f>
        <v>0</v>
      </c>
      <c r="T4">
        <f>C9-C11</f>
        <v>3385</v>
      </c>
      <c r="U4">
        <f>C11</f>
        <v>35</v>
      </c>
      <c r="V4">
        <f>IF(2&lt;=$C$13,$C$33+(2-1)*($C$9-2*$C$33)/MAX($C$13-1,1),NA())</f>
        <v>424.33333333333331</v>
      </c>
      <c r="W4">
        <f>IF(2&lt;=$C$13,$C$33,NA())</f>
        <v>57</v>
      </c>
      <c r="X4" s="53">
        <f>$C$9-$C$33</f>
        <v>3363</v>
      </c>
      <c r="Y4" s="53">
        <f>$C$10-$C$33</f>
        <v>543</v>
      </c>
    </row>
    <row r="5" spans="1:25" x14ac:dyDescent="0.3">
      <c r="A5" s="5" t="s">
        <v>365</v>
      </c>
      <c r="B5" s="5" t="s">
        <v>366</v>
      </c>
      <c r="C5" s="46" t="s">
        <v>367</v>
      </c>
      <c r="D5" s="46" t="s">
        <v>368</v>
      </c>
      <c r="E5" s="5" t="s">
        <v>369</v>
      </c>
      <c r="F5" s="5" t="s">
        <v>773</v>
      </c>
      <c r="R5">
        <f>C9</f>
        <v>3420</v>
      </c>
      <c r="S5">
        <f>C10</f>
        <v>600</v>
      </c>
      <c r="T5">
        <f>C9-C11</f>
        <v>3385</v>
      </c>
      <c r="U5">
        <f>C10-C11</f>
        <v>565</v>
      </c>
      <c r="V5">
        <f>IF(3&lt;=$C$13,$C$33+(3-1)*($C$9-2*$C$33)/MAX($C$13-1,1),NA())</f>
        <v>791.66666666666663</v>
      </c>
      <c r="W5">
        <f>IF(3&lt;=$C$13,$C$33,NA())</f>
        <v>57</v>
      </c>
    </row>
    <row r="6" spans="1:25" x14ac:dyDescent="0.3">
      <c r="A6" t="s">
        <v>774</v>
      </c>
      <c r="B6" t="s">
        <v>17</v>
      </c>
      <c r="C6" s="47">
        <v>250</v>
      </c>
      <c r="D6" s="48" t="s">
        <v>18</v>
      </c>
      <c r="E6">
        <v>6.1</v>
      </c>
      <c r="F6" t="s">
        <v>372</v>
      </c>
      <c r="R6">
        <f>0</f>
        <v>0</v>
      </c>
      <c r="S6">
        <f>C10</f>
        <v>600</v>
      </c>
      <c r="T6">
        <f>C11</f>
        <v>35</v>
      </c>
      <c r="U6">
        <f>C10-C11</f>
        <v>565</v>
      </c>
      <c r="V6">
        <f>IF(4&lt;=$C$13,$C$33+(4-1)*($C$9-2*$C$33)/MAX($C$13-1,1),NA())</f>
        <v>1159</v>
      </c>
      <c r="W6">
        <f>IF(4&lt;=$C$13,$C$33,NA())</f>
        <v>57</v>
      </c>
    </row>
    <row r="7" spans="1:25" x14ac:dyDescent="0.3">
      <c r="A7" t="s">
        <v>373</v>
      </c>
      <c r="B7" t="s">
        <v>14</v>
      </c>
      <c r="C7" s="47">
        <v>200</v>
      </c>
      <c r="D7" s="48" t="s">
        <v>11</v>
      </c>
      <c r="E7" t="s">
        <v>15</v>
      </c>
      <c r="R7">
        <f>0</f>
        <v>0</v>
      </c>
      <c r="S7">
        <f>0</f>
        <v>0</v>
      </c>
      <c r="T7">
        <f>C11</f>
        <v>35</v>
      </c>
      <c r="U7">
        <f>C11</f>
        <v>35</v>
      </c>
      <c r="V7">
        <f>IF(5&lt;=$C$13,$C$33+(5-1)*($C$9-2*$C$33)/MAX($C$13-1,1),NA())</f>
        <v>1526.3333333333333</v>
      </c>
      <c r="W7">
        <f>IF(5&lt;=$C$13,$C$33,NA())</f>
        <v>57</v>
      </c>
    </row>
    <row r="8" spans="1:25" x14ac:dyDescent="0.3">
      <c r="A8" t="s">
        <v>775</v>
      </c>
      <c r="B8" t="s">
        <v>571</v>
      </c>
      <c r="C8" s="47">
        <v>25</v>
      </c>
      <c r="D8" s="48" t="s">
        <v>18</v>
      </c>
      <c r="E8" t="s">
        <v>572</v>
      </c>
      <c r="V8">
        <f>IF(6&lt;=$C$13,$C$33+(6-1)*($C$9-2*$C$33)/MAX($C$13-1,1),NA())</f>
        <v>1893.6666666666667</v>
      </c>
      <c r="W8">
        <f>IF(6&lt;=$C$13,$C$33,NA())</f>
        <v>57</v>
      </c>
    </row>
    <row r="9" spans="1:25" x14ac:dyDescent="0.3">
      <c r="A9" t="s">
        <v>776</v>
      </c>
      <c r="B9" t="s">
        <v>574</v>
      </c>
      <c r="C9" s="47">
        <v>3420</v>
      </c>
      <c r="D9" s="48" t="s">
        <v>21</v>
      </c>
      <c r="E9" t="s">
        <v>575</v>
      </c>
      <c r="V9">
        <f>IF(7&lt;=$C$13,$C$33+(7-1)*($C$9-2*$C$33)/MAX($C$13-1,1),NA())</f>
        <v>2261</v>
      </c>
      <c r="W9">
        <f>IF(7&lt;=$C$13,$C$33,NA())</f>
        <v>57</v>
      </c>
    </row>
    <row r="10" spans="1:25" x14ac:dyDescent="0.3">
      <c r="A10" t="s">
        <v>777</v>
      </c>
      <c r="B10" t="s">
        <v>577</v>
      </c>
      <c r="C10" s="47">
        <v>600</v>
      </c>
      <c r="D10" s="48" t="s">
        <v>21</v>
      </c>
      <c r="E10" t="s">
        <v>575</v>
      </c>
      <c r="V10">
        <f>IF(8&lt;=$C$13,$C$33+(8-1)*($C$9-2*$C$33)/MAX($C$13-1,1),NA())</f>
        <v>2628.3333333333335</v>
      </c>
      <c r="W10">
        <f>IF(8&lt;=$C$13,$C$33,NA())</f>
        <v>57</v>
      </c>
    </row>
    <row r="11" spans="1:25" x14ac:dyDescent="0.3">
      <c r="A11" t="s">
        <v>376</v>
      </c>
      <c r="B11" t="s">
        <v>24</v>
      </c>
      <c r="C11" s="47">
        <v>35</v>
      </c>
      <c r="D11" s="48" t="s">
        <v>21</v>
      </c>
      <c r="E11" t="s">
        <v>578</v>
      </c>
      <c r="V11">
        <f>IF(9&lt;=$C$13,$C$33+(9-1)*($C$9-2*$C$33)/MAX($C$13-1,1),NA())</f>
        <v>2995.6666666666665</v>
      </c>
      <c r="W11">
        <f>IF(9&lt;=$C$13,$C$33,NA())</f>
        <v>57</v>
      </c>
    </row>
    <row r="12" spans="1:25" x14ac:dyDescent="0.3">
      <c r="A12" t="s">
        <v>379</v>
      </c>
      <c r="B12" t="s">
        <v>32</v>
      </c>
      <c r="C12" s="100">
        <v>20</v>
      </c>
      <c r="D12" s="48" t="s">
        <v>21</v>
      </c>
      <c r="E12" t="s">
        <v>575</v>
      </c>
      <c r="V12">
        <f>IF(10&lt;=$C$13,$C$33+(10-1)*($C$9-2*$C$33)/MAX($C$13-1,1),NA())</f>
        <v>3363</v>
      </c>
      <c r="W12">
        <f>IF(10&lt;=$C$13,$C$33,NA())</f>
        <v>57</v>
      </c>
    </row>
    <row r="13" spans="1:25" x14ac:dyDescent="0.3">
      <c r="A13" t="s">
        <v>778</v>
      </c>
      <c r="B13" t="s">
        <v>27</v>
      </c>
      <c r="C13" s="47">
        <v>10</v>
      </c>
      <c r="D13" s="48" t="s">
        <v>575</v>
      </c>
      <c r="E13" t="s">
        <v>575</v>
      </c>
      <c r="V13" t="e">
        <f>IF(11&lt;=$C$13,$C$33+(11-1)*($C$9-2*$C$33)/MAX($C$13-1,1),NA())</f>
        <v>#N/A</v>
      </c>
      <c r="W13" t="e">
        <f>IF(11&lt;=$C$13,$C$33,NA())</f>
        <v>#N/A</v>
      </c>
    </row>
    <row r="14" spans="1:25" x14ac:dyDescent="0.3">
      <c r="A14" t="s">
        <v>779</v>
      </c>
      <c r="B14" t="s">
        <v>35</v>
      </c>
      <c r="C14" s="100">
        <v>12</v>
      </c>
      <c r="D14" s="48" t="s">
        <v>21</v>
      </c>
      <c r="E14" t="s">
        <v>582</v>
      </c>
      <c r="V14" t="e">
        <f>IF(12&lt;=$C$13,$C$33+(12-1)*($C$9-2*$C$33)/MAX($C$13-1,1),NA())</f>
        <v>#N/A</v>
      </c>
      <c r="W14" t="e">
        <f>IF(12&lt;=$C$13,$C$33,NA())</f>
        <v>#N/A</v>
      </c>
    </row>
    <row r="15" spans="1:25" x14ac:dyDescent="0.3">
      <c r="A15" t="s">
        <v>780</v>
      </c>
      <c r="B15" t="s">
        <v>584</v>
      </c>
      <c r="C15" s="47">
        <v>2</v>
      </c>
      <c r="D15" s="48" t="s">
        <v>575</v>
      </c>
      <c r="E15" t="s">
        <v>582</v>
      </c>
    </row>
    <row r="16" spans="1:25" x14ac:dyDescent="0.3">
      <c r="A16" t="s">
        <v>382</v>
      </c>
      <c r="B16" t="s">
        <v>42</v>
      </c>
      <c r="C16" s="90">
        <f>_xlfn.XLOOKUP(F16,Aceros_DIN!$A$35:$A$43,Aceros_DIN!$B$35:$B$43)</f>
        <v>30</v>
      </c>
      <c r="D16" s="48" t="s">
        <v>43</v>
      </c>
      <c r="E16" t="s">
        <v>44</v>
      </c>
      <c r="F16" s="89" t="s">
        <v>953</v>
      </c>
    </row>
    <row r="17" spans="1:6" x14ac:dyDescent="0.3">
      <c r="A17" t="s">
        <v>383</v>
      </c>
      <c r="B17" t="s">
        <v>46</v>
      </c>
      <c r="C17" s="90">
        <f>_xlfn.XLOOKUP(F17,Aceros_DIN!$A$47:$A$49,Aceros_DIN!$B$47:$B$49)</f>
        <v>500</v>
      </c>
      <c r="D17" s="48" t="s">
        <v>43</v>
      </c>
      <c r="E17" t="s">
        <v>47</v>
      </c>
      <c r="F17" s="89" t="s">
        <v>966</v>
      </c>
    </row>
    <row r="18" spans="1:6" x14ac:dyDescent="0.3">
      <c r="A18" t="s">
        <v>384</v>
      </c>
      <c r="B18" t="s">
        <v>49</v>
      </c>
      <c r="C18" s="47">
        <v>1.5</v>
      </c>
      <c r="D18" s="48" t="s">
        <v>575</v>
      </c>
      <c r="E18" t="s">
        <v>50</v>
      </c>
    </row>
    <row r="19" spans="1:6" x14ac:dyDescent="0.3">
      <c r="A19" t="s">
        <v>385</v>
      </c>
      <c r="B19" t="s">
        <v>52</v>
      </c>
      <c r="C19" s="47">
        <v>1.1499999999999999</v>
      </c>
      <c r="D19" s="48" t="s">
        <v>575</v>
      </c>
      <c r="E19" t="s">
        <v>50</v>
      </c>
    </row>
    <row r="20" spans="1:6" x14ac:dyDescent="0.3">
      <c r="A20" t="s">
        <v>1174</v>
      </c>
      <c r="B20" t="s">
        <v>1037</v>
      </c>
      <c r="C20" s="47">
        <v>1</v>
      </c>
      <c r="D20" s="48" t="s">
        <v>575</v>
      </c>
      <c r="E20" t="s">
        <v>1038</v>
      </c>
      <c r="F20" t="s">
        <v>1175</v>
      </c>
    </row>
    <row r="21" spans="1:6" x14ac:dyDescent="0.3">
      <c r="A21" t="s">
        <v>388</v>
      </c>
      <c r="B21" t="s">
        <v>60</v>
      </c>
      <c r="C21" s="47">
        <v>0</v>
      </c>
      <c r="D21" s="48" t="s">
        <v>575</v>
      </c>
      <c r="E21" t="s">
        <v>553</v>
      </c>
    </row>
    <row r="22" spans="1:6" x14ac:dyDescent="0.3">
      <c r="A22" t="s">
        <v>1176</v>
      </c>
      <c r="B22" t="s">
        <v>590</v>
      </c>
      <c r="C22" s="47">
        <v>0.6</v>
      </c>
      <c r="D22" s="48" t="s">
        <v>575</v>
      </c>
      <c r="E22" t="s">
        <v>1166</v>
      </c>
      <c r="F22" t="s">
        <v>1177</v>
      </c>
    </row>
    <row r="24" spans="1:6" x14ac:dyDescent="0.3">
      <c r="A24" s="4" t="s">
        <v>389</v>
      </c>
      <c r="B24" s="3"/>
      <c r="C24" s="3"/>
      <c r="D24" s="3"/>
      <c r="E24" s="3"/>
      <c r="F24" s="3"/>
    </row>
    <row r="25" spans="1:6" x14ac:dyDescent="0.3">
      <c r="A25" t="s">
        <v>390</v>
      </c>
      <c r="B25" t="s">
        <v>64</v>
      </c>
      <c r="C25" s="49">
        <f>MIN((40/C16)^(1/3),1)*C20*C16/C18</f>
        <v>20</v>
      </c>
      <c r="D25" s="48" t="s">
        <v>43</v>
      </c>
      <c r="E25" t="s">
        <v>1178</v>
      </c>
      <c r="F25" t="s">
        <v>1044</v>
      </c>
    </row>
    <row r="26" spans="1:6" x14ac:dyDescent="0.3">
      <c r="A26" t="s">
        <v>391</v>
      </c>
      <c r="B26" t="s">
        <v>68</v>
      </c>
      <c r="C26" s="49">
        <f>0.3*C16^(2/3)</f>
        <v>2.896468153816889</v>
      </c>
      <c r="D26" s="48" t="s">
        <v>43</v>
      </c>
      <c r="E26" t="s">
        <v>1045</v>
      </c>
      <c r="F26" t="s">
        <v>783</v>
      </c>
    </row>
    <row r="27" spans="1:6" x14ac:dyDescent="0.3">
      <c r="A27" t="s">
        <v>784</v>
      </c>
      <c r="B27" t="s">
        <v>597</v>
      </c>
      <c r="C27" s="49">
        <f>C20*0.7*C26/C18</f>
        <v>1.3516851384478814</v>
      </c>
      <c r="D27" s="48" t="s">
        <v>43</v>
      </c>
      <c r="E27" t="s">
        <v>1038</v>
      </c>
      <c r="F27" t="s">
        <v>1046</v>
      </c>
    </row>
    <row r="28" spans="1:6" x14ac:dyDescent="0.3">
      <c r="A28" t="s">
        <v>392</v>
      </c>
      <c r="B28" t="s">
        <v>70</v>
      </c>
      <c r="C28" s="50">
        <f>C17/C19</f>
        <v>434.78260869565219</v>
      </c>
      <c r="D28" s="48" t="s">
        <v>43</v>
      </c>
      <c r="E28" t="s">
        <v>1047</v>
      </c>
      <c r="F28" t="s">
        <v>601</v>
      </c>
    </row>
    <row r="29" spans="1:6" x14ac:dyDescent="0.3">
      <c r="A29" t="s">
        <v>785</v>
      </c>
      <c r="B29" t="s">
        <v>79</v>
      </c>
      <c r="C29" s="51">
        <v>3.5000000000000001E-3</v>
      </c>
      <c r="D29" s="48" t="s">
        <v>575</v>
      </c>
      <c r="E29" t="s">
        <v>1048</v>
      </c>
    </row>
    <row r="30" spans="1:6" x14ac:dyDescent="0.3">
      <c r="A30" t="s">
        <v>786</v>
      </c>
      <c r="B30" t="s">
        <v>76</v>
      </c>
      <c r="C30" s="51">
        <f>C28/200000</f>
        <v>2.1739130434782609E-3</v>
      </c>
      <c r="D30" s="48" t="s">
        <v>575</v>
      </c>
      <c r="E30" t="s">
        <v>1049</v>
      </c>
      <c r="F30" t="s">
        <v>604</v>
      </c>
    </row>
    <row r="32" spans="1:6" x14ac:dyDescent="0.3">
      <c r="A32" s="4" t="s">
        <v>787</v>
      </c>
      <c r="B32" s="3"/>
      <c r="C32" s="3"/>
      <c r="D32" s="3"/>
      <c r="E32" s="3"/>
      <c r="F32" s="3"/>
    </row>
    <row r="33" spans="1:6" x14ac:dyDescent="0.3">
      <c r="A33" t="s">
        <v>788</v>
      </c>
      <c r="B33" t="s">
        <v>607</v>
      </c>
      <c r="C33" s="52">
        <f>C11+C14+C12/2</f>
        <v>57</v>
      </c>
      <c r="D33" s="48" t="s">
        <v>21</v>
      </c>
      <c r="E33" t="s">
        <v>96</v>
      </c>
      <c r="F33" t="s">
        <v>608</v>
      </c>
    </row>
    <row r="34" spans="1:6" x14ac:dyDescent="0.3">
      <c r="A34" t="s">
        <v>789</v>
      </c>
      <c r="B34" t="s">
        <v>100</v>
      </c>
      <c r="C34" s="52">
        <f>C10-C33</f>
        <v>543</v>
      </c>
      <c r="D34" s="48" t="s">
        <v>21</v>
      </c>
      <c r="E34">
        <v>6.1</v>
      </c>
      <c r="F34" t="s">
        <v>610</v>
      </c>
    </row>
    <row r="35" spans="1:6" x14ac:dyDescent="0.3">
      <c r="A35" t="s">
        <v>400</v>
      </c>
      <c r="B35" t="s">
        <v>92</v>
      </c>
      <c r="C35" s="54">
        <f>C9*C10</f>
        <v>2052000</v>
      </c>
      <c r="D35" s="48" t="s">
        <v>93</v>
      </c>
      <c r="E35" t="s">
        <v>575</v>
      </c>
      <c r="F35" t="s">
        <v>612</v>
      </c>
    </row>
    <row r="36" spans="1:6" x14ac:dyDescent="0.3">
      <c r="A36" t="s">
        <v>790</v>
      </c>
      <c r="B36" t="s">
        <v>791</v>
      </c>
      <c r="C36" s="54">
        <f>C13*PI()*C12^2/4</f>
        <v>3141.5926535897929</v>
      </c>
      <c r="D36" s="48" t="s">
        <v>93</v>
      </c>
      <c r="E36" t="s">
        <v>575</v>
      </c>
      <c r="F36" t="s">
        <v>792</v>
      </c>
    </row>
    <row r="37" spans="1:6" x14ac:dyDescent="0.3">
      <c r="A37" t="s">
        <v>793</v>
      </c>
      <c r="B37" t="s">
        <v>617</v>
      </c>
      <c r="C37" s="54">
        <f>2*(C9+C10)</f>
        <v>8040</v>
      </c>
      <c r="D37" s="48" t="s">
        <v>21</v>
      </c>
      <c r="E37" t="s">
        <v>618</v>
      </c>
      <c r="F37" t="s">
        <v>619</v>
      </c>
    </row>
    <row r="38" spans="1:6" x14ac:dyDescent="0.3">
      <c r="A38" t="s">
        <v>794</v>
      </c>
      <c r="B38" t="s">
        <v>621</v>
      </c>
      <c r="C38" s="52">
        <f>MAX(C35/C37,2*C33)</f>
        <v>255.22388059701493</v>
      </c>
      <c r="D38" s="48" t="s">
        <v>21</v>
      </c>
      <c r="E38" t="s">
        <v>618</v>
      </c>
      <c r="F38" t="s">
        <v>795</v>
      </c>
    </row>
    <row r="39" spans="1:6" x14ac:dyDescent="0.3">
      <c r="A39" t="s">
        <v>796</v>
      </c>
      <c r="B39" t="s">
        <v>624</v>
      </c>
      <c r="C39" s="54">
        <f>(C9-C38)*(C10-C38)</f>
        <v>1091139.2292269992</v>
      </c>
      <c r="D39" s="48" t="s">
        <v>93</v>
      </c>
      <c r="E39" t="s">
        <v>618</v>
      </c>
      <c r="F39" t="s">
        <v>625</v>
      </c>
    </row>
    <row r="40" spans="1:6" x14ac:dyDescent="0.3">
      <c r="A40" t="s">
        <v>797</v>
      </c>
      <c r="B40" t="s">
        <v>627</v>
      </c>
      <c r="C40" s="54">
        <f>2*((C9-C38)+(C10-C38))</f>
        <v>7019.1044776119397</v>
      </c>
      <c r="D40" s="48" t="s">
        <v>21</v>
      </c>
      <c r="E40" t="s">
        <v>618</v>
      </c>
      <c r="F40" t="s">
        <v>628</v>
      </c>
    </row>
    <row r="41" spans="1:6" x14ac:dyDescent="0.3">
      <c r="A41" t="s">
        <v>798</v>
      </c>
      <c r="B41" t="s">
        <v>103</v>
      </c>
      <c r="C41" s="52">
        <f>0.9*C34</f>
        <v>488.7</v>
      </c>
      <c r="D41" s="48" t="s">
        <v>21</v>
      </c>
      <c r="E41" t="s">
        <v>104</v>
      </c>
      <c r="F41" t="s">
        <v>630</v>
      </c>
    </row>
    <row r="43" spans="1:6" x14ac:dyDescent="0.3">
      <c r="A43" s="4" t="s">
        <v>799</v>
      </c>
      <c r="B43" s="3"/>
      <c r="C43" s="3"/>
      <c r="D43" s="3"/>
      <c r="E43" s="3"/>
      <c r="F43" s="3"/>
    </row>
    <row r="44" spans="1:6" x14ac:dyDescent="0.3">
      <c r="A44" t="s">
        <v>800</v>
      </c>
      <c r="B44" t="s">
        <v>633</v>
      </c>
      <c r="C44" s="55">
        <f>C6*1000000/(C9*C34^2*C25)</f>
        <v>1.2396076500968014E-2</v>
      </c>
      <c r="D44" s="48" t="s">
        <v>575</v>
      </c>
      <c r="E44" t="s">
        <v>1117</v>
      </c>
      <c r="F44" t="s">
        <v>635</v>
      </c>
    </row>
    <row r="45" spans="1:6" x14ac:dyDescent="0.3">
      <c r="A45" t="s">
        <v>430</v>
      </c>
      <c r="B45" t="s">
        <v>637</v>
      </c>
      <c r="C45" s="55">
        <f>1.25*(1-SQRT(1-2*C44))</f>
        <v>1.5592344104073952E-2</v>
      </c>
      <c r="D45" s="48" t="s">
        <v>575</v>
      </c>
      <c r="E45" t="s">
        <v>1179</v>
      </c>
      <c r="F45" t="s">
        <v>639</v>
      </c>
    </row>
    <row r="46" spans="1:6" x14ac:dyDescent="0.3">
      <c r="A46" t="s">
        <v>802</v>
      </c>
      <c r="B46" t="s">
        <v>875</v>
      </c>
      <c r="C46" s="56">
        <v>0.45</v>
      </c>
      <c r="D46" s="48" t="s">
        <v>575</v>
      </c>
      <c r="E46" t="s">
        <v>1180</v>
      </c>
      <c r="F46" t="s">
        <v>803</v>
      </c>
    </row>
    <row r="47" spans="1:6" x14ac:dyDescent="0.3">
      <c r="A47" t="s">
        <v>804</v>
      </c>
      <c r="B47" t="s">
        <v>575</v>
      </c>
      <c r="C47" s="57" t="str">
        <f>IF(C45&lt;=C46,"OK","PRÜFEN – Druckbewehrung erforderlich")</f>
        <v>OK</v>
      </c>
      <c r="D47" s="48" t="s">
        <v>575</v>
      </c>
      <c r="E47" t="s">
        <v>1120</v>
      </c>
    </row>
    <row r="48" spans="1:6" x14ac:dyDescent="0.3">
      <c r="A48" t="s">
        <v>805</v>
      </c>
      <c r="B48" t="s">
        <v>647</v>
      </c>
      <c r="C48" s="52">
        <f>C34*(1-0.4*C45)</f>
        <v>539.61334286059514</v>
      </c>
      <c r="D48" s="48" t="s">
        <v>21</v>
      </c>
      <c r="E48" t="s">
        <v>1120</v>
      </c>
      <c r="F48" t="s">
        <v>648</v>
      </c>
    </row>
    <row r="49" spans="1:6" x14ac:dyDescent="0.3">
      <c r="A49" t="s">
        <v>806</v>
      </c>
      <c r="B49" t="s">
        <v>650</v>
      </c>
      <c r="C49" s="54">
        <f>C6*1000000/(C48*C28)</f>
        <v>1065.5778023423463</v>
      </c>
      <c r="D49" s="48" t="s">
        <v>93</v>
      </c>
      <c r="E49" t="s">
        <v>1120</v>
      </c>
      <c r="F49" t="s">
        <v>651</v>
      </c>
    </row>
    <row r="50" spans="1:6" x14ac:dyDescent="0.3">
      <c r="A50" t="s">
        <v>807</v>
      </c>
      <c r="B50" t="s">
        <v>237</v>
      </c>
      <c r="C50" s="54">
        <f>C26*C9*C10^2/6/(C17*0.9*C34)</f>
        <v>2432.3931457467797</v>
      </c>
      <c r="D50" s="48" t="s">
        <v>93</v>
      </c>
      <c r="E50" t="s">
        <v>1298</v>
      </c>
      <c r="F50" t="s">
        <v>1299</v>
      </c>
    </row>
    <row r="51" spans="1:6" x14ac:dyDescent="0.3">
      <c r="A51" t="s">
        <v>438</v>
      </c>
      <c r="B51" t="s">
        <v>240</v>
      </c>
      <c r="C51" s="54">
        <f>0.04*C35</f>
        <v>82080</v>
      </c>
      <c r="D51" s="48" t="s">
        <v>93</v>
      </c>
      <c r="E51" t="s">
        <v>1121</v>
      </c>
      <c r="F51" t="s">
        <v>656</v>
      </c>
    </row>
    <row r="52" spans="1:6" x14ac:dyDescent="0.3">
      <c r="A52" s="2" t="s">
        <v>808</v>
      </c>
      <c r="B52" s="2" t="s">
        <v>650</v>
      </c>
      <c r="C52" s="59">
        <f>MAX(C49,C50)</f>
        <v>2432.3931457467797</v>
      </c>
      <c r="D52" s="58" t="s">
        <v>93</v>
      </c>
      <c r="E52" s="9" t="s">
        <v>1122</v>
      </c>
      <c r="F52" s="9" t="s">
        <v>809</v>
      </c>
    </row>
    <row r="53" spans="1:6" x14ac:dyDescent="0.3">
      <c r="A53" s="5" t="s">
        <v>903</v>
      </c>
      <c r="B53" s="5"/>
      <c r="C53" s="5"/>
      <c r="D53" s="5"/>
      <c r="E53" s="5"/>
      <c r="F53" s="5"/>
    </row>
    <row r="54" spans="1:6" x14ac:dyDescent="0.3">
      <c r="A54" t="s">
        <v>904</v>
      </c>
      <c r="B54" t="s">
        <v>878</v>
      </c>
      <c r="C54" s="64">
        <f>(C34/10)/SQRT(C6*1000/C9)</f>
        <v>6.3510111950775201</v>
      </c>
      <c r="D54" s="48" t="s">
        <v>575</v>
      </c>
      <c r="E54" t="s">
        <v>879</v>
      </c>
      <c r="F54" t="s">
        <v>905</v>
      </c>
    </row>
    <row r="55" spans="1:6" x14ac:dyDescent="0.3">
      <c r="A55" t="s">
        <v>906</v>
      </c>
      <c r="B55" t="s">
        <v>193</v>
      </c>
      <c r="C55" s="64">
        <f>1000/(C56*C28)</f>
        <v>2.3144349866875764</v>
      </c>
      <c r="D55" s="48" t="s">
        <v>575</v>
      </c>
      <c r="E55" t="s">
        <v>882</v>
      </c>
      <c r="F55" t="s">
        <v>907</v>
      </c>
    </row>
    <row r="56" spans="1:6" x14ac:dyDescent="0.3">
      <c r="A56" t="s">
        <v>908</v>
      </c>
      <c r="B56" t="s">
        <v>885</v>
      </c>
      <c r="C56" s="64">
        <f>1-0.4*C45</f>
        <v>0.99376306235837042</v>
      </c>
      <c r="D56" s="48" t="s">
        <v>575</v>
      </c>
      <c r="E56" t="s">
        <v>1120</v>
      </c>
      <c r="F56" t="s">
        <v>886</v>
      </c>
    </row>
    <row r="57" spans="1:6" x14ac:dyDescent="0.3">
      <c r="A57" t="s">
        <v>430</v>
      </c>
      <c r="B57" t="s">
        <v>637</v>
      </c>
      <c r="C57" s="64">
        <f>C45</f>
        <v>1.5592344104073952E-2</v>
      </c>
      <c r="D57" s="48" t="s">
        <v>575</v>
      </c>
      <c r="E57" t="s">
        <v>1123</v>
      </c>
      <c r="F57" t="s">
        <v>909</v>
      </c>
    </row>
    <row r="58" spans="1:6" x14ac:dyDescent="0.3">
      <c r="A58" t="s">
        <v>910</v>
      </c>
      <c r="B58" t="s">
        <v>83</v>
      </c>
      <c r="C58" s="65">
        <f>-MIN(C29*1000,25*C45/(1-C45))</f>
        <v>-0.39598290430510458</v>
      </c>
      <c r="D58" s="48" t="s">
        <v>80</v>
      </c>
      <c r="E58" t="s">
        <v>1048</v>
      </c>
      <c r="F58" t="s">
        <v>911</v>
      </c>
    </row>
    <row r="59" spans="1:6" x14ac:dyDescent="0.3">
      <c r="A59" t="s">
        <v>912</v>
      </c>
      <c r="B59" t="s">
        <v>893</v>
      </c>
      <c r="C59" s="65">
        <f>MIN(25,C29*1000*(1-C45)/C45)</f>
        <v>25</v>
      </c>
      <c r="D59" s="48" t="s">
        <v>80</v>
      </c>
      <c r="E59" t="s">
        <v>1124</v>
      </c>
      <c r="F59" t="s">
        <v>913</v>
      </c>
    </row>
    <row r="60" spans="1:6" x14ac:dyDescent="0.3">
      <c r="A60" t="s">
        <v>431</v>
      </c>
      <c r="B60" t="s">
        <v>203</v>
      </c>
      <c r="C60" s="66">
        <f>C45*C34</f>
        <v>8.466642848512155</v>
      </c>
      <c r="D60" s="48" t="s">
        <v>21</v>
      </c>
      <c r="E60" t="s">
        <v>1120</v>
      </c>
      <c r="F60" t="s">
        <v>897</v>
      </c>
    </row>
    <row r="61" spans="1:6" x14ac:dyDescent="0.3">
      <c r="A61" t="s">
        <v>914</v>
      </c>
      <c r="B61" t="s">
        <v>103</v>
      </c>
      <c r="C61" s="66">
        <f>C48</f>
        <v>539.61334286059514</v>
      </c>
      <c r="D61" s="48" t="s">
        <v>21</v>
      </c>
      <c r="E61" t="s">
        <v>1120</v>
      </c>
      <c r="F61" t="s">
        <v>915</v>
      </c>
    </row>
    <row r="62" spans="1:6" x14ac:dyDescent="0.3">
      <c r="A62" s="9" t="s">
        <v>916</v>
      </c>
      <c r="B62" s="9" t="s">
        <v>557</v>
      </c>
      <c r="C62" s="67">
        <f>C55*C6/(C34/10)</f>
        <v>10.655778023423464</v>
      </c>
      <c r="D62" s="68" t="s">
        <v>901</v>
      </c>
      <c r="E62" s="9" t="s">
        <v>882</v>
      </c>
      <c r="F62" s="9" t="s">
        <v>917</v>
      </c>
    </row>
    <row r="64" spans="1:6" x14ac:dyDescent="0.3">
      <c r="A64" s="4" t="s">
        <v>1135</v>
      </c>
      <c r="B64" s="3"/>
      <c r="C64" s="3"/>
      <c r="D64" s="3"/>
      <c r="E64" s="3"/>
      <c r="F64" s="3"/>
    </row>
    <row r="65" spans="1:6" x14ac:dyDescent="0.3">
      <c r="A65" t="s">
        <v>1136</v>
      </c>
      <c r="B65" t="s">
        <v>259</v>
      </c>
      <c r="C65" s="51">
        <f>C36/(C9*C34)</f>
        <v>1.6917022894197241E-3</v>
      </c>
      <c r="D65" s="48" t="s">
        <v>575</v>
      </c>
      <c r="E65" t="s">
        <v>1137</v>
      </c>
      <c r="F65" t="s">
        <v>1053</v>
      </c>
    </row>
    <row r="66" spans="1:6" x14ac:dyDescent="0.3">
      <c r="A66" t="s">
        <v>1138</v>
      </c>
      <c r="B66" t="s">
        <v>1055</v>
      </c>
      <c r="C66" s="55">
        <v>32</v>
      </c>
      <c r="D66" s="48" t="s">
        <v>575</v>
      </c>
      <c r="E66" t="s">
        <v>1056</v>
      </c>
      <c r="F66" t="s">
        <v>1139</v>
      </c>
    </row>
    <row r="67" spans="1:6" x14ac:dyDescent="0.3">
      <c r="A67" t="s">
        <v>1140</v>
      </c>
      <c r="B67" t="s">
        <v>1059</v>
      </c>
      <c r="C67" s="55">
        <v>1.4</v>
      </c>
      <c r="D67" s="48" t="s">
        <v>575</v>
      </c>
      <c r="E67" t="s">
        <v>1060</v>
      </c>
      <c r="F67" t="s">
        <v>1141</v>
      </c>
    </row>
    <row r="68" spans="1:6" x14ac:dyDescent="0.3">
      <c r="A68" t="s">
        <v>1142</v>
      </c>
      <c r="B68" t="s">
        <v>1063</v>
      </c>
      <c r="C68" s="55">
        <f>C7*1000/(C9*C41)</f>
        <v>0.11966345848934457</v>
      </c>
      <c r="D68" s="48" t="s">
        <v>43</v>
      </c>
      <c r="E68" t="s">
        <v>1143</v>
      </c>
      <c r="F68" t="s">
        <v>1065</v>
      </c>
    </row>
    <row r="69" spans="1:6" x14ac:dyDescent="0.3">
      <c r="A69" t="s">
        <v>1144</v>
      </c>
      <c r="B69" t="s">
        <v>1067</v>
      </c>
      <c r="C69" s="60">
        <f>(11/C67)*SQRT(C16/C28*C66/C34)</f>
        <v>0.5010306212115071</v>
      </c>
      <c r="D69" s="48" t="s">
        <v>11</v>
      </c>
      <c r="E69" t="s">
        <v>1145</v>
      </c>
      <c r="F69" t="s">
        <v>1069</v>
      </c>
    </row>
    <row r="70" spans="1:6" x14ac:dyDescent="0.3">
      <c r="A70" t="s">
        <v>1146</v>
      </c>
      <c r="B70" t="s">
        <v>1071</v>
      </c>
      <c r="C70" s="57">
        <f>MAX((0.66/C67)*(100*C65*C16*C66/C34)^(1/3),C69)</f>
        <v>0.5010306212115071</v>
      </c>
      <c r="D70" s="48" t="s">
        <v>575</v>
      </c>
      <c r="E70" t="s">
        <v>1147</v>
      </c>
      <c r="F70" t="s">
        <v>1073</v>
      </c>
    </row>
    <row r="71" spans="1:6" x14ac:dyDescent="0.3">
      <c r="A71" t="s">
        <v>458</v>
      </c>
      <c r="B71" t="s">
        <v>286</v>
      </c>
      <c r="C71" s="60" t="str">
        <f>IF(C68&gt;C70,"JA (τ_Ed &gt; τ_Rd,c)","NEIN (τ_Ed ≤ τ_Rd,c)")</f>
        <v>NEIN (τ_Ed ≤ τ_Rd,c)</v>
      </c>
      <c r="D71" s="48" t="s">
        <v>11</v>
      </c>
      <c r="E71" t="s">
        <v>1074</v>
      </c>
      <c r="F71" t="s">
        <v>1148</v>
      </c>
    </row>
    <row r="72" spans="1:6" x14ac:dyDescent="0.3">
      <c r="A72" t="s">
        <v>1149</v>
      </c>
      <c r="B72" t="s">
        <v>1077</v>
      </c>
      <c r="C72" s="49">
        <v>2.5</v>
      </c>
      <c r="D72" s="48" t="s">
        <v>575</v>
      </c>
      <c r="E72" t="s">
        <v>1078</v>
      </c>
      <c r="F72" t="s">
        <v>1150</v>
      </c>
    </row>
    <row r="73" spans="1:6" x14ac:dyDescent="0.3">
      <c r="A73" t="s">
        <v>1151</v>
      </c>
      <c r="B73" t="s">
        <v>60</v>
      </c>
      <c r="C73" s="49">
        <f>IF(C21&gt;0,MIN(C21,C72),C72)</f>
        <v>2.5</v>
      </c>
      <c r="D73" s="48" t="s">
        <v>575</v>
      </c>
      <c r="E73" t="s">
        <v>1152</v>
      </c>
      <c r="F73" t="s">
        <v>1153</v>
      </c>
    </row>
    <row r="74" spans="1:6" x14ac:dyDescent="0.3">
      <c r="A74" t="s">
        <v>1154</v>
      </c>
      <c r="B74" t="s">
        <v>1083</v>
      </c>
      <c r="C74" s="56">
        <v>0.5</v>
      </c>
      <c r="D74" s="48" t="s">
        <v>575</v>
      </c>
      <c r="E74" t="s">
        <v>1084</v>
      </c>
      <c r="F74" t="s">
        <v>1155</v>
      </c>
    </row>
    <row r="75" spans="1:6" x14ac:dyDescent="0.3">
      <c r="A75" t="s">
        <v>1156</v>
      </c>
      <c r="B75" t="s">
        <v>1087</v>
      </c>
      <c r="C75" s="60">
        <f>C74*C25/(C73+1/C73)</f>
        <v>3.4482758620689657</v>
      </c>
      <c r="D75" s="48" t="s">
        <v>11</v>
      </c>
      <c r="E75" t="s">
        <v>1157</v>
      </c>
      <c r="F75" t="s">
        <v>1089</v>
      </c>
    </row>
    <row r="76" spans="1:6" x14ac:dyDescent="0.3">
      <c r="A76" t="s">
        <v>1158</v>
      </c>
      <c r="B76" t="s">
        <v>575</v>
      </c>
      <c r="C76" s="57" t="str">
        <f>IF(C68&lt;=C75,"OK","NICHT ERFÜLLT – b oder f_ck erhöhen")</f>
        <v>OK</v>
      </c>
      <c r="D76" s="48" t="s">
        <v>575</v>
      </c>
      <c r="E76" t="s">
        <v>1091</v>
      </c>
    </row>
    <row r="77" spans="1:6" x14ac:dyDescent="0.3">
      <c r="A77" t="s">
        <v>819</v>
      </c>
      <c r="B77" t="s">
        <v>683</v>
      </c>
      <c r="C77" s="54">
        <f>C68*C9*1000/(C28*C73)</f>
        <v>376.50910579087378</v>
      </c>
      <c r="D77" s="48" t="s">
        <v>684</v>
      </c>
      <c r="E77" t="s">
        <v>1159</v>
      </c>
      <c r="F77" t="s">
        <v>1160</v>
      </c>
    </row>
    <row r="78" spans="1:6" x14ac:dyDescent="0.3">
      <c r="A78" t="s">
        <v>469</v>
      </c>
      <c r="B78" t="s">
        <v>306</v>
      </c>
      <c r="C78" s="51">
        <f>0.08*SQRT(C16)/C17</f>
        <v>8.7635609200826582E-4</v>
      </c>
      <c r="D78" s="48" t="s">
        <v>575</v>
      </c>
      <c r="E78" t="s">
        <v>1291</v>
      </c>
      <c r="F78" t="s">
        <v>1293</v>
      </c>
    </row>
    <row r="79" spans="1:6" x14ac:dyDescent="0.3">
      <c r="A79" t="s">
        <v>470</v>
      </c>
      <c r="B79" t="s">
        <v>688</v>
      </c>
      <c r="C79" s="54">
        <f>C78*C9*1000</f>
        <v>2997.1378346682691</v>
      </c>
      <c r="D79" s="48" t="s">
        <v>684</v>
      </c>
      <c r="E79" t="s">
        <v>1161</v>
      </c>
      <c r="F79" t="s">
        <v>1094</v>
      </c>
    </row>
    <row r="80" spans="1:6" x14ac:dyDescent="0.3">
      <c r="A80" s="2" t="s">
        <v>822</v>
      </c>
      <c r="B80" s="2" t="s">
        <v>683</v>
      </c>
      <c r="C80" s="59">
        <f>MAX(C77,C79)</f>
        <v>2997.1378346682691</v>
      </c>
      <c r="D80" s="58" t="s">
        <v>684</v>
      </c>
      <c r="E80" s="9" t="s">
        <v>582</v>
      </c>
      <c r="F80" s="9" t="s">
        <v>691</v>
      </c>
    </row>
    <row r="82" spans="1:6" x14ac:dyDescent="0.3">
      <c r="A82" s="4" t="s">
        <v>1162</v>
      </c>
      <c r="B82" s="3"/>
      <c r="C82" s="3"/>
      <c r="D82" s="3"/>
      <c r="E82" s="3"/>
      <c r="F82" s="3"/>
    </row>
    <row r="83" spans="1:6" x14ac:dyDescent="0.3">
      <c r="A83" t="s">
        <v>824</v>
      </c>
      <c r="B83" t="s">
        <v>1096</v>
      </c>
      <c r="C83" s="49">
        <f>C8*1000000/(2*C39*C38)</f>
        <v>4.4885755067051551E-2</v>
      </c>
      <c r="D83" s="48" t="s">
        <v>43</v>
      </c>
      <c r="E83" t="s">
        <v>1097</v>
      </c>
      <c r="F83" t="s">
        <v>1098</v>
      </c>
    </row>
    <row r="84" spans="1:6" x14ac:dyDescent="0.3">
      <c r="A84" t="s">
        <v>1163</v>
      </c>
      <c r="B84" t="s">
        <v>1099</v>
      </c>
      <c r="C84" s="50">
        <f>2*C39*C38*C27/1000000</f>
        <v>752.84749940638051</v>
      </c>
      <c r="D84" s="48" t="s">
        <v>18</v>
      </c>
      <c r="E84" t="s">
        <v>1100</v>
      </c>
      <c r="F84" t="s">
        <v>1101</v>
      </c>
    </row>
    <row r="85" spans="1:6" x14ac:dyDescent="0.3">
      <c r="A85" t="s">
        <v>826</v>
      </c>
      <c r="B85" t="s">
        <v>575</v>
      </c>
      <c r="C85" s="57" t="str">
        <f>IF(C8&lt;=C84,"NEIN (Mindestbew.)","JA")</f>
        <v>NEIN (Mindestbew.)</v>
      </c>
      <c r="D85" t="s">
        <v>575</v>
      </c>
      <c r="E85" t="s">
        <v>1102</v>
      </c>
      <c r="F85" t="s">
        <v>1164</v>
      </c>
    </row>
    <row r="86" spans="1:6" x14ac:dyDescent="0.3">
      <c r="A86" t="s">
        <v>1165</v>
      </c>
      <c r="B86" t="s">
        <v>705</v>
      </c>
      <c r="C86" s="50">
        <f>C22*C25/(C73+1/C73)*2*C39*C38/1000000</f>
        <v>2304.7016967306258</v>
      </c>
      <c r="D86" s="48" t="s">
        <v>18</v>
      </c>
      <c r="E86" t="s">
        <v>1166</v>
      </c>
      <c r="F86" t="s">
        <v>1104</v>
      </c>
    </row>
    <row r="87" spans="1:6" x14ac:dyDescent="0.3">
      <c r="A87" t="s">
        <v>829</v>
      </c>
      <c r="B87" t="s">
        <v>575</v>
      </c>
      <c r="C87" s="57" t="str">
        <f>IF(C8&lt;=C86,"OK","NICHT ERFÜLLT – Querschnitt oder f_ck erhöhen")</f>
        <v>OK</v>
      </c>
      <c r="D87" s="48" t="s">
        <v>575</v>
      </c>
      <c r="E87" t="s">
        <v>1105</v>
      </c>
    </row>
    <row r="88" spans="1:6" x14ac:dyDescent="0.3">
      <c r="A88" t="s">
        <v>830</v>
      </c>
      <c r="B88" t="s">
        <v>711</v>
      </c>
      <c r="C88" s="54">
        <f>C83*C38*1000/(C73*C28)</f>
        <v>10.53944326440082</v>
      </c>
      <c r="D88" s="48" t="s">
        <v>684</v>
      </c>
      <c r="E88" t="s">
        <v>1167</v>
      </c>
      <c r="F88" t="s">
        <v>1168</v>
      </c>
    </row>
    <row r="89" spans="1:6" x14ac:dyDescent="0.3">
      <c r="A89" t="s">
        <v>858</v>
      </c>
      <c r="B89" t="s">
        <v>715</v>
      </c>
      <c r="C89" s="54">
        <f>C83*C38*C40*C73/C28</f>
        <v>462.35908380432994</v>
      </c>
      <c r="D89" s="48" t="s">
        <v>93</v>
      </c>
      <c r="E89" t="s">
        <v>1169</v>
      </c>
      <c r="F89" t="s">
        <v>1170</v>
      </c>
    </row>
    <row r="91" spans="1:6" x14ac:dyDescent="0.3">
      <c r="A91" s="4" t="s">
        <v>1171</v>
      </c>
      <c r="B91" s="3"/>
      <c r="C91" s="3"/>
      <c r="D91" s="3"/>
      <c r="E91" s="3"/>
      <c r="F91" s="3"/>
    </row>
    <row r="92" spans="1:6" x14ac:dyDescent="0.3">
      <c r="A92" t="s">
        <v>835</v>
      </c>
      <c r="B92" t="s">
        <v>575</v>
      </c>
      <c r="C92" s="55">
        <f>C8/C86+C68/C75</f>
        <v>4.554979376978071E-2</v>
      </c>
      <c r="D92" s="48" t="s">
        <v>575</v>
      </c>
      <c r="E92" t="s">
        <v>1172</v>
      </c>
      <c r="F92" t="s">
        <v>1112</v>
      </c>
    </row>
    <row r="93" spans="1:6" x14ac:dyDescent="0.3">
      <c r="A93" t="s">
        <v>836</v>
      </c>
      <c r="B93" t="s">
        <v>575</v>
      </c>
      <c r="C93" s="57" t="str">
        <f>IF(C92&lt;=1,"OK","NICHT ERFÜLLT – cotθ verringern oder Querschnitt vergrößern")</f>
        <v>OK</v>
      </c>
      <c r="D93" s="48" t="s">
        <v>575</v>
      </c>
      <c r="E93" t="s">
        <v>1113</v>
      </c>
    </row>
    <row r="94" spans="1:6" x14ac:dyDescent="0.3">
      <c r="A94" t="s">
        <v>837</v>
      </c>
      <c r="B94" t="s">
        <v>838</v>
      </c>
      <c r="C94" s="52">
        <f>PI()*C14^2/4</f>
        <v>113.09733552923255</v>
      </c>
      <c r="D94" s="48" t="s">
        <v>93</v>
      </c>
      <c r="E94" t="s">
        <v>575</v>
      </c>
      <c r="F94" t="s">
        <v>839</v>
      </c>
    </row>
    <row r="95" spans="1:6" x14ac:dyDescent="0.3">
      <c r="A95" t="s">
        <v>840</v>
      </c>
      <c r="B95" t="s">
        <v>727</v>
      </c>
      <c r="C95" s="54">
        <f>C80/C15+C88</f>
        <v>1509.1083605985355</v>
      </c>
      <c r="D95" s="48" t="s">
        <v>684</v>
      </c>
      <c r="E95" t="s">
        <v>1114</v>
      </c>
      <c r="F95" t="s">
        <v>841</v>
      </c>
    </row>
    <row r="96" spans="1:6" x14ac:dyDescent="0.3">
      <c r="A96" t="s">
        <v>842</v>
      </c>
      <c r="B96" t="s">
        <v>562</v>
      </c>
      <c r="C96" s="52">
        <f>C94*1000/C95</f>
        <v>74.943150857885669</v>
      </c>
      <c r="D96" s="48" t="s">
        <v>21</v>
      </c>
      <c r="E96" t="s">
        <v>575</v>
      </c>
      <c r="F96" t="s">
        <v>843</v>
      </c>
    </row>
    <row r="97" spans="1:6" x14ac:dyDescent="0.3">
      <c r="A97" t="s">
        <v>844</v>
      </c>
      <c r="B97" t="s">
        <v>320</v>
      </c>
      <c r="C97" s="52">
        <f>MIN(0.75*C34,C40/8,MIN(C9,C10))</f>
        <v>407.25</v>
      </c>
      <c r="D97" s="48" t="s">
        <v>21</v>
      </c>
      <c r="E97" t="s">
        <v>1302</v>
      </c>
      <c r="F97" t="s">
        <v>1303</v>
      </c>
    </row>
    <row r="98" spans="1:6" x14ac:dyDescent="0.3">
      <c r="A98" s="2" t="s">
        <v>846</v>
      </c>
      <c r="B98" s="2" t="s">
        <v>735</v>
      </c>
      <c r="C98" s="61">
        <f>MIN(C96,C97)</f>
        <v>74.943150857885669</v>
      </c>
      <c r="D98" s="58" t="s">
        <v>21</v>
      </c>
      <c r="E98" s="9"/>
      <c r="F98" s="9" t="str">
        <f>"Geschlossener Bügel Ø"&amp;C14&amp;" alle "&amp;FLOOR(C98,10)&amp;" mm"</f>
        <v>Geschlossener Bügel Ø12 alle 70 mm</v>
      </c>
    </row>
    <row r="99" spans="1:6" x14ac:dyDescent="0.3">
      <c r="A99" t="s">
        <v>847</v>
      </c>
      <c r="B99" t="s">
        <v>848</v>
      </c>
      <c r="C99" s="54">
        <f>C89*(C9-C38)/C40</f>
        <v>208.4686147186147</v>
      </c>
      <c r="D99" s="48" t="s">
        <v>93</v>
      </c>
      <c r="E99" t="s">
        <v>1115</v>
      </c>
      <c r="F99" t="s">
        <v>849</v>
      </c>
    </row>
    <row r="100" spans="1:6" x14ac:dyDescent="0.3">
      <c r="A100" s="2" t="s">
        <v>850</v>
      </c>
      <c r="B100" s="2" t="s">
        <v>851</v>
      </c>
      <c r="C100" s="59">
        <f>C52+C99</f>
        <v>2640.8617604653946</v>
      </c>
      <c r="D100" s="58" t="s">
        <v>93</v>
      </c>
      <c r="E100" s="9" t="s">
        <v>1116</v>
      </c>
      <c r="F100" s="9" t="s">
        <v>852</v>
      </c>
    </row>
    <row r="102" spans="1:6" x14ac:dyDescent="0.3">
      <c r="A102" s="4" t="s">
        <v>853</v>
      </c>
      <c r="B102" s="3"/>
      <c r="C102" s="3"/>
      <c r="D102" s="3"/>
      <c r="E102" s="3"/>
      <c r="F102" s="3"/>
    </row>
    <row r="103" spans="1:6" x14ac:dyDescent="0.3">
      <c r="A103" t="s">
        <v>854</v>
      </c>
      <c r="C103" s="62" t="str">
        <f>"M_Ed = "&amp;C6&amp;" kNm  /  V_Ed = "&amp;C7&amp;" kN  /  T_Ed = "&amp;C8&amp;" kNm"</f>
        <v>M_Ed = 250 kNm  /  V_Ed = 200 kN  /  T_Ed = 25 kNm</v>
      </c>
    </row>
    <row r="104" spans="1:6" x14ac:dyDescent="0.3">
      <c r="A104" t="s">
        <v>855</v>
      </c>
      <c r="C104" s="62" t="str">
        <f>"b/h = "&amp;C9&amp;"/"&amp;C10&amp;" mm  ·  C"&amp;C16&amp;"  ·  B"&amp;C17&amp;"  ·  c_nom = "&amp;C11&amp;" mm"</f>
        <v>b/h = 3420/600 mm  ·  C30  ·  B500  ·  c_nom = 35 mm</v>
      </c>
    </row>
    <row r="105" spans="1:6" x14ac:dyDescent="0.3">
      <c r="A105" t="s">
        <v>856</v>
      </c>
      <c r="C105" s="62" t="str">
        <f>"erforderlich "&amp;ROUND(C100,0)&amp;" mm²  →  vorhanden "&amp;C13&amp;"Ø"&amp;C12&amp;" = "&amp;ROUND(C36,0)&amp;" mm²"</f>
        <v>erforderlich 2641 mm²  →  vorhanden 10Ø20 = 3142 mm²</v>
      </c>
    </row>
    <row r="106" spans="1:6" x14ac:dyDescent="0.3">
      <c r="A106" t="s">
        <v>857</v>
      </c>
      <c r="C106" s="62" t="str">
        <f>F98</f>
        <v>Geschlossener Bügel Ø12 alle 70 mm</v>
      </c>
    </row>
    <row r="107" spans="1:6" x14ac:dyDescent="0.3">
      <c r="A107" t="s">
        <v>858</v>
      </c>
      <c r="C107" s="62" t="str">
        <f>ROUND(C89,0)&amp;" mm² über den Umfang verteilt (mind. 1 Stab je Ecke)"</f>
        <v>462 mm² über den Umfang verteilt (mind. 1 Stab je Ecke)</v>
      </c>
    </row>
    <row r="108" spans="1:6" x14ac:dyDescent="0.3">
      <c r="A108" t="s">
        <v>859</v>
      </c>
      <c r="C108" s="57" t="str">
        <f>C47</f>
        <v>OK</v>
      </c>
    </row>
    <row r="109" spans="1:6" x14ac:dyDescent="0.3">
      <c r="A109" t="s">
        <v>860</v>
      </c>
      <c r="C109" s="57" t="str">
        <f>C76</f>
        <v>OK</v>
      </c>
    </row>
    <row r="110" spans="1:6" x14ac:dyDescent="0.3">
      <c r="A110" t="s">
        <v>861</v>
      </c>
      <c r="C110" s="57" t="str">
        <f>C87</f>
        <v>OK</v>
      </c>
    </row>
    <row r="111" spans="1:6" x14ac:dyDescent="0.3">
      <c r="A111" t="s">
        <v>862</v>
      </c>
      <c r="C111" s="57" t="str">
        <f>C93</f>
        <v>OK</v>
      </c>
    </row>
    <row r="112" spans="1:6" x14ac:dyDescent="0.3">
      <c r="A112" t="s">
        <v>863</v>
      </c>
      <c r="C112" s="57" t="str">
        <f>IF(C36&gt;=C100,"OK","NICHT ERFÜLLT – Stabzahl oder -durchmesser erhöhen")</f>
        <v>OK</v>
      </c>
    </row>
    <row r="113" spans="1:6" x14ac:dyDescent="0.3">
      <c r="A113" t="s">
        <v>864</v>
      </c>
      <c r="C113" s="57" t="str">
        <f>IF(C36&lt;=C51,"OK","NICHT ERFÜLLT – überschreitet 0,04·A_c")</f>
        <v>OK</v>
      </c>
    </row>
    <row r="114" spans="1:6" x14ac:dyDescent="0.3">
      <c r="A114" s="2" t="s">
        <v>489</v>
      </c>
      <c r="B114" s="9"/>
      <c r="C114" s="58" t="str">
        <f>IF(COUNTIF(C108:C113,"*OK*")=6,"ALLE NACHWEISE ERFÜLLT","PRÜFEN: nicht alle Nachweise erfüllt")</f>
        <v>ALLE NACHWEISE ERFÜLLT</v>
      </c>
      <c r="D114" s="9"/>
      <c r="E114" s="9"/>
      <c r="F114" s="9"/>
    </row>
    <row r="116" spans="1:6" x14ac:dyDescent="0.3">
      <c r="A116" s="4" t="s">
        <v>865</v>
      </c>
      <c r="B116" s="3"/>
      <c r="C116" s="3"/>
      <c r="D116" s="3"/>
      <c r="E116" s="3"/>
      <c r="F116" s="3"/>
    </row>
    <row r="117" spans="1:6" x14ac:dyDescent="0.3">
      <c r="A117" t="s">
        <v>1181</v>
      </c>
    </row>
    <row r="118" spans="1:6" x14ac:dyDescent="0.3">
      <c r="A118" t="s">
        <v>1182</v>
      </c>
    </row>
    <row r="119" spans="1:6" x14ac:dyDescent="0.3">
      <c r="A119" t="s">
        <v>1183</v>
      </c>
    </row>
    <row r="120" spans="1:6" x14ac:dyDescent="0.3">
      <c r="A120" t="s">
        <v>1184</v>
      </c>
    </row>
    <row r="121" spans="1:6" x14ac:dyDescent="0.3">
      <c r="A121" t="s">
        <v>1185</v>
      </c>
    </row>
    <row r="122" spans="1:6" x14ac:dyDescent="0.3">
      <c r="A122" t="s">
        <v>1186</v>
      </c>
    </row>
    <row r="123" spans="1:6" x14ac:dyDescent="0.3">
      <c r="A123" t="s">
        <v>1187</v>
      </c>
    </row>
    <row r="124" spans="1:6" x14ac:dyDescent="0.3">
      <c r="A124" t="s">
        <v>1188</v>
      </c>
    </row>
    <row r="125" spans="1:6" x14ac:dyDescent="0.3">
      <c r="A125" t="s">
        <v>1189</v>
      </c>
    </row>
    <row r="126" spans="1:6" x14ac:dyDescent="0.3">
      <c r="A126" t="s">
        <v>1190</v>
      </c>
    </row>
    <row r="127" spans="1:6" x14ac:dyDescent="0.3">
      <c r="A127" t="s">
        <v>872</v>
      </c>
    </row>
    <row r="128" spans="1:6" x14ac:dyDescent="0.3">
      <c r="A128" t="s">
        <v>873</v>
      </c>
    </row>
    <row r="130" spans="1:1" x14ac:dyDescent="0.3">
      <c r="A130" s="63" t="s">
        <v>874</v>
      </c>
    </row>
  </sheetData>
  <conditionalFormatting sqref="C47">
    <cfRule type="containsText" dxfId="79" priority="1" operator="containsText" text="NICHT ERFÜLLT">
      <formula>NOT(ISERROR(SEARCH("NICHT ERFÜLLT",C47)))</formula>
    </cfRule>
    <cfRule type="containsText" dxfId="78" priority="2" operator="containsText" text="PRÜFEN">
      <formula>NOT(ISERROR(SEARCH("PRÜFEN",C47)))</formula>
    </cfRule>
    <cfRule type="containsText" dxfId="77" priority="3" operator="containsText" text="OK">
      <formula>NOT(ISERROR(SEARCH("OK",C47)))</formula>
    </cfRule>
  </conditionalFormatting>
  <conditionalFormatting sqref="C76">
    <cfRule type="containsText" dxfId="76" priority="4" operator="containsText" text="NICHT ERFÜLLT">
      <formula>NOT(ISERROR(SEARCH("NICHT ERFÜLLT",C76)))</formula>
    </cfRule>
    <cfRule type="containsText" dxfId="75" priority="5" operator="containsText" text="PRÜFEN">
      <formula>NOT(ISERROR(SEARCH("PRÜFEN",C76)))</formula>
    </cfRule>
    <cfRule type="containsText" dxfId="74" priority="6" operator="containsText" text="OK">
      <formula>NOT(ISERROR(SEARCH("OK",C76)))</formula>
    </cfRule>
  </conditionalFormatting>
  <conditionalFormatting sqref="C87">
    <cfRule type="containsText" dxfId="73" priority="7" operator="containsText" text="NICHT ERFÜLLT">
      <formula>NOT(ISERROR(SEARCH("NICHT ERFÜLLT",C87)))</formula>
    </cfRule>
    <cfRule type="containsText" dxfId="72" priority="8" operator="containsText" text="PRÜFEN">
      <formula>NOT(ISERROR(SEARCH("PRÜFEN",C87)))</formula>
    </cfRule>
    <cfRule type="containsText" dxfId="71" priority="9" operator="containsText" text="OK">
      <formula>NOT(ISERROR(SEARCH("OK",C87)))</formula>
    </cfRule>
  </conditionalFormatting>
  <conditionalFormatting sqref="C93">
    <cfRule type="containsText" dxfId="70" priority="10" operator="containsText" text="NICHT ERFÜLLT">
      <formula>NOT(ISERROR(SEARCH("NICHT ERFÜLLT",C93)))</formula>
    </cfRule>
    <cfRule type="containsText" dxfId="69" priority="11" operator="containsText" text="PRÜFEN">
      <formula>NOT(ISERROR(SEARCH("PRÜFEN",C93)))</formula>
    </cfRule>
    <cfRule type="containsText" dxfId="68" priority="12" operator="containsText" text="OK">
      <formula>NOT(ISERROR(SEARCH("OK",C93)))</formula>
    </cfRule>
  </conditionalFormatting>
  <conditionalFormatting sqref="C108:C114">
    <cfRule type="containsText" dxfId="67" priority="13" operator="containsText" text="NICHT ERFÜLLT">
      <formula>NOT(ISERROR(SEARCH("NICHT ERFÜLLT",C108)))</formula>
    </cfRule>
    <cfRule type="containsText" dxfId="66" priority="14" operator="containsText" text="PRÜFEN">
      <formula>NOT(ISERROR(SEARCH("PRÜFEN",C108)))</formula>
    </cfRule>
    <cfRule type="containsText" dxfId="65" priority="15" operator="containsText" text="OK">
      <formula>NOT(ISERROR(SEARCH("OK",C108)))</formula>
    </cfRule>
  </conditionalFormatting>
  <conditionalFormatting sqref="C114">
    <cfRule type="containsText" dxfId="64" priority="16" operator="containsText" text="ALLE NACHWEISE ERFÜLLT">
      <formula>NOT(ISERROR(SEARCH("ALLE NACHWEISE ERFÜLLT",C114)))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C52B6D-1164-473C-AC9B-ACD5D98F5B7E}">
          <x14:formula1>
            <xm:f>Aceros_DIN!$B$6:$B$16</xm:f>
          </x14:formula1>
          <xm:sqref>C12 C14</xm:sqref>
        </x14:dataValidation>
        <x14:dataValidation type="list" allowBlank="1" showInputMessage="1" showErrorMessage="1" xr:uid="{EC271F37-FF6B-410F-9E64-4A7DA6E0B7C3}">
          <x14:formula1>
            <xm:f>Aceros_DIN!$A$47:$A$49</xm:f>
          </x14:formula1>
          <xm:sqref>F17</xm:sqref>
        </x14:dataValidation>
        <x14:dataValidation type="list" allowBlank="1" showInputMessage="1" showErrorMessage="1" xr:uid="{77E8BBFE-E8F8-43C3-94D4-078769895021}">
          <x14:formula1>
            <xm:f>Aceros_DIN!$A$35:$A$43</xm:f>
          </x14:formula1>
          <xm:sqref>F16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037E-600D-4CD7-8293-6AF34F85B913}">
  <dimension ref="A1:W141"/>
  <sheetViews>
    <sheetView topLeftCell="B1" workbookViewId="0">
      <pane ySplit="5" topLeftCell="A6" activePane="bottomLeft" state="frozen"/>
      <selection pane="bottomLeft" activeCell="E18" sqref="E18"/>
    </sheetView>
  </sheetViews>
  <sheetFormatPr defaultRowHeight="14.4" x14ac:dyDescent="0.3"/>
  <cols>
    <col min="1" max="1" width="57.109375" customWidth="1"/>
    <col min="2" max="2" width="15.33203125" customWidth="1"/>
    <col min="3" max="3" width="42.44140625" customWidth="1"/>
    <col min="4" max="4" width="10.44140625" customWidth="1"/>
    <col min="5" max="5" width="43.88671875" customWidth="1"/>
    <col min="6" max="6" width="72.44140625" customWidth="1"/>
  </cols>
  <sheetData>
    <row r="1" spans="1:23" ht="18" x14ac:dyDescent="0.35">
      <c r="A1" s="32" t="s">
        <v>362</v>
      </c>
      <c r="B1" s="33"/>
      <c r="C1" s="33"/>
      <c r="D1" s="33"/>
      <c r="E1" s="33"/>
      <c r="F1" s="33"/>
    </row>
    <row r="2" spans="1:23" x14ac:dyDescent="0.3">
      <c r="A2" s="34" t="s">
        <v>363</v>
      </c>
      <c r="B2" s="33"/>
      <c r="C2" s="33"/>
      <c r="D2" s="33"/>
      <c r="E2" s="33"/>
      <c r="F2" s="33"/>
      <c r="Q2" t="s">
        <v>926</v>
      </c>
      <c r="R2" t="s">
        <v>918</v>
      </c>
      <c r="S2" t="s">
        <v>919</v>
      </c>
      <c r="T2" t="s">
        <v>927</v>
      </c>
      <c r="U2" t="s">
        <v>928</v>
      </c>
      <c r="V2" t="s">
        <v>929</v>
      </c>
      <c r="W2" t="s">
        <v>930</v>
      </c>
    </row>
    <row r="3" spans="1:23" x14ac:dyDescent="0.3">
      <c r="Q3">
        <f>(ROW()-3)*10</f>
        <v>0</v>
      </c>
      <c r="R3">
        <f>$C$34+$C$34*COS(RADIANS(Q3))</f>
        <v>600</v>
      </c>
      <c r="S3">
        <f>$C$34+$C$34*SIN(RADIANS(Q3))</f>
        <v>300</v>
      </c>
      <c r="T3">
        <f>$C$34+($C$34-$C$10)*COS(RADIANS(Q3))</f>
        <v>550</v>
      </c>
      <c r="U3">
        <f>$C$34+($C$34-$C$10)*SIN(RADIANS(Q3))</f>
        <v>300</v>
      </c>
      <c r="V3">
        <f>IF(ROW()-2&lt;=$C$11,$C$34+$C$37*COS(RADIANS((ROW()-3)*360/$C$11)),NA())</f>
        <v>530</v>
      </c>
      <c r="W3">
        <f>IF(ROW()-2&lt;=$C$11,$C$34+$C$37*SIN(RADIANS((ROW()-3)*360/$C$11)),NA())</f>
        <v>300</v>
      </c>
    </row>
    <row r="4" spans="1:23" x14ac:dyDescent="0.3">
      <c r="A4" s="4" t="s">
        <v>364</v>
      </c>
      <c r="B4" s="4"/>
      <c r="C4" s="4"/>
      <c r="D4" s="4"/>
      <c r="E4" s="4"/>
      <c r="F4" s="4"/>
      <c r="Q4">
        <f t="shared" ref="Q4:Q39" si="0">(ROW()-3)*10</f>
        <v>10</v>
      </c>
      <c r="R4">
        <f t="shared" ref="R4:R39" si="1">$C$34+$C$34*COS(RADIANS(Q4))</f>
        <v>595.44232590366232</v>
      </c>
      <c r="S4">
        <f t="shared" ref="S4:S39" si="2">$C$34+$C$34*SIN(RADIANS(Q4))</f>
        <v>352.09445330007912</v>
      </c>
      <c r="T4">
        <f t="shared" ref="T4:T39" si="3">$C$34+($C$34-$C$10)*COS(RADIANS(Q4))</f>
        <v>546.20193825305205</v>
      </c>
      <c r="U4">
        <f t="shared" ref="U4:U39" si="4">$C$34+($C$34-$C$10)*SIN(RADIANS(Q4))</f>
        <v>343.41204441673256</v>
      </c>
      <c r="V4">
        <f t="shared" ref="V4:V26" si="5">IF(ROW()-2&lt;=$C$11,$C$34+$C$37*COS(RADIANS((ROW()-3)*360/$C$11)),NA())</f>
        <v>462.63455967290594</v>
      </c>
      <c r="W4">
        <f t="shared" ref="W4:W26" si="6">IF(ROW()-2&lt;=$C$11,$C$34+$C$37*SIN(RADIANS((ROW()-3)*360/$C$11)),NA())</f>
        <v>462.63455967290588</v>
      </c>
    </row>
    <row r="5" spans="1:23" x14ac:dyDescent="0.3">
      <c r="A5" s="5" t="s">
        <v>365</v>
      </c>
      <c r="B5" s="5" t="s">
        <v>366</v>
      </c>
      <c r="C5" s="5" t="s">
        <v>367</v>
      </c>
      <c r="D5" s="5" t="s">
        <v>368</v>
      </c>
      <c r="E5" s="5" t="s">
        <v>369</v>
      </c>
      <c r="F5" s="5" t="s">
        <v>370</v>
      </c>
      <c r="Q5">
        <f t="shared" si="0"/>
        <v>20</v>
      </c>
      <c r="R5">
        <f t="shared" si="1"/>
        <v>581.90778623577251</v>
      </c>
      <c r="S5">
        <f t="shared" si="2"/>
        <v>402.60604299770063</v>
      </c>
      <c r="T5">
        <f t="shared" si="3"/>
        <v>534.92315519647707</v>
      </c>
      <c r="U5">
        <f t="shared" si="4"/>
        <v>385.50503583141716</v>
      </c>
      <c r="V5">
        <f t="shared" si="5"/>
        <v>300</v>
      </c>
      <c r="W5">
        <f t="shared" si="6"/>
        <v>530</v>
      </c>
    </row>
    <row r="6" spans="1:23" x14ac:dyDescent="0.3">
      <c r="A6" t="s">
        <v>371</v>
      </c>
      <c r="B6" t="s">
        <v>10</v>
      </c>
      <c r="C6" s="14">
        <v>1000</v>
      </c>
      <c r="D6" t="s">
        <v>11</v>
      </c>
      <c r="E6" s="40" t="s">
        <v>361</v>
      </c>
      <c r="F6" s="11" t="s">
        <v>372</v>
      </c>
      <c r="Q6">
        <f t="shared" si="0"/>
        <v>30</v>
      </c>
      <c r="R6">
        <f t="shared" si="1"/>
        <v>559.8076211353316</v>
      </c>
      <c r="S6">
        <f t="shared" si="2"/>
        <v>450</v>
      </c>
      <c r="T6">
        <f t="shared" si="3"/>
        <v>516.50635094610971</v>
      </c>
      <c r="U6">
        <f t="shared" si="4"/>
        <v>425</v>
      </c>
      <c r="V6">
        <f t="shared" si="5"/>
        <v>137.36544032709409</v>
      </c>
      <c r="W6">
        <f t="shared" si="6"/>
        <v>462.63455967290594</v>
      </c>
    </row>
    <row r="7" spans="1:23" x14ac:dyDescent="0.3">
      <c r="A7" t="s">
        <v>373</v>
      </c>
      <c r="B7" t="s">
        <v>14</v>
      </c>
      <c r="C7" s="14">
        <v>300</v>
      </c>
      <c r="D7" t="s">
        <v>11</v>
      </c>
      <c r="E7" s="40" t="s">
        <v>15</v>
      </c>
      <c r="F7" s="11"/>
      <c r="Q7">
        <f t="shared" si="0"/>
        <v>40</v>
      </c>
      <c r="R7">
        <f t="shared" si="1"/>
        <v>529.81333293569344</v>
      </c>
      <c r="S7">
        <f t="shared" si="2"/>
        <v>492.83628290596175</v>
      </c>
      <c r="T7">
        <f t="shared" si="3"/>
        <v>491.51111077974451</v>
      </c>
      <c r="U7">
        <f t="shared" si="4"/>
        <v>460.69690242163483</v>
      </c>
      <c r="V7">
        <f t="shared" si="5"/>
        <v>70</v>
      </c>
      <c r="W7">
        <f t="shared" si="6"/>
        <v>300</v>
      </c>
    </row>
    <row r="8" spans="1:23" x14ac:dyDescent="0.3">
      <c r="A8" t="s">
        <v>374</v>
      </c>
      <c r="B8" t="s">
        <v>17</v>
      </c>
      <c r="C8" s="14">
        <v>300</v>
      </c>
      <c r="D8" t="s">
        <v>18</v>
      </c>
      <c r="E8" s="40" t="s">
        <v>361</v>
      </c>
      <c r="F8" s="11"/>
      <c r="Q8">
        <f t="shared" si="0"/>
        <v>50</v>
      </c>
      <c r="R8">
        <f t="shared" si="1"/>
        <v>492.83628290596181</v>
      </c>
      <c r="S8">
        <f t="shared" si="2"/>
        <v>529.81333293569344</v>
      </c>
      <c r="T8">
        <f t="shared" si="3"/>
        <v>460.69690242163483</v>
      </c>
      <c r="U8">
        <f t="shared" si="4"/>
        <v>491.51111077974451</v>
      </c>
      <c r="V8">
        <f t="shared" si="5"/>
        <v>137.36544032709403</v>
      </c>
      <c r="W8">
        <f t="shared" si="6"/>
        <v>137.36544032709409</v>
      </c>
    </row>
    <row r="9" spans="1:23" x14ac:dyDescent="0.3">
      <c r="A9" t="s">
        <v>375</v>
      </c>
      <c r="B9" t="s">
        <v>20</v>
      </c>
      <c r="C9" s="14">
        <v>600</v>
      </c>
      <c r="D9" t="s">
        <v>21</v>
      </c>
      <c r="E9" s="40" t="s">
        <v>22</v>
      </c>
      <c r="F9" s="11"/>
      <c r="Q9">
        <f t="shared" si="0"/>
        <v>60</v>
      </c>
      <c r="R9">
        <f t="shared" si="1"/>
        <v>450</v>
      </c>
      <c r="S9">
        <f t="shared" si="2"/>
        <v>559.8076211353316</v>
      </c>
      <c r="T9">
        <f t="shared" si="3"/>
        <v>425</v>
      </c>
      <c r="U9">
        <f t="shared" si="4"/>
        <v>516.50635094610971</v>
      </c>
      <c r="V9">
        <f t="shared" si="5"/>
        <v>299.99999999999994</v>
      </c>
      <c r="W9">
        <f t="shared" si="6"/>
        <v>70</v>
      </c>
    </row>
    <row r="10" spans="1:23" x14ac:dyDescent="0.3">
      <c r="A10" t="s">
        <v>376</v>
      </c>
      <c r="B10" t="s">
        <v>24</v>
      </c>
      <c r="C10" s="14">
        <v>50</v>
      </c>
      <c r="D10" t="s">
        <v>21</v>
      </c>
      <c r="E10" s="40" t="s">
        <v>25</v>
      </c>
      <c r="Q10">
        <f t="shared" si="0"/>
        <v>70</v>
      </c>
      <c r="R10">
        <f t="shared" si="1"/>
        <v>402.60604299770063</v>
      </c>
      <c r="S10">
        <f t="shared" si="2"/>
        <v>581.90778623577251</v>
      </c>
      <c r="T10">
        <f t="shared" si="3"/>
        <v>385.50503583141722</v>
      </c>
      <c r="U10">
        <f t="shared" si="4"/>
        <v>534.92315519647707</v>
      </c>
      <c r="V10">
        <f t="shared" si="5"/>
        <v>462.63455967290588</v>
      </c>
      <c r="W10">
        <f t="shared" si="6"/>
        <v>137.36544032709403</v>
      </c>
    </row>
    <row r="11" spans="1:23" x14ac:dyDescent="0.3">
      <c r="A11" t="s">
        <v>377</v>
      </c>
      <c r="B11" t="s">
        <v>27</v>
      </c>
      <c r="C11" s="14">
        <v>8</v>
      </c>
      <c r="D11" t="s">
        <v>28</v>
      </c>
      <c r="E11" s="40" t="s">
        <v>29</v>
      </c>
      <c r="F11" s="11" t="s">
        <v>378</v>
      </c>
      <c r="Q11">
        <f t="shared" si="0"/>
        <v>80</v>
      </c>
      <c r="R11">
        <f t="shared" si="1"/>
        <v>352.09445330007912</v>
      </c>
      <c r="S11">
        <f t="shared" si="2"/>
        <v>595.44232590366232</v>
      </c>
      <c r="T11">
        <f t="shared" si="3"/>
        <v>343.41204441673261</v>
      </c>
      <c r="U11">
        <f t="shared" si="4"/>
        <v>546.20193825305205</v>
      </c>
      <c r="V11" t="e">
        <f t="shared" si="5"/>
        <v>#N/A</v>
      </c>
      <c r="W11" t="e">
        <f t="shared" si="6"/>
        <v>#N/A</v>
      </c>
    </row>
    <row r="12" spans="1:23" x14ac:dyDescent="0.3">
      <c r="A12" t="s">
        <v>379</v>
      </c>
      <c r="B12" t="s">
        <v>32</v>
      </c>
      <c r="C12" s="101">
        <v>20</v>
      </c>
      <c r="D12" t="s">
        <v>21</v>
      </c>
      <c r="E12" s="40" t="s">
        <v>29</v>
      </c>
      <c r="F12" s="11" t="s">
        <v>33</v>
      </c>
      <c r="Q12">
        <f t="shared" si="0"/>
        <v>90</v>
      </c>
      <c r="R12">
        <f t="shared" si="1"/>
        <v>300</v>
      </c>
      <c r="S12">
        <f t="shared" si="2"/>
        <v>600</v>
      </c>
      <c r="T12">
        <f t="shared" si="3"/>
        <v>300</v>
      </c>
      <c r="U12">
        <f t="shared" si="4"/>
        <v>550</v>
      </c>
      <c r="V12" t="e">
        <f t="shared" si="5"/>
        <v>#N/A</v>
      </c>
      <c r="W12" t="e">
        <f t="shared" si="6"/>
        <v>#N/A</v>
      </c>
    </row>
    <row r="13" spans="1:23" x14ac:dyDescent="0.3">
      <c r="A13" t="s">
        <v>380</v>
      </c>
      <c r="B13" t="s">
        <v>35</v>
      </c>
      <c r="C13" s="101">
        <v>10</v>
      </c>
      <c r="D13" t="s">
        <v>21</v>
      </c>
      <c r="E13" s="40" t="s">
        <v>36</v>
      </c>
      <c r="F13" s="11" t="s">
        <v>37</v>
      </c>
      <c r="Q13">
        <f t="shared" si="0"/>
        <v>100</v>
      </c>
      <c r="R13">
        <f t="shared" si="1"/>
        <v>247.9055466999209</v>
      </c>
      <c r="S13">
        <f t="shared" si="2"/>
        <v>595.44232590366232</v>
      </c>
      <c r="T13">
        <f t="shared" si="3"/>
        <v>256.58795558326744</v>
      </c>
      <c r="U13">
        <f t="shared" si="4"/>
        <v>546.20193825305205</v>
      </c>
      <c r="V13" t="e">
        <f t="shared" si="5"/>
        <v>#N/A</v>
      </c>
      <c r="W13" t="e">
        <f t="shared" si="6"/>
        <v>#N/A</v>
      </c>
    </row>
    <row r="14" spans="1:23" x14ac:dyDescent="0.3">
      <c r="A14" t="s">
        <v>381</v>
      </c>
      <c r="B14" t="s">
        <v>39</v>
      </c>
      <c r="C14" s="14">
        <v>150</v>
      </c>
      <c r="D14" t="s">
        <v>21</v>
      </c>
      <c r="E14" s="40" t="s">
        <v>40</v>
      </c>
      <c r="F14" s="11"/>
      <c r="Q14">
        <f t="shared" si="0"/>
        <v>110</v>
      </c>
      <c r="R14">
        <f t="shared" si="1"/>
        <v>197.39395700229937</v>
      </c>
      <c r="S14">
        <f t="shared" si="2"/>
        <v>581.90778623577251</v>
      </c>
      <c r="T14">
        <f t="shared" si="3"/>
        <v>214.49496416858284</v>
      </c>
      <c r="U14">
        <f t="shared" si="4"/>
        <v>534.92315519647707</v>
      </c>
      <c r="V14" t="e">
        <f t="shared" si="5"/>
        <v>#N/A</v>
      </c>
      <c r="W14" t="e">
        <f t="shared" si="6"/>
        <v>#N/A</v>
      </c>
    </row>
    <row r="15" spans="1:23" x14ac:dyDescent="0.3">
      <c r="A15" t="s">
        <v>382</v>
      </c>
      <c r="B15" t="s">
        <v>42</v>
      </c>
      <c r="C15" s="91">
        <f>_xlfn.XLOOKUP(F15,Aceros_DIN!$A$35:$A$43,Aceros_DIN!$B$35:$B$43)</f>
        <v>25</v>
      </c>
      <c r="D15" t="s">
        <v>43</v>
      </c>
      <c r="E15" s="40" t="s">
        <v>44</v>
      </c>
      <c r="F15" s="89" t="s">
        <v>952</v>
      </c>
      <c r="Q15">
        <f t="shared" si="0"/>
        <v>120</v>
      </c>
      <c r="R15">
        <f t="shared" si="1"/>
        <v>150.00000000000006</v>
      </c>
      <c r="S15">
        <f t="shared" si="2"/>
        <v>559.8076211353316</v>
      </c>
      <c r="T15">
        <f t="shared" si="3"/>
        <v>175.00000000000006</v>
      </c>
      <c r="U15">
        <f t="shared" si="4"/>
        <v>516.50635094610971</v>
      </c>
      <c r="V15" t="e">
        <f t="shared" si="5"/>
        <v>#N/A</v>
      </c>
      <c r="W15" t="e">
        <f t="shared" si="6"/>
        <v>#N/A</v>
      </c>
    </row>
    <row r="16" spans="1:23" x14ac:dyDescent="0.3">
      <c r="A16" t="s">
        <v>383</v>
      </c>
      <c r="B16" t="s">
        <v>46</v>
      </c>
      <c r="C16" s="91">
        <f>_xlfn.XLOOKUP(F16,Aceros_DIN!$A$47:$A$49,Aceros_DIN!$B$47:$B$49)</f>
        <v>500</v>
      </c>
      <c r="D16" t="s">
        <v>43</v>
      </c>
      <c r="E16" s="40" t="s">
        <v>47</v>
      </c>
      <c r="F16" s="89" t="s">
        <v>966</v>
      </c>
      <c r="Q16">
        <f t="shared" si="0"/>
        <v>130</v>
      </c>
      <c r="R16">
        <f t="shared" si="1"/>
        <v>107.16371709403819</v>
      </c>
      <c r="S16">
        <f t="shared" si="2"/>
        <v>529.81333293569344</v>
      </c>
      <c r="T16">
        <f t="shared" si="3"/>
        <v>139.30309757836517</v>
      </c>
      <c r="U16">
        <f t="shared" si="4"/>
        <v>491.51111077974451</v>
      </c>
      <c r="V16" t="e">
        <f t="shared" si="5"/>
        <v>#N/A</v>
      </c>
      <c r="W16" t="e">
        <f t="shared" si="6"/>
        <v>#N/A</v>
      </c>
    </row>
    <row r="17" spans="1:23" x14ac:dyDescent="0.3">
      <c r="A17" t="s">
        <v>384</v>
      </c>
      <c r="B17" t="s">
        <v>49</v>
      </c>
      <c r="C17" s="15">
        <v>1.5</v>
      </c>
      <c r="D17" t="s">
        <v>28</v>
      </c>
      <c r="E17" s="40" t="s">
        <v>50</v>
      </c>
      <c r="F17" s="11"/>
      <c r="Q17">
        <f t="shared" si="0"/>
        <v>140</v>
      </c>
      <c r="R17">
        <f t="shared" si="1"/>
        <v>70.186667064306619</v>
      </c>
      <c r="S17">
        <f t="shared" si="2"/>
        <v>492.83628290596187</v>
      </c>
      <c r="T17">
        <f t="shared" si="3"/>
        <v>108.48888922025552</v>
      </c>
      <c r="U17">
        <f t="shared" si="4"/>
        <v>460.69690242163483</v>
      </c>
      <c r="V17" t="e">
        <f t="shared" si="5"/>
        <v>#N/A</v>
      </c>
      <c r="W17" t="e">
        <f t="shared" si="6"/>
        <v>#N/A</v>
      </c>
    </row>
    <row r="18" spans="1:23" x14ac:dyDescent="0.3">
      <c r="A18" t="s">
        <v>385</v>
      </c>
      <c r="B18" t="s">
        <v>52</v>
      </c>
      <c r="C18" s="15">
        <v>1.1499999999999999</v>
      </c>
      <c r="D18" t="s">
        <v>28</v>
      </c>
      <c r="E18" s="40" t="s">
        <v>50</v>
      </c>
      <c r="F18" s="11"/>
      <c r="Q18">
        <f t="shared" si="0"/>
        <v>150</v>
      </c>
      <c r="R18">
        <f t="shared" si="1"/>
        <v>40.192378864668399</v>
      </c>
      <c r="S18">
        <f t="shared" si="2"/>
        <v>450</v>
      </c>
      <c r="T18">
        <f t="shared" si="3"/>
        <v>83.493649053890323</v>
      </c>
      <c r="U18">
        <f t="shared" si="4"/>
        <v>425</v>
      </c>
      <c r="V18" t="e">
        <f t="shared" si="5"/>
        <v>#N/A</v>
      </c>
      <c r="W18" t="e">
        <f t="shared" si="6"/>
        <v>#N/A</v>
      </c>
    </row>
    <row r="19" spans="1:23" x14ac:dyDescent="0.3">
      <c r="A19" t="s">
        <v>386</v>
      </c>
      <c r="B19" t="s">
        <v>54</v>
      </c>
      <c r="C19" s="15">
        <v>0.85</v>
      </c>
      <c r="D19" t="s">
        <v>28</v>
      </c>
      <c r="E19" s="40" t="s">
        <v>55</v>
      </c>
      <c r="F19" s="11"/>
      <c r="Q19">
        <f t="shared" si="0"/>
        <v>160</v>
      </c>
      <c r="R19">
        <f t="shared" si="1"/>
        <v>18.092213764227495</v>
      </c>
      <c r="S19">
        <f t="shared" si="2"/>
        <v>402.60604299770068</v>
      </c>
      <c r="T19">
        <f t="shared" si="3"/>
        <v>65.076844803522931</v>
      </c>
      <c r="U19">
        <f t="shared" si="4"/>
        <v>385.50503583141722</v>
      </c>
      <c r="V19" t="e">
        <f t="shared" si="5"/>
        <v>#N/A</v>
      </c>
      <c r="W19" t="e">
        <f t="shared" si="6"/>
        <v>#N/A</v>
      </c>
    </row>
    <row r="20" spans="1:23" x14ac:dyDescent="0.3">
      <c r="A20" t="s">
        <v>387</v>
      </c>
      <c r="B20" t="s">
        <v>57</v>
      </c>
      <c r="C20" s="14">
        <v>3000</v>
      </c>
      <c r="D20" t="s">
        <v>21</v>
      </c>
      <c r="E20" s="40" t="s">
        <v>58</v>
      </c>
      <c r="F20" s="11"/>
      <c r="Q20">
        <f t="shared" si="0"/>
        <v>170</v>
      </c>
      <c r="R20">
        <f t="shared" si="1"/>
        <v>4.557674096337621</v>
      </c>
      <c r="S20">
        <f t="shared" si="2"/>
        <v>352.09445330007907</v>
      </c>
      <c r="T20">
        <f t="shared" si="3"/>
        <v>53.798061746948008</v>
      </c>
      <c r="U20">
        <f t="shared" si="4"/>
        <v>343.41204441673256</v>
      </c>
      <c r="V20" t="e">
        <f t="shared" si="5"/>
        <v>#N/A</v>
      </c>
      <c r="W20" t="e">
        <f t="shared" si="6"/>
        <v>#N/A</v>
      </c>
    </row>
    <row r="21" spans="1:23" x14ac:dyDescent="0.3">
      <c r="A21" t="s">
        <v>388</v>
      </c>
      <c r="B21" t="s">
        <v>60</v>
      </c>
      <c r="C21" s="15">
        <v>0</v>
      </c>
      <c r="D21" t="s">
        <v>28</v>
      </c>
      <c r="E21" s="40" t="s">
        <v>61</v>
      </c>
      <c r="F21" s="11"/>
      <c r="Q21">
        <f t="shared" si="0"/>
        <v>180</v>
      </c>
      <c r="R21">
        <f t="shared" si="1"/>
        <v>0</v>
      </c>
      <c r="S21">
        <f t="shared" si="2"/>
        <v>300.00000000000006</v>
      </c>
      <c r="T21">
        <f t="shared" si="3"/>
        <v>50</v>
      </c>
      <c r="U21">
        <f t="shared" si="4"/>
        <v>300.00000000000006</v>
      </c>
      <c r="V21" t="e">
        <f t="shared" si="5"/>
        <v>#N/A</v>
      </c>
      <c r="W21" t="e">
        <f t="shared" si="6"/>
        <v>#N/A</v>
      </c>
    </row>
    <row r="22" spans="1:23" x14ac:dyDescent="0.3">
      <c r="E22" s="40"/>
      <c r="F22" s="11"/>
      <c r="Q22">
        <f t="shared" si="0"/>
        <v>190</v>
      </c>
      <c r="R22">
        <f t="shared" si="1"/>
        <v>4.557674096337621</v>
      </c>
      <c r="S22">
        <f t="shared" si="2"/>
        <v>247.90554669992088</v>
      </c>
      <c r="T22">
        <f t="shared" si="3"/>
        <v>53.798061746948008</v>
      </c>
      <c r="U22">
        <f t="shared" si="4"/>
        <v>256.58795558326739</v>
      </c>
      <c r="V22" t="e">
        <f t="shared" si="5"/>
        <v>#N/A</v>
      </c>
      <c r="W22" t="e">
        <f t="shared" si="6"/>
        <v>#N/A</v>
      </c>
    </row>
    <row r="23" spans="1:23" x14ac:dyDescent="0.3">
      <c r="A23" s="4" t="s">
        <v>389</v>
      </c>
      <c r="B23" s="4"/>
      <c r="C23" s="4"/>
      <c r="D23" s="4"/>
      <c r="E23" s="41"/>
      <c r="F23" s="12"/>
      <c r="Q23">
        <f t="shared" si="0"/>
        <v>200</v>
      </c>
      <c r="R23">
        <f t="shared" si="1"/>
        <v>18.092213764227495</v>
      </c>
      <c r="S23">
        <f t="shared" si="2"/>
        <v>197.3939570022994</v>
      </c>
      <c r="T23">
        <f t="shared" si="3"/>
        <v>65.076844803522903</v>
      </c>
      <c r="U23">
        <f t="shared" si="4"/>
        <v>214.49496416858284</v>
      </c>
      <c r="V23" t="e">
        <f t="shared" si="5"/>
        <v>#N/A</v>
      </c>
      <c r="W23" t="e">
        <f t="shared" si="6"/>
        <v>#N/A</v>
      </c>
    </row>
    <row r="24" spans="1:23" x14ac:dyDescent="0.3">
      <c r="A24" t="s">
        <v>390</v>
      </c>
      <c r="B24" t="s">
        <v>64</v>
      </c>
      <c r="C24" s="16">
        <f>C19*C15/C17</f>
        <v>14.166666666666666</v>
      </c>
      <c r="D24" t="s">
        <v>43</v>
      </c>
      <c r="E24" s="40" t="s">
        <v>534</v>
      </c>
      <c r="F24" s="11" t="s">
        <v>66</v>
      </c>
      <c r="Q24">
        <f t="shared" si="0"/>
        <v>210</v>
      </c>
      <c r="R24">
        <f t="shared" si="1"/>
        <v>40.192378864668399</v>
      </c>
      <c r="S24">
        <f t="shared" si="2"/>
        <v>149.99999999999997</v>
      </c>
      <c r="T24">
        <f t="shared" si="3"/>
        <v>83.493649053890351</v>
      </c>
      <c r="U24">
        <f t="shared" si="4"/>
        <v>174.99999999999997</v>
      </c>
      <c r="V24" t="e">
        <f t="shared" si="5"/>
        <v>#N/A</v>
      </c>
      <c r="W24" t="e">
        <f t="shared" si="6"/>
        <v>#N/A</v>
      </c>
    </row>
    <row r="25" spans="1:23" x14ac:dyDescent="0.3">
      <c r="A25" t="s">
        <v>391</v>
      </c>
      <c r="B25" t="s">
        <v>68</v>
      </c>
      <c r="C25" s="16">
        <f>IF(C15&lt;=50,0.3*C15^(2/3),2.12*LN(1+(C15+8)/10))</f>
        <v>2.5649639200150443</v>
      </c>
      <c r="D25" t="s">
        <v>43</v>
      </c>
      <c r="E25" s="40" t="s">
        <v>44</v>
      </c>
      <c r="F25" s="11"/>
      <c r="Q25">
        <f t="shared" si="0"/>
        <v>220</v>
      </c>
      <c r="R25">
        <f t="shared" si="1"/>
        <v>70.18666706430659</v>
      </c>
      <c r="S25">
        <f t="shared" si="2"/>
        <v>107.16371709403822</v>
      </c>
      <c r="T25">
        <f t="shared" si="3"/>
        <v>108.48888922025549</v>
      </c>
      <c r="U25">
        <f t="shared" si="4"/>
        <v>139.3030975783652</v>
      </c>
      <c r="V25" t="e">
        <f t="shared" si="5"/>
        <v>#N/A</v>
      </c>
      <c r="W25" t="e">
        <f t="shared" si="6"/>
        <v>#N/A</v>
      </c>
    </row>
    <row r="26" spans="1:23" x14ac:dyDescent="0.3">
      <c r="A26" t="s">
        <v>392</v>
      </c>
      <c r="B26" t="s">
        <v>70</v>
      </c>
      <c r="C26" s="16">
        <f>C16/C18</f>
        <v>434.78260869565219</v>
      </c>
      <c r="D26" t="s">
        <v>43</v>
      </c>
      <c r="E26" s="40" t="s">
        <v>535</v>
      </c>
      <c r="F26" s="11"/>
      <c r="Q26">
        <f t="shared" si="0"/>
        <v>230</v>
      </c>
      <c r="R26">
        <f t="shared" si="1"/>
        <v>107.16371709403816</v>
      </c>
      <c r="S26">
        <f t="shared" si="2"/>
        <v>70.186667064306619</v>
      </c>
      <c r="T26">
        <f t="shared" si="3"/>
        <v>139.30309757836514</v>
      </c>
      <c r="U26">
        <f t="shared" si="4"/>
        <v>108.48888922025552</v>
      </c>
      <c r="V26" t="e">
        <f t="shared" si="5"/>
        <v>#N/A</v>
      </c>
      <c r="W26" t="e">
        <f t="shared" si="6"/>
        <v>#N/A</v>
      </c>
    </row>
    <row r="27" spans="1:23" x14ac:dyDescent="0.3">
      <c r="A27" t="s">
        <v>393</v>
      </c>
      <c r="B27" t="s">
        <v>73</v>
      </c>
      <c r="C27" s="17">
        <v>200000</v>
      </c>
      <c r="D27" t="s">
        <v>43</v>
      </c>
      <c r="E27" s="40" t="s">
        <v>74</v>
      </c>
      <c r="F27" s="11"/>
      <c r="Q27">
        <f t="shared" si="0"/>
        <v>240</v>
      </c>
      <c r="R27">
        <f t="shared" si="1"/>
        <v>149.99999999999986</v>
      </c>
      <c r="S27">
        <f t="shared" si="2"/>
        <v>40.192378864668513</v>
      </c>
      <c r="T27">
        <f t="shared" si="3"/>
        <v>174.99999999999989</v>
      </c>
      <c r="U27">
        <f t="shared" si="4"/>
        <v>83.493649053890408</v>
      </c>
    </row>
    <row r="28" spans="1:23" x14ac:dyDescent="0.3">
      <c r="A28" t="s">
        <v>394</v>
      </c>
      <c r="B28" t="s">
        <v>76</v>
      </c>
      <c r="C28" s="18">
        <f>C26/C27</f>
        <v>2.1739130434782609E-3</v>
      </c>
      <c r="D28" t="s">
        <v>28</v>
      </c>
      <c r="E28" s="40" t="s">
        <v>77</v>
      </c>
      <c r="F28" s="11"/>
      <c r="Q28">
        <f t="shared" si="0"/>
        <v>250</v>
      </c>
      <c r="R28">
        <f t="shared" si="1"/>
        <v>197.39395700229943</v>
      </c>
      <c r="S28">
        <f t="shared" si="2"/>
        <v>18.092213764227495</v>
      </c>
      <c r="T28">
        <f t="shared" si="3"/>
        <v>214.49496416858287</v>
      </c>
      <c r="U28">
        <f t="shared" si="4"/>
        <v>65.076844803522903</v>
      </c>
    </row>
    <row r="29" spans="1:23" x14ac:dyDescent="0.3">
      <c r="A29" t="s">
        <v>395</v>
      </c>
      <c r="B29" t="s">
        <v>79</v>
      </c>
      <c r="C29" s="19">
        <v>3.5</v>
      </c>
      <c r="D29" t="s">
        <v>80</v>
      </c>
      <c r="E29" s="40" t="s">
        <v>81</v>
      </c>
      <c r="F29" s="11"/>
      <c r="Q29">
        <f t="shared" si="0"/>
        <v>260</v>
      </c>
      <c r="R29">
        <f t="shared" si="1"/>
        <v>247.9055466999209</v>
      </c>
      <c r="S29">
        <f t="shared" si="2"/>
        <v>4.557674096337621</v>
      </c>
      <c r="T29">
        <f t="shared" si="3"/>
        <v>256.58795558326744</v>
      </c>
      <c r="U29">
        <f t="shared" si="4"/>
        <v>53.798061746948008</v>
      </c>
    </row>
    <row r="30" spans="1:23" x14ac:dyDescent="0.3">
      <c r="A30" t="s">
        <v>396</v>
      </c>
      <c r="B30" t="s">
        <v>83</v>
      </c>
      <c r="C30" s="19">
        <v>2</v>
      </c>
      <c r="D30" t="s">
        <v>80</v>
      </c>
      <c r="E30" s="40" t="s">
        <v>536</v>
      </c>
      <c r="F30" s="11"/>
      <c r="Q30">
        <f t="shared" si="0"/>
        <v>270</v>
      </c>
      <c r="R30">
        <f t="shared" si="1"/>
        <v>299.99999999999994</v>
      </c>
      <c r="S30">
        <f t="shared" si="2"/>
        <v>0</v>
      </c>
      <c r="T30">
        <f t="shared" si="3"/>
        <v>299.99999999999994</v>
      </c>
      <c r="U30">
        <f t="shared" si="4"/>
        <v>50</v>
      </c>
    </row>
    <row r="31" spans="1:23" x14ac:dyDescent="0.3">
      <c r="A31" t="s">
        <v>397</v>
      </c>
      <c r="B31" t="s">
        <v>86</v>
      </c>
      <c r="C31" s="19">
        <v>25</v>
      </c>
      <c r="D31" t="s">
        <v>80</v>
      </c>
      <c r="E31" s="40" t="s">
        <v>87</v>
      </c>
      <c r="F31" s="11"/>
      <c r="Q31">
        <f t="shared" si="0"/>
        <v>280</v>
      </c>
      <c r="R31">
        <f t="shared" si="1"/>
        <v>352.09445330007901</v>
      </c>
      <c r="S31">
        <f t="shared" si="2"/>
        <v>4.5576740963375642</v>
      </c>
      <c r="T31">
        <f t="shared" si="3"/>
        <v>343.4120444167325</v>
      </c>
      <c r="U31">
        <f t="shared" si="4"/>
        <v>53.79806174694798</v>
      </c>
    </row>
    <row r="32" spans="1:23" x14ac:dyDescent="0.3">
      <c r="E32" s="40"/>
      <c r="F32" s="11"/>
      <c r="Q32">
        <f t="shared" si="0"/>
        <v>290</v>
      </c>
      <c r="R32">
        <f t="shared" si="1"/>
        <v>402.60604299770068</v>
      </c>
      <c r="S32">
        <f t="shared" si="2"/>
        <v>18.092213764227495</v>
      </c>
      <c r="T32">
        <f t="shared" si="3"/>
        <v>385.50503583141722</v>
      </c>
      <c r="U32">
        <f t="shared" si="4"/>
        <v>65.076844803522931</v>
      </c>
    </row>
    <row r="33" spans="1:21" x14ac:dyDescent="0.3">
      <c r="A33" s="4" t="s">
        <v>398</v>
      </c>
      <c r="B33" s="4"/>
      <c r="C33" s="4"/>
      <c r="D33" s="4"/>
      <c r="E33" s="41"/>
      <c r="F33" s="12"/>
      <c r="Q33">
        <f t="shared" si="0"/>
        <v>300</v>
      </c>
      <c r="R33">
        <f t="shared" si="1"/>
        <v>450</v>
      </c>
      <c r="S33">
        <f t="shared" si="2"/>
        <v>40.192378864668399</v>
      </c>
      <c r="T33">
        <f t="shared" si="3"/>
        <v>425</v>
      </c>
      <c r="U33">
        <f t="shared" si="4"/>
        <v>83.493649053890351</v>
      </c>
    </row>
    <row r="34" spans="1:21" x14ac:dyDescent="0.3">
      <c r="A34" t="s">
        <v>399</v>
      </c>
      <c r="B34" t="s">
        <v>90</v>
      </c>
      <c r="C34" s="20">
        <f>C9/2</f>
        <v>300</v>
      </c>
      <c r="D34" t="s">
        <v>21</v>
      </c>
      <c r="E34" s="40"/>
      <c r="F34" s="11"/>
      <c r="Q34">
        <f t="shared" si="0"/>
        <v>310</v>
      </c>
      <c r="R34">
        <f t="shared" si="1"/>
        <v>492.83628290596175</v>
      </c>
      <c r="S34">
        <f t="shared" si="2"/>
        <v>70.186667064306562</v>
      </c>
      <c r="T34">
        <f t="shared" si="3"/>
        <v>460.69690242163483</v>
      </c>
      <c r="U34">
        <f t="shared" si="4"/>
        <v>108.48888922025546</v>
      </c>
    </row>
    <row r="35" spans="1:21" x14ac:dyDescent="0.3">
      <c r="A35" t="s">
        <v>400</v>
      </c>
      <c r="B35" t="s">
        <v>92</v>
      </c>
      <c r="C35" s="20">
        <f>PI()*C9^2/4</f>
        <v>282743.3388230814</v>
      </c>
      <c r="D35" t="s">
        <v>93</v>
      </c>
      <c r="E35" s="40"/>
      <c r="F35" s="11"/>
      <c r="Q35">
        <f t="shared" si="0"/>
        <v>320</v>
      </c>
      <c r="R35">
        <f t="shared" si="1"/>
        <v>529.81333293569332</v>
      </c>
      <c r="S35">
        <f t="shared" si="2"/>
        <v>107.16371709403813</v>
      </c>
      <c r="T35">
        <f t="shared" si="3"/>
        <v>491.51111077974446</v>
      </c>
      <c r="U35">
        <f t="shared" si="4"/>
        <v>139.30309757836511</v>
      </c>
    </row>
    <row r="36" spans="1:21" x14ac:dyDescent="0.3">
      <c r="A36" t="s">
        <v>401</v>
      </c>
      <c r="B36" t="s">
        <v>95</v>
      </c>
      <c r="C36" s="16">
        <f>C10+C13+C12/2</f>
        <v>70</v>
      </c>
      <c r="D36" t="s">
        <v>21</v>
      </c>
      <c r="E36" s="40" t="s">
        <v>96</v>
      </c>
      <c r="F36" s="11"/>
      <c r="Q36">
        <f t="shared" si="0"/>
        <v>330</v>
      </c>
      <c r="R36">
        <f t="shared" si="1"/>
        <v>559.80762113533149</v>
      </c>
      <c r="S36">
        <f t="shared" si="2"/>
        <v>149.99999999999986</v>
      </c>
      <c r="T36">
        <f t="shared" si="3"/>
        <v>516.50635094610959</v>
      </c>
      <c r="U36">
        <f t="shared" si="4"/>
        <v>174.99999999999989</v>
      </c>
    </row>
    <row r="37" spans="1:21" x14ac:dyDescent="0.3">
      <c r="A37" t="s">
        <v>402</v>
      </c>
      <c r="B37" t="s">
        <v>98</v>
      </c>
      <c r="C37" s="16">
        <f>C34-C36</f>
        <v>230</v>
      </c>
      <c r="D37" t="s">
        <v>21</v>
      </c>
      <c r="E37" s="40"/>
      <c r="F37" s="11"/>
      <c r="Q37">
        <f t="shared" si="0"/>
        <v>340</v>
      </c>
      <c r="R37">
        <f t="shared" si="1"/>
        <v>581.90778623577251</v>
      </c>
      <c r="S37">
        <f t="shared" si="2"/>
        <v>197.39395700229943</v>
      </c>
      <c r="T37">
        <f t="shared" si="3"/>
        <v>534.92315519647707</v>
      </c>
      <c r="U37">
        <f t="shared" si="4"/>
        <v>214.49496416858284</v>
      </c>
    </row>
    <row r="38" spans="1:21" x14ac:dyDescent="0.3">
      <c r="A38" t="s">
        <v>403</v>
      </c>
      <c r="B38" t="s">
        <v>100</v>
      </c>
      <c r="C38" s="16">
        <f>C34+2*C37/PI()</f>
        <v>446.42254764454373</v>
      </c>
      <c r="D38" t="s">
        <v>21</v>
      </c>
      <c r="E38" s="40" t="s">
        <v>101</v>
      </c>
      <c r="F38" s="11"/>
      <c r="Q38">
        <f t="shared" si="0"/>
        <v>350</v>
      </c>
      <c r="R38">
        <f t="shared" si="1"/>
        <v>595.44232590366232</v>
      </c>
      <c r="S38">
        <f t="shared" si="2"/>
        <v>247.90554669992088</v>
      </c>
      <c r="T38">
        <f t="shared" si="3"/>
        <v>546.20193825305205</v>
      </c>
      <c r="U38">
        <f t="shared" si="4"/>
        <v>256.58795558326739</v>
      </c>
    </row>
    <row r="39" spans="1:21" x14ac:dyDescent="0.3">
      <c r="A39" t="s">
        <v>404</v>
      </c>
      <c r="B39" t="s">
        <v>103</v>
      </c>
      <c r="C39" s="16">
        <f>0.9*C38</f>
        <v>401.78029288008935</v>
      </c>
      <c r="D39" t="s">
        <v>21</v>
      </c>
      <c r="E39" s="40" t="s">
        <v>104</v>
      </c>
      <c r="F39" s="11"/>
      <c r="Q39">
        <f t="shared" si="0"/>
        <v>360</v>
      </c>
      <c r="R39">
        <f t="shared" si="1"/>
        <v>600</v>
      </c>
      <c r="S39">
        <f t="shared" si="2"/>
        <v>299.99999999999994</v>
      </c>
      <c r="T39">
        <f t="shared" si="3"/>
        <v>550</v>
      </c>
      <c r="U39">
        <f t="shared" si="4"/>
        <v>299.99999999999994</v>
      </c>
    </row>
    <row r="40" spans="1:21" x14ac:dyDescent="0.3">
      <c r="A40" t="s">
        <v>405</v>
      </c>
      <c r="B40" t="s">
        <v>106</v>
      </c>
      <c r="C40" s="16">
        <f>C11*PI()*C12^2/4</f>
        <v>2513.2741228718346</v>
      </c>
      <c r="D40" t="s">
        <v>93</v>
      </c>
      <c r="E40" s="40"/>
      <c r="F40" s="11"/>
    </row>
    <row r="41" spans="1:21" x14ac:dyDescent="0.3">
      <c r="A41" t="s">
        <v>406</v>
      </c>
      <c r="B41" t="s">
        <v>108</v>
      </c>
      <c r="C41" s="16">
        <f>PI()*2*C37/C11-C12</f>
        <v>160.64157758141312</v>
      </c>
      <c r="D41" t="s">
        <v>21</v>
      </c>
      <c r="E41" s="40" t="s">
        <v>109</v>
      </c>
      <c r="F41" s="11" t="s">
        <v>407</v>
      </c>
    </row>
    <row r="42" spans="1:21" x14ac:dyDescent="0.3">
      <c r="E42" s="40"/>
      <c r="F42" s="11"/>
    </row>
    <row r="43" spans="1:21" x14ac:dyDescent="0.3">
      <c r="A43" s="4" t="s">
        <v>408</v>
      </c>
      <c r="B43" s="4"/>
      <c r="C43" s="4"/>
      <c r="D43" s="4"/>
      <c r="E43" s="41"/>
      <c r="F43" s="12"/>
    </row>
    <row r="44" spans="1:21" x14ac:dyDescent="0.3">
      <c r="A44" t="s">
        <v>409</v>
      </c>
      <c r="B44" t="s">
        <v>113</v>
      </c>
      <c r="C44" s="16">
        <f>C9/4</f>
        <v>150</v>
      </c>
      <c r="D44" t="s">
        <v>21</v>
      </c>
      <c r="E44" s="40" t="s">
        <v>114</v>
      </c>
      <c r="F44" s="11" t="s">
        <v>410</v>
      </c>
    </row>
    <row r="45" spans="1:21" x14ac:dyDescent="0.3">
      <c r="A45" t="s">
        <v>411</v>
      </c>
      <c r="B45" t="s">
        <v>117</v>
      </c>
      <c r="C45" s="16">
        <f>IF(C20&gt;0,C20/C44,0)</f>
        <v>20</v>
      </c>
      <c r="D45" t="s">
        <v>28</v>
      </c>
      <c r="E45" s="40" t="s">
        <v>537</v>
      </c>
      <c r="F45" s="11"/>
    </row>
    <row r="46" spans="1:21" x14ac:dyDescent="0.3">
      <c r="A46" t="s">
        <v>412</v>
      </c>
      <c r="B46" t="s">
        <v>120</v>
      </c>
      <c r="C46" s="21">
        <f>C6*1000/(C35*C24)</f>
        <v>0.24965481269316916</v>
      </c>
      <c r="D46" t="s">
        <v>28</v>
      </c>
      <c r="E46" s="40" t="s">
        <v>538</v>
      </c>
      <c r="F46" s="11"/>
    </row>
    <row r="47" spans="1:21" x14ac:dyDescent="0.3">
      <c r="A47" t="s">
        <v>413</v>
      </c>
      <c r="B47" t="s">
        <v>123</v>
      </c>
      <c r="C47" s="22">
        <f>IF(ABS(C46)&lt;=0.41,25,16/SQRT(ABS(C46)))</f>
        <v>25</v>
      </c>
      <c r="D47" t="s">
        <v>28</v>
      </c>
      <c r="E47" s="40" t="s">
        <v>539</v>
      </c>
      <c r="F47" s="11" t="s">
        <v>414</v>
      </c>
    </row>
    <row r="48" spans="1:21" x14ac:dyDescent="0.3">
      <c r="A48" t="s">
        <v>415</v>
      </c>
      <c r="B48" t="s">
        <v>28</v>
      </c>
      <c r="C48" t="str">
        <f>IF(C45&gt;C47,"JA (λ &gt; λ_lim)","NEIN (λ ≤ λ_lim)")</f>
        <v>NEIN (λ ≤ λ_lim)</v>
      </c>
      <c r="E48" s="40" t="s">
        <v>127</v>
      </c>
      <c r="F48" s="11"/>
    </row>
    <row r="49" spans="1:6" x14ac:dyDescent="0.3">
      <c r="A49" t="s">
        <v>416</v>
      </c>
      <c r="B49" t="s">
        <v>129</v>
      </c>
      <c r="C49" s="16">
        <f>C20/400</f>
        <v>7.5</v>
      </c>
      <c r="D49" t="s">
        <v>21</v>
      </c>
      <c r="E49" s="40" t="s">
        <v>130</v>
      </c>
      <c r="F49" s="11"/>
    </row>
    <row r="50" spans="1:6" x14ac:dyDescent="0.3">
      <c r="A50" t="s">
        <v>417</v>
      </c>
      <c r="B50" t="s">
        <v>132</v>
      </c>
      <c r="C50" s="6">
        <v>1</v>
      </c>
      <c r="D50" t="s">
        <v>28</v>
      </c>
      <c r="E50" s="40" t="s">
        <v>540</v>
      </c>
      <c r="F50" s="11" t="s">
        <v>418</v>
      </c>
    </row>
    <row r="51" spans="1:6" x14ac:dyDescent="0.3">
      <c r="A51" t="s">
        <v>419</v>
      </c>
      <c r="B51" t="s">
        <v>136</v>
      </c>
      <c r="C51" s="6">
        <v>1</v>
      </c>
      <c r="D51" t="s">
        <v>28</v>
      </c>
      <c r="E51" s="40" t="s">
        <v>541</v>
      </c>
      <c r="F51" s="11" t="s">
        <v>420</v>
      </c>
    </row>
    <row r="52" spans="1:6" x14ac:dyDescent="0.3">
      <c r="A52" t="s">
        <v>421</v>
      </c>
      <c r="B52" t="s">
        <v>140</v>
      </c>
      <c r="C52" s="20">
        <f>C34+C37</f>
        <v>530</v>
      </c>
      <c r="D52" t="s">
        <v>21</v>
      </c>
      <c r="E52" s="40" t="s">
        <v>141</v>
      </c>
      <c r="F52" s="11"/>
    </row>
    <row r="53" spans="1:6" x14ac:dyDescent="0.3">
      <c r="A53" t="s">
        <v>422</v>
      </c>
      <c r="B53" t="s">
        <v>143</v>
      </c>
      <c r="C53" s="23">
        <f>C50*C51*C28/(0.45*C52)</f>
        <v>9.1149393856530859E-6</v>
      </c>
      <c r="D53" t="s">
        <v>144</v>
      </c>
      <c r="E53" s="40" t="s">
        <v>542</v>
      </c>
      <c r="F53" s="11"/>
    </row>
    <row r="54" spans="1:6" x14ac:dyDescent="0.3">
      <c r="A54" t="s">
        <v>423</v>
      </c>
      <c r="B54" t="s">
        <v>147</v>
      </c>
      <c r="C54" s="16">
        <f>IF(C45&gt;C47,C53*C20^2/10,0)</f>
        <v>0</v>
      </c>
      <c r="D54" t="s">
        <v>21</v>
      </c>
      <c r="E54" s="40" t="s">
        <v>148</v>
      </c>
      <c r="F54" s="11"/>
    </row>
    <row r="55" spans="1:6" x14ac:dyDescent="0.3">
      <c r="A55" t="s">
        <v>424</v>
      </c>
      <c r="B55" t="s">
        <v>150</v>
      </c>
      <c r="C55" s="16">
        <f>MAX(C9/30,20)</f>
        <v>20</v>
      </c>
      <c r="D55" t="s">
        <v>21</v>
      </c>
      <c r="E55" s="40" t="s">
        <v>151</v>
      </c>
      <c r="F55" s="11"/>
    </row>
    <row r="56" spans="1:6" x14ac:dyDescent="0.3">
      <c r="A56" t="s">
        <v>425</v>
      </c>
      <c r="B56" t="s">
        <v>153</v>
      </c>
      <c r="C56" s="16">
        <f>MAX(C8+C6*(C49+C54)/1000,C6*C55/1000)</f>
        <v>307.5</v>
      </c>
      <c r="D56" t="s">
        <v>18</v>
      </c>
      <c r="E56" s="40" t="s">
        <v>543</v>
      </c>
      <c r="F56" s="11" t="s">
        <v>155</v>
      </c>
    </row>
    <row r="57" spans="1:6" x14ac:dyDescent="0.3">
      <c r="E57" s="40"/>
      <c r="F57" s="11"/>
    </row>
    <row r="58" spans="1:6" x14ac:dyDescent="0.3">
      <c r="A58" s="4" t="s">
        <v>426</v>
      </c>
      <c r="B58" s="4"/>
      <c r="C58" s="4"/>
      <c r="D58" s="4"/>
      <c r="E58" s="41"/>
      <c r="F58" s="12"/>
    </row>
    <row r="59" spans="1:6" x14ac:dyDescent="0.3">
      <c r="A59" t="s">
        <v>412</v>
      </c>
      <c r="B59" t="s">
        <v>158</v>
      </c>
      <c r="C59" s="24">
        <f>C6*1000/(C35*C24)</f>
        <v>0.24965481269316916</v>
      </c>
      <c r="D59" t="s">
        <v>28</v>
      </c>
      <c r="E59" s="40" t="s">
        <v>544</v>
      </c>
      <c r="F59" s="11" t="s">
        <v>160</v>
      </c>
    </row>
    <row r="60" spans="1:6" x14ac:dyDescent="0.3">
      <c r="A60" t="s">
        <v>427</v>
      </c>
      <c r="B60" t="s">
        <v>162</v>
      </c>
      <c r="C60" s="24">
        <f>C56*1000000/(C35*C9*C24)</f>
        <v>0.12794809150524919</v>
      </c>
      <c r="D60" t="s">
        <v>28</v>
      </c>
      <c r="E60" s="40" t="s">
        <v>545</v>
      </c>
      <c r="F60" s="11" t="s">
        <v>164</v>
      </c>
    </row>
    <row r="61" spans="1:6" x14ac:dyDescent="0.3">
      <c r="A61" t="s">
        <v>428</v>
      </c>
      <c r="B61" t="s">
        <v>218</v>
      </c>
      <c r="C61" s="25">
        <f>Nomogramm!C28</f>
        <v>0.18949758419401136</v>
      </c>
      <c r="D61" t="s">
        <v>28</v>
      </c>
      <c r="E61" s="40" t="s">
        <v>546</v>
      </c>
      <c r="F61" s="11" t="s">
        <v>429</v>
      </c>
    </row>
    <row r="62" spans="1:6" x14ac:dyDescent="0.3">
      <c r="A62" t="s">
        <v>430</v>
      </c>
      <c r="B62" t="s">
        <v>185</v>
      </c>
      <c r="C62" s="25">
        <f>Nomogramm!C22</f>
        <v>0.4100000000000002</v>
      </c>
      <c r="D62" t="s">
        <v>28</v>
      </c>
      <c r="E62" s="40" t="s">
        <v>547</v>
      </c>
      <c r="F62" s="11"/>
    </row>
    <row r="63" spans="1:6" x14ac:dyDescent="0.3">
      <c r="A63" t="s">
        <v>431</v>
      </c>
      <c r="B63" t="s">
        <v>203</v>
      </c>
      <c r="C63" s="26">
        <f>Nomogramm!C23</f>
        <v>246.00000000000011</v>
      </c>
      <c r="D63" t="s">
        <v>21</v>
      </c>
      <c r="E63" s="40"/>
      <c r="F63" s="11"/>
    </row>
    <row r="64" spans="1:6" x14ac:dyDescent="0.3">
      <c r="A64" t="s">
        <v>432</v>
      </c>
      <c r="C64" s="7" t="str">
        <f>Nomogramm!C27</f>
        <v>OK — Lösung durch Interpolation ermittelt</v>
      </c>
      <c r="E64" s="40"/>
      <c r="F64" s="11"/>
    </row>
    <row r="65" spans="1:6" x14ac:dyDescent="0.3">
      <c r="A65" t="s">
        <v>433</v>
      </c>
      <c r="B65" t="s">
        <v>557</v>
      </c>
      <c r="C65" s="20">
        <f>IFERROR(C61*C35*C24/C26,NA())</f>
        <v>1745.788270390316</v>
      </c>
      <c r="D65" t="s">
        <v>93</v>
      </c>
      <c r="E65" s="40" t="s">
        <v>361</v>
      </c>
      <c r="F65" s="11" t="s">
        <v>226</v>
      </c>
    </row>
    <row r="66" spans="1:6" x14ac:dyDescent="0.3">
      <c r="E66" s="40"/>
      <c r="F66" s="11"/>
    </row>
    <row r="67" spans="1:6" x14ac:dyDescent="0.3">
      <c r="A67" s="4" t="s">
        <v>434</v>
      </c>
      <c r="B67" s="4"/>
      <c r="C67" s="4"/>
      <c r="D67" s="4"/>
      <c r="E67" s="41"/>
      <c r="F67" s="12"/>
    </row>
    <row r="68" spans="1:6" x14ac:dyDescent="0.3">
      <c r="A68" t="s">
        <v>435</v>
      </c>
      <c r="B68" t="s">
        <v>558</v>
      </c>
      <c r="C68" s="20">
        <f>IF(C35&lt;=500000,0.005*C35,IF(C35&lt;=1000000,2500,0.0025*C35))</f>
        <v>1413.7166941154071</v>
      </c>
      <c r="D68" t="s">
        <v>93</v>
      </c>
      <c r="E68" s="40" t="s">
        <v>230</v>
      </c>
      <c r="F68" s="11" t="s">
        <v>231</v>
      </c>
    </row>
    <row r="69" spans="1:6" x14ac:dyDescent="0.3">
      <c r="A69" t="s">
        <v>436</v>
      </c>
      <c r="B69" t="s">
        <v>559</v>
      </c>
      <c r="C69" s="20">
        <f>0.15*ABS(C6)*1000/C26</f>
        <v>345</v>
      </c>
      <c r="D69" t="s">
        <v>93</v>
      </c>
      <c r="E69" s="40" t="s">
        <v>548</v>
      </c>
      <c r="F69" s="11" t="s">
        <v>235</v>
      </c>
    </row>
    <row r="70" spans="1:6" x14ac:dyDescent="0.3">
      <c r="A70" t="s">
        <v>437</v>
      </c>
      <c r="B70" t="s">
        <v>237</v>
      </c>
      <c r="C70" s="20">
        <f>MAX(C68,C69)</f>
        <v>1413.7166941154071</v>
      </c>
      <c r="D70" t="s">
        <v>93</v>
      </c>
      <c r="E70" s="40" t="s">
        <v>238</v>
      </c>
      <c r="F70" s="11"/>
    </row>
    <row r="71" spans="1:6" x14ac:dyDescent="0.3">
      <c r="A71" t="s">
        <v>438</v>
      </c>
      <c r="B71" t="s">
        <v>240</v>
      </c>
      <c r="C71" s="20">
        <f>0.09*C35</f>
        <v>25446.900494077327</v>
      </c>
      <c r="D71" t="s">
        <v>93</v>
      </c>
      <c r="E71" s="40" t="s">
        <v>241</v>
      </c>
      <c r="F71" s="11" t="s">
        <v>439</v>
      </c>
    </row>
    <row r="72" spans="1:6" x14ac:dyDescent="0.3">
      <c r="A72" s="8" t="s">
        <v>440</v>
      </c>
      <c r="B72" s="9" t="s">
        <v>557</v>
      </c>
      <c r="C72" s="27">
        <f>MAX(IFERROR(C65,0),C70)</f>
        <v>1745.788270390316</v>
      </c>
      <c r="D72" s="9" t="s">
        <v>93</v>
      </c>
      <c r="E72" s="42"/>
      <c r="F72" s="13"/>
    </row>
    <row r="73" spans="1:6" x14ac:dyDescent="0.3">
      <c r="A73" t="s">
        <v>441</v>
      </c>
      <c r="B73" t="s">
        <v>106</v>
      </c>
      <c r="C73" s="20">
        <f>C40</f>
        <v>2513.2741228718346</v>
      </c>
      <c r="D73" t="s">
        <v>93</v>
      </c>
      <c r="E73" s="40"/>
      <c r="F73" s="11" t="str">
        <f>C11&amp;" Ø"&amp;C12&amp;" mm"</f>
        <v>8 Ø20 mm</v>
      </c>
    </row>
    <row r="74" spans="1:6" x14ac:dyDescent="0.3">
      <c r="A74" t="s">
        <v>442</v>
      </c>
      <c r="C74" t="str">
        <f>IF(C73&gt;=C72,"OK","NICHT ERFÜLLT – Stabzahl oder -durchmesser erhöhen")</f>
        <v>OK</v>
      </c>
      <c r="E74" s="40" t="s">
        <v>361</v>
      </c>
      <c r="F74" s="11"/>
    </row>
    <row r="75" spans="1:6" x14ac:dyDescent="0.3">
      <c r="A75" t="s">
        <v>443</v>
      </c>
      <c r="C75" t="str">
        <f>IF(C73&lt;=C71,"OK","NICHT ERFÜLLT – überschreitet 0,09·A_c")</f>
        <v>OK</v>
      </c>
      <c r="E75" s="40" t="s">
        <v>241</v>
      </c>
      <c r="F75" s="11"/>
    </row>
    <row r="76" spans="1:6" x14ac:dyDescent="0.3">
      <c r="A76" t="s">
        <v>444</v>
      </c>
      <c r="C76" t="str">
        <f>IF(AND(C11&gt;=6,C12&gt;=16),"OK","NICHT ERFÜLLT")</f>
        <v>OK</v>
      </c>
      <c r="E76" s="40" t="s">
        <v>29</v>
      </c>
      <c r="F76" s="11"/>
    </row>
    <row r="77" spans="1:6" x14ac:dyDescent="0.3">
      <c r="A77" t="s">
        <v>445</v>
      </c>
      <c r="C77" t="str">
        <f>IF(C41&gt;=100,"OK","PRÜFEN – Betonage mit Kontraktorrohr")</f>
        <v>OK</v>
      </c>
      <c r="E77" s="40" t="s">
        <v>250</v>
      </c>
      <c r="F77" s="11"/>
    </row>
    <row r="78" spans="1:6" x14ac:dyDescent="0.3">
      <c r="E78" s="40"/>
      <c r="F78" s="11"/>
    </row>
    <row r="79" spans="1:6" x14ac:dyDescent="0.3">
      <c r="A79" s="4" t="s">
        <v>446</v>
      </c>
      <c r="B79" s="4"/>
      <c r="C79" s="4"/>
      <c r="D79" s="4"/>
      <c r="E79" s="41"/>
      <c r="F79" s="12"/>
    </row>
    <row r="80" spans="1:6" x14ac:dyDescent="0.3">
      <c r="A80" t="s">
        <v>447</v>
      </c>
      <c r="B80" t="s">
        <v>253</v>
      </c>
      <c r="C80" s="20">
        <f>C9</f>
        <v>600</v>
      </c>
      <c r="D80" t="s">
        <v>21</v>
      </c>
      <c r="E80" s="40" t="s">
        <v>101</v>
      </c>
      <c r="F80" s="11" t="s">
        <v>448</v>
      </c>
    </row>
    <row r="81" spans="1:6" x14ac:dyDescent="0.3">
      <c r="A81" t="s">
        <v>449</v>
      </c>
      <c r="B81" t="s">
        <v>256</v>
      </c>
      <c r="C81" s="28">
        <f>MIN(C6*1000/C35,0.2*C24)</f>
        <v>2.8333333333333335</v>
      </c>
      <c r="D81" t="s">
        <v>43</v>
      </c>
      <c r="E81" s="40" t="s">
        <v>549</v>
      </c>
      <c r="F81" s="11"/>
    </row>
    <row r="82" spans="1:6" x14ac:dyDescent="0.3">
      <c r="A82" t="s">
        <v>450</v>
      </c>
      <c r="B82" t="s">
        <v>259</v>
      </c>
      <c r="C82" s="18">
        <f>MIN(C73/2/(C80*C38),0.02)</f>
        <v>4.6915083331785954E-3</v>
      </c>
      <c r="D82" t="s">
        <v>28</v>
      </c>
      <c r="E82" s="40" t="s">
        <v>260</v>
      </c>
      <c r="F82" s="11" t="s">
        <v>451</v>
      </c>
    </row>
    <row r="83" spans="1:6" x14ac:dyDescent="0.3">
      <c r="A83" t="s">
        <v>452</v>
      </c>
      <c r="B83" t="s">
        <v>263</v>
      </c>
      <c r="C83" s="21">
        <f>MIN(1+SQRT(200/C38),2)</f>
        <v>1.6693325369868965</v>
      </c>
      <c r="D83" t="s">
        <v>28</v>
      </c>
      <c r="E83" s="40" t="s">
        <v>260</v>
      </c>
      <c r="F83" s="11"/>
    </row>
    <row r="84" spans="1:6" x14ac:dyDescent="0.3">
      <c r="A84" t="s">
        <v>453</v>
      </c>
      <c r="B84" t="s">
        <v>265</v>
      </c>
      <c r="C84" s="21">
        <f>0.15/C17</f>
        <v>9.9999999999999992E-2</v>
      </c>
      <c r="D84" t="s">
        <v>28</v>
      </c>
      <c r="E84" s="40" t="s">
        <v>266</v>
      </c>
      <c r="F84" s="11"/>
    </row>
    <row r="85" spans="1:6" x14ac:dyDescent="0.3">
      <c r="A85" t="s">
        <v>454</v>
      </c>
      <c r="B85" t="s">
        <v>268</v>
      </c>
      <c r="C85" s="29">
        <v>0.12</v>
      </c>
      <c r="D85" t="s">
        <v>28</v>
      </c>
      <c r="E85" s="40" t="s">
        <v>269</v>
      </c>
      <c r="F85" s="11"/>
    </row>
    <row r="86" spans="1:6" x14ac:dyDescent="0.3">
      <c r="A86" t="s">
        <v>455</v>
      </c>
      <c r="B86" t="s">
        <v>271</v>
      </c>
      <c r="C86" s="21">
        <f>IF(C38&lt;=600,0.0525,IF(C38&gt;=800,0.0375,0.0525+(C38-600)*(0.0375-0.0525)/200))</f>
        <v>5.2499999999999998E-2</v>
      </c>
      <c r="D86" t="s">
        <v>28</v>
      </c>
      <c r="E86" s="40" t="s">
        <v>550</v>
      </c>
      <c r="F86" s="11" t="s">
        <v>273</v>
      </c>
    </row>
    <row r="87" spans="1:6" x14ac:dyDescent="0.3">
      <c r="A87" t="s">
        <v>456</v>
      </c>
      <c r="B87" t="s">
        <v>275</v>
      </c>
      <c r="C87" s="21">
        <f>C86/C17*C83^1.5*SQRT(C15)</f>
        <v>0.37744383495769684</v>
      </c>
      <c r="D87" t="s">
        <v>43</v>
      </c>
      <c r="E87" s="40" t="s">
        <v>550</v>
      </c>
      <c r="F87" s="11"/>
    </row>
    <row r="88" spans="1:6" x14ac:dyDescent="0.3">
      <c r="A88" t="s">
        <v>457</v>
      </c>
      <c r="B88" t="s">
        <v>277</v>
      </c>
      <c r="C88" s="20">
        <f>(MAX(C84*C83*(100*C82*C15)^(1/3),C87)+C85*C81)*C80*C38/1000</f>
        <v>192.6617834101416</v>
      </c>
      <c r="D88" t="s">
        <v>11</v>
      </c>
      <c r="E88" s="40" t="s">
        <v>551</v>
      </c>
      <c r="F88" s="11"/>
    </row>
    <row r="89" spans="1:6" x14ac:dyDescent="0.3">
      <c r="A89" t="s">
        <v>458</v>
      </c>
      <c r="C89" t="str">
        <f>IF(C7&gt;C88,"JA  (V_Ed &gt; V_Rd,c)","NEIN  (V_Ed ≤ V_Rd,c) – Mindestbewehrung anordnen")</f>
        <v>JA  (V_Ed &gt; V_Rd,c)</v>
      </c>
      <c r="E89" s="40" t="s">
        <v>280</v>
      </c>
      <c r="F89" s="11"/>
    </row>
    <row r="90" spans="1:6" x14ac:dyDescent="0.3">
      <c r="A90" t="s">
        <v>459</v>
      </c>
      <c r="B90" t="s">
        <v>282</v>
      </c>
      <c r="C90" s="28">
        <f>-C6*1000/C35</f>
        <v>-3.5367765131532294</v>
      </c>
      <c r="D90" t="s">
        <v>43</v>
      </c>
      <c r="E90" s="40" t="s">
        <v>283</v>
      </c>
      <c r="F90" s="11" t="s">
        <v>460</v>
      </c>
    </row>
    <row r="91" spans="1:6" x14ac:dyDescent="0.3">
      <c r="A91" t="s">
        <v>461</v>
      </c>
      <c r="B91" t="s">
        <v>286</v>
      </c>
      <c r="C91" s="28">
        <f>0.5*0.48*C15^(1/3)*(1-1.2*C90/C24)*C80*C39/1000</f>
        <v>219.85486238876931</v>
      </c>
      <c r="D91" t="s">
        <v>11</v>
      </c>
      <c r="E91" s="40" t="s">
        <v>552</v>
      </c>
      <c r="F91" s="11"/>
    </row>
    <row r="92" spans="1:6" x14ac:dyDescent="0.3">
      <c r="A92" t="s">
        <v>462</v>
      </c>
      <c r="B92" t="s">
        <v>560</v>
      </c>
      <c r="C92" s="28">
        <f>IF(C7&lt;=0,1,IF((1-C91/C7)&lt;=0,3,MEDIAN(1,(1.2+1.4*C90/C24)/(1-C91/C7),3)))</f>
        <v>3</v>
      </c>
      <c r="D92" t="s">
        <v>28</v>
      </c>
      <c r="E92" s="40" t="s">
        <v>553</v>
      </c>
      <c r="F92" s="11"/>
    </row>
    <row r="93" spans="1:6" x14ac:dyDescent="0.3">
      <c r="A93" t="s">
        <v>463</v>
      </c>
      <c r="B93" t="s">
        <v>60</v>
      </c>
      <c r="C93" s="28">
        <f>IF(C21&gt;0,MEDIAN(1,C21,3),C92)</f>
        <v>3</v>
      </c>
      <c r="D93" t="s">
        <v>28</v>
      </c>
      <c r="E93" s="40" t="s">
        <v>283</v>
      </c>
      <c r="F93" s="11" t="s">
        <v>464</v>
      </c>
    </row>
    <row r="94" spans="1:6" x14ac:dyDescent="0.3">
      <c r="A94" t="s">
        <v>465</v>
      </c>
      <c r="B94" t="s">
        <v>293</v>
      </c>
      <c r="C94" s="30">
        <v>0.75</v>
      </c>
      <c r="D94" t="s">
        <v>28</v>
      </c>
      <c r="E94" s="40" t="s">
        <v>294</v>
      </c>
      <c r="F94" s="11"/>
    </row>
    <row r="95" spans="1:6" x14ac:dyDescent="0.3">
      <c r="A95" t="s">
        <v>466</v>
      </c>
      <c r="B95" t="s">
        <v>296</v>
      </c>
      <c r="C95" s="20">
        <f>C80*C39*C94*C24/(C93+1/C93)/1000</f>
        <v>768.40481013317083</v>
      </c>
      <c r="D95" t="s">
        <v>11</v>
      </c>
      <c r="E95" s="40" t="s">
        <v>554</v>
      </c>
      <c r="F95" s="11"/>
    </row>
    <row r="96" spans="1:6" x14ac:dyDescent="0.3">
      <c r="A96" t="s">
        <v>467</v>
      </c>
      <c r="C96" t="str">
        <f>IF(C7&lt;=C95,"OK","NICHT ERFÜLLT – D oder f_ck erhöhen")</f>
        <v>OK</v>
      </c>
      <c r="E96" s="40" t="s">
        <v>299</v>
      </c>
      <c r="F96" s="11"/>
    </row>
    <row r="97" spans="1:6" x14ac:dyDescent="0.3">
      <c r="A97" t="s">
        <v>468</v>
      </c>
      <c r="B97" t="s">
        <v>561</v>
      </c>
      <c r="C97" s="24">
        <f>C7*1000/(C39*C26*C93)</f>
        <v>0.57245216869968052</v>
      </c>
      <c r="D97" t="s">
        <v>302</v>
      </c>
      <c r="E97" s="40" t="s">
        <v>555</v>
      </c>
      <c r="F97" s="11" t="s">
        <v>304</v>
      </c>
    </row>
    <row r="98" spans="1:6" x14ac:dyDescent="0.3">
      <c r="A98" t="s">
        <v>469</v>
      </c>
      <c r="B98" t="s">
        <v>306</v>
      </c>
      <c r="C98" s="24">
        <f>0.16*C25/C16</f>
        <v>8.2078845440481415E-4</v>
      </c>
      <c r="D98" t="s">
        <v>28</v>
      </c>
      <c r="E98" s="40" t="s">
        <v>556</v>
      </c>
      <c r="F98" s="11" t="s">
        <v>308</v>
      </c>
    </row>
    <row r="99" spans="1:6" x14ac:dyDescent="0.3">
      <c r="A99" t="s">
        <v>470</v>
      </c>
      <c r="B99" t="s">
        <v>310</v>
      </c>
      <c r="C99" s="24">
        <f>C98*C80</f>
        <v>0.49247307264288848</v>
      </c>
      <c r="D99" t="s">
        <v>302</v>
      </c>
      <c r="E99" s="40" t="s">
        <v>311</v>
      </c>
      <c r="F99" s="11"/>
    </row>
    <row r="100" spans="1:6" x14ac:dyDescent="0.3">
      <c r="A100" s="8" t="s">
        <v>471</v>
      </c>
      <c r="B100" s="9" t="s">
        <v>561</v>
      </c>
      <c r="C100" s="31">
        <f>MAX(C97,C99)</f>
        <v>0.57245216869968052</v>
      </c>
      <c r="D100" s="9" t="s">
        <v>302</v>
      </c>
      <c r="E100" s="42"/>
      <c r="F100" s="13"/>
    </row>
    <row r="101" spans="1:6" x14ac:dyDescent="0.3">
      <c r="A101" t="s">
        <v>472</v>
      </c>
      <c r="B101" t="s">
        <v>315</v>
      </c>
      <c r="C101" s="20">
        <f>2*PI()*C13^2/4</f>
        <v>157.07963267948966</v>
      </c>
      <c r="D101" t="s">
        <v>93</v>
      </c>
      <c r="E101" s="40" t="s">
        <v>299</v>
      </c>
      <c r="F101" s="11" t="s">
        <v>473</v>
      </c>
    </row>
    <row r="102" spans="1:6" x14ac:dyDescent="0.3">
      <c r="A102" t="s">
        <v>474</v>
      </c>
      <c r="B102" t="s">
        <v>562</v>
      </c>
      <c r="C102" s="20">
        <f>C101/C100</f>
        <v>274.39782966722703</v>
      </c>
      <c r="D102" t="s">
        <v>21</v>
      </c>
      <c r="E102" s="40"/>
      <c r="F102" s="11"/>
    </row>
    <row r="103" spans="1:6" x14ac:dyDescent="0.3">
      <c r="A103" t="s">
        <v>475</v>
      </c>
      <c r="B103" t="s">
        <v>320</v>
      </c>
      <c r="C103" s="20">
        <f>IF(C7&lt;=0.3*C95,MIN(0.7*C9,300),IF(C7&lt;=0.6*C95,MIN(0.5*C9,300),MIN(0.25*C9,200)))</f>
        <v>300</v>
      </c>
      <c r="D103" t="s">
        <v>21</v>
      </c>
      <c r="E103" s="40" t="s">
        <v>321</v>
      </c>
      <c r="F103" s="11"/>
    </row>
    <row r="104" spans="1:6" x14ac:dyDescent="0.3">
      <c r="A104" s="8" t="s">
        <v>476</v>
      </c>
      <c r="B104" s="9" t="s">
        <v>562</v>
      </c>
      <c r="C104" s="27">
        <f>MIN(C102,C103)</f>
        <v>274.39782966722703</v>
      </c>
      <c r="D104" s="9" t="s">
        <v>21</v>
      </c>
      <c r="E104" s="42"/>
      <c r="F104" s="13" t="str">
        <f>"Wendel Ø"&amp;C13&amp;" mm alle "&amp;FLOOR(C104,10)&amp;" mm anordnen"</f>
        <v>Wendel Ø10 mm alle 270 mm anordnen</v>
      </c>
    </row>
    <row r="105" spans="1:6" x14ac:dyDescent="0.3">
      <c r="A105" t="s">
        <v>477</v>
      </c>
      <c r="C105" t="str">
        <f>IF(C14&lt;=C104,"OK","NICHT ERFÜLLT – Ganghöhe verringern oder Ø_w erhöhen")</f>
        <v>OK</v>
      </c>
      <c r="E105" s="40" t="s">
        <v>325</v>
      </c>
      <c r="F105" s="11"/>
    </row>
    <row r="106" spans="1:6" x14ac:dyDescent="0.3">
      <c r="A106" t="s">
        <v>478</v>
      </c>
      <c r="C106" t="str">
        <f>IF(C14-C13&gt;=100,"OK","PRÜFEN – lichter Abstand für Kontraktorrohr unzureichend")</f>
        <v>OK</v>
      </c>
      <c r="E106" s="40" t="s">
        <v>36</v>
      </c>
      <c r="F106" s="11"/>
    </row>
    <row r="107" spans="1:6" x14ac:dyDescent="0.3">
      <c r="F107" s="11"/>
    </row>
    <row r="108" spans="1:6" x14ac:dyDescent="0.3">
      <c r="A108" s="4" t="s">
        <v>479</v>
      </c>
      <c r="B108" s="4"/>
      <c r="C108" s="4"/>
      <c r="D108" s="4"/>
      <c r="E108" s="4"/>
      <c r="F108" s="12"/>
    </row>
    <row r="109" spans="1:6" x14ac:dyDescent="0.3">
      <c r="A109" t="s">
        <v>480</v>
      </c>
      <c r="C109" t="str">
        <f>TEXT(C6,"#,##0")&amp;" kN / "&amp;TEXT(C7,"#,##0")&amp;" kN / "&amp;TEXT(C56,"#,##0")&amp;" kNm"</f>
        <v>1,000 kN / 300 kN / 308 kNm</v>
      </c>
      <c r="F109" s="11"/>
    </row>
    <row r="110" spans="1:6" x14ac:dyDescent="0.3">
      <c r="A110" t="s">
        <v>481</v>
      </c>
      <c r="C110" t="str">
        <f>"Ø"&amp;C9&amp;" mm · C"&amp;C15&amp;" · B"&amp;C16&amp;" · c_nom = "&amp;C10&amp;" mm"</f>
        <v>Ø600 mm · C25 · B500 · c_nom = 50 mm</v>
      </c>
      <c r="F110" s="11"/>
    </row>
    <row r="111" spans="1:6" x14ac:dyDescent="0.3">
      <c r="A111" t="s">
        <v>482</v>
      </c>
      <c r="C111" t="str">
        <f>TEXT(C72,"#,##0")&amp;" mm² → "&amp;C11&amp;" Ø"&amp;C12&amp;" = "&amp;TEXT(C73,"#,##0")&amp;" mm²"</f>
        <v>1,746 mm² → 8 Ø20 = 2,513 mm²</v>
      </c>
      <c r="E111" t="s">
        <v>331</v>
      </c>
      <c r="F111" s="11"/>
    </row>
    <row r="112" spans="1:6" x14ac:dyDescent="0.3">
      <c r="A112" t="s">
        <v>483</v>
      </c>
      <c r="C112" t="str">
        <f>"Wendel Ø"&amp;C13&amp;" alle "&amp;FLOOR(C104,10)&amp;" mm  (gewählt: alle "&amp;C14&amp;" mm)"</f>
        <v>Wendel Ø10 alle 270 mm  (gewählt: alle 150 mm)</v>
      </c>
      <c r="E112" t="s">
        <v>333</v>
      </c>
      <c r="F112" s="11"/>
    </row>
    <row r="113" spans="1:6" x14ac:dyDescent="0.3">
      <c r="A113" t="s">
        <v>484</v>
      </c>
      <c r="C113" t="str">
        <f>C74</f>
        <v>OK</v>
      </c>
      <c r="F113" s="11"/>
    </row>
    <row r="114" spans="1:6" x14ac:dyDescent="0.3">
      <c r="A114" t="s">
        <v>438</v>
      </c>
      <c r="C114" t="str">
        <f>C75</f>
        <v>OK</v>
      </c>
      <c r="F114" s="11"/>
    </row>
    <row r="115" spans="1:6" x14ac:dyDescent="0.3">
      <c r="A115" t="s">
        <v>485</v>
      </c>
      <c r="C115" t="str">
        <f>C76</f>
        <v>OK</v>
      </c>
      <c r="F115" s="11"/>
    </row>
    <row r="116" spans="1:6" x14ac:dyDescent="0.3">
      <c r="A116" t="s">
        <v>486</v>
      </c>
      <c r="C116" t="str">
        <f>C77</f>
        <v>OK</v>
      </c>
      <c r="F116" s="11"/>
    </row>
    <row r="117" spans="1:6" x14ac:dyDescent="0.3">
      <c r="A117" t="s">
        <v>487</v>
      </c>
      <c r="C117" t="str">
        <f>C96</f>
        <v>OK</v>
      </c>
      <c r="F117" s="11"/>
    </row>
    <row r="118" spans="1:6" x14ac:dyDescent="0.3">
      <c r="A118" t="s">
        <v>488</v>
      </c>
      <c r="C118" t="str">
        <f>C105</f>
        <v>OK</v>
      </c>
      <c r="F118" s="11"/>
    </row>
    <row r="119" spans="1:6" ht="15.6" x14ac:dyDescent="0.3">
      <c r="A119" s="8" t="s">
        <v>489</v>
      </c>
      <c r="B119" s="9"/>
      <c r="C119" s="10" t="str">
        <f>IF(COUNTIF(C113:C118,"OK")=6,"ALLE NACHWEISE ERFÜLLT","PRÜFEN: nicht alle Nachweise erfüllt")</f>
        <v>ALLE NACHWEISE ERFÜLLT</v>
      </c>
      <c r="F119" s="11"/>
    </row>
    <row r="120" spans="1:6" x14ac:dyDescent="0.3">
      <c r="F120" s="11"/>
    </row>
    <row r="121" spans="1:6" x14ac:dyDescent="0.3">
      <c r="A121" s="4" t="s">
        <v>490</v>
      </c>
      <c r="B121" s="4"/>
      <c r="C121" s="4"/>
      <c r="D121" s="4"/>
      <c r="E121" s="4"/>
      <c r="F121" s="12"/>
    </row>
    <row r="122" spans="1:6" x14ac:dyDescent="0.3">
      <c r="A122" s="11" t="s">
        <v>342</v>
      </c>
      <c r="F122" s="11"/>
    </row>
    <row r="123" spans="1:6" x14ac:dyDescent="0.3">
      <c r="A123" s="11" t="s">
        <v>491</v>
      </c>
      <c r="F123" s="11"/>
    </row>
    <row r="124" spans="1:6" x14ac:dyDescent="0.3">
      <c r="A124" s="11" t="s">
        <v>492</v>
      </c>
      <c r="F124" s="11"/>
    </row>
    <row r="125" spans="1:6" x14ac:dyDescent="0.3">
      <c r="A125" s="11" t="s">
        <v>493</v>
      </c>
      <c r="F125" s="11"/>
    </row>
    <row r="126" spans="1:6" x14ac:dyDescent="0.3">
      <c r="A126" s="11" t="s">
        <v>494</v>
      </c>
      <c r="F126" s="11"/>
    </row>
    <row r="127" spans="1:6" x14ac:dyDescent="0.3">
      <c r="A127" s="11" t="s">
        <v>495</v>
      </c>
      <c r="F127" s="11"/>
    </row>
    <row r="128" spans="1:6" x14ac:dyDescent="0.3">
      <c r="A128" s="11" t="s">
        <v>496</v>
      </c>
      <c r="F128" s="11"/>
    </row>
    <row r="129" spans="1:6" x14ac:dyDescent="0.3">
      <c r="A129" s="11" t="s">
        <v>497</v>
      </c>
      <c r="F129" s="11"/>
    </row>
    <row r="130" spans="1:6" x14ac:dyDescent="0.3">
      <c r="A130" s="11" t="s">
        <v>498</v>
      </c>
      <c r="F130" s="11"/>
    </row>
    <row r="131" spans="1:6" x14ac:dyDescent="0.3">
      <c r="A131" s="11" t="s">
        <v>499</v>
      </c>
      <c r="F131" s="11"/>
    </row>
    <row r="132" spans="1:6" x14ac:dyDescent="0.3">
      <c r="A132" s="11" t="s">
        <v>500</v>
      </c>
      <c r="F132" s="11"/>
    </row>
    <row r="133" spans="1:6" x14ac:dyDescent="0.3">
      <c r="A133" s="11" t="s">
        <v>501</v>
      </c>
      <c r="F133" s="11"/>
    </row>
    <row r="134" spans="1:6" x14ac:dyDescent="0.3">
      <c r="A134" s="11" t="s">
        <v>502</v>
      </c>
      <c r="F134" s="11"/>
    </row>
    <row r="135" spans="1:6" x14ac:dyDescent="0.3">
      <c r="A135" s="11" t="s">
        <v>503</v>
      </c>
      <c r="F135" s="11"/>
    </row>
    <row r="136" spans="1:6" x14ac:dyDescent="0.3">
      <c r="A136" s="11" t="s">
        <v>356</v>
      </c>
      <c r="F136" s="11"/>
    </row>
    <row r="137" spans="1:6" x14ac:dyDescent="0.3">
      <c r="A137" s="11" t="s">
        <v>504</v>
      </c>
      <c r="F137" s="11"/>
    </row>
    <row r="138" spans="1:6" x14ac:dyDescent="0.3">
      <c r="A138" s="11" t="s">
        <v>505</v>
      </c>
      <c r="F138" s="11"/>
    </row>
    <row r="139" spans="1:6" x14ac:dyDescent="0.3">
      <c r="A139" s="11" t="s">
        <v>506</v>
      </c>
      <c r="F139" s="11"/>
    </row>
    <row r="140" spans="1:6" x14ac:dyDescent="0.3">
      <c r="A140" s="11"/>
      <c r="F140" s="11"/>
    </row>
    <row r="141" spans="1:6" ht="60" customHeight="1" x14ac:dyDescent="0.3">
      <c r="A141" s="77" t="s">
        <v>507</v>
      </c>
      <c r="B141" s="77"/>
      <c r="C141" s="77"/>
      <c r="D141" s="77"/>
      <c r="E141" s="77"/>
      <c r="F141" s="77"/>
    </row>
  </sheetData>
  <mergeCells count="1">
    <mergeCell ref="A141:F141"/>
  </mergeCells>
  <conditionalFormatting sqref="C64">
    <cfRule type="containsText" dxfId="131" priority="55" operator="containsText" text="NICHT ERFÜLLT">
      <formula>NOT(ISERROR(SEARCH("NICHT ERFÜLLT",C64)))</formula>
    </cfRule>
    <cfRule type="containsText" dxfId="130" priority="56" operator="containsText" text="PRÜFEN">
      <formula>NOT(ISERROR(SEARCH("PRÜFEN",C64)))</formula>
    </cfRule>
    <cfRule type="containsText" dxfId="129" priority="57" operator="containsText" text="AUSSERHALB DES GÜLTIGKEITSBEREICHS">
      <formula>NOT(ISERROR(SEARCH("AUSSERHALB DES GÜLTIGKEITSBEREICHS",C64)))</formula>
    </cfRule>
    <cfRule type="containsText" dxfId="128" priority="58" operator="containsText" text="nicht alle Nachweise">
      <formula>NOT(ISERROR(SEARCH("nicht alle Nachweise",C64)))</formula>
    </cfRule>
    <cfRule type="containsText" dxfId="127" priority="59" operator="containsText" text="OK">
      <formula>NOT(ISERROR(SEARCH("OK",C64)))</formula>
    </cfRule>
    <cfRule type="containsText" dxfId="126" priority="60" operator="containsText" text="ALLE NACHWEISE ERFÜLLT">
      <formula>NOT(ISERROR(SEARCH("ALLE NACHWEISE ERFÜLLT",C64)))</formula>
    </cfRule>
  </conditionalFormatting>
  <conditionalFormatting sqref="C74:C77">
    <cfRule type="containsText" dxfId="125" priority="31" operator="containsText" text="NICHT ERFÜLLT">
      <formula>NOT(ISERROR(SEARCH("NICHT ERFÜLLT",C74)))</formula>
    </cfRule>
    <cfRule type="containsText" dxfId="124" priority="32" operator="containsText" text="PRÜFEN">
      <formula>NOT(ISERROR(SEARCH("PRÜFEN",C74)))</formula>
    </cfRule>
    <cfRule type="containsText" dxfId="123" priority="33" operator="containsText" text="AUSSERHALB DES GÜLTIGKEITSBEREICHS">
      <formula>NOT(ISERROR(SEARCH("AUSSERHALB DES GÜLTIGKEITSBEREICHS",C74)))</formula>
    </cfRule>
    <cfRule type="containsText" dxfId="122" priority="34" operator="containsText" text="nicht alle Nachweise">
      <formula>NOT(ISERROR(SEARCH("nicht alle Nachweise",C74)))</formula>
    </cfRule>
    <cfRule type="containsText" dxfId="121" priority="35" operator="containsText" text="OK">
      <formula>NOT(ISERROR(SEARCH("OK",C74)))</formula>
    </cfRule>
    <cfRule type="containsText" dxfId="120" priority="36" operator="containsText" text="ALLE NACHWEISE ERFÜLLT">
      <formula>NOT(ISERROR(SEARCH("ALLE NACHWEISE ERFÜLLT",C74)))</formula>
    </cfRule>
  </conditionalFormatting>
  <conditionalFormatting sqref="C96">
    <cfRule type="containsText" dxfId="119" priority="37" operator="containsText" text="NICHT ERFÜLLT">
      <formula>NOT(ISERROR(SEARCH("NICHT ERFÜLLT",C96)))</formula>
    </cfRule>
    <cfRule type="containsText" dxfId="118" priority="38" operator="containsText" text="PRÜFEN">
      <formula>NOT(ISERROR(SEARCH("PRÜFEN",C96)))</formula>
    </cfRule>
    <cfRule type="containsText" dxfId="117" priority="39" operator="containsText" text="AUSSERHALB DES GÜLTIGKEITSBEREICHS">
      <formula>NOT(ISERROR(SEARCH("AUSSERHALB DES GÜLTIGKEITSBEREICHS",C96)))</formula>
    </cfRule>
    <cfRule type="containsText" dxfId="116" priority="40" operator="containsText" text="nicht alle Nachweise">
      <formula>NOT(ISERROR(SEARCH("nicht alle Nachweise",C96)))</formula>
    </cfRule>
    <cfRule type="containsText" dxfId="115" priority="41" operator="containsText" text="OK">
      <formula>NOT(ISERROR(SEARCH("OK",C96)))</formula>
    </cfRule>
    <cfRule type="containsText" dxfId="114" priority="42" operator="containsText" text="ALLE NACHWEISE ERFÜLLT">
      <formula>NOT(ISERROR(SEARCH("ALLE NACHWEISE ERFÜLLT",C96)))</formula>
    </cfRule>
  </conditionalFormatting>
  <conditionalFormatting sqref="C105:C106">
    <cfRule type="containsText" dxfId="113" priority="43" operator="containsText" text="NICHT ERFÜLLT">
      <formula>NOT(ISERROR(SEARCH("NICHT ERFÜLLT",C105)))</formula>
    </cfRule>
    <cfRule type="containsText" dxfId="112" priority="44" operator="containsText" text="PRÜFEN">
      <formula>NOT(ISERROR(SEARCH("PRÜFEN",C105)))</formula>
    </cfRule>
    <cfRule type="containsText" dxfId="111" priority="45" operator="containsText" text="AUSSERHALB DES GÜLTIGKEITSBEREICHS">
      <formula>NOT(ISERROR(SEARCH("AUSSERHALB DES GÜLTIGKEITSBEREICHS",C105)))</formula>
    </cfRule>
    <cfRule type="containsText" dxfId="110" priority="46" operator="containsText" text="nicht alle Nachweise">
      <formula>NOT(ISERROR(SEARCH("nicht alle Nachweise",C105)))</formula>
    </cfRule>
    <cfRule type="containsText" dxfId="109" priority="47" operator="containsText" text="OK">
      <formula>NOT(ISERROR(SEARCH("OK",C105)))</formula>
    </cfRule>
    <cfRule type="containsText" dxfId="108" priority="48" operator="containsText" text="ALLE NACHWEISE ERFÜLLT">
      <formula>NOT(ISERROR(SEARCH("ALLE NACHWEISE ERFÜLLT",C105)))</formula>
    </cfRule>
  </conditionalFormatting>
  <conditionalFormatting sqref="C113:C119">
    <cfRule type="containsText" dxfId="107" priority="49" operator="containsText" text="NICHT ERFÜLLT">
      <formula>NOT(ISERROR(SEARCH("NICHT ERFÜLLT",C113)))</formula>
    </cfRule>
    <cfRule type="containsText" dxfId="106" priority="50" operator="containsText" text="PRÜFEN">
      <formula>NOT(ISERROR(SEARCH("PRÜFEN",C113)))</formula>
    </cfRule>
    <cfRule type="containsText" dxfId="105" priority="51" operator="containsText" text="AUSSERHALB DES GÜLTIGKEITSBEREICHS">
      <formula>NOT(ISERROR(SEARCH("AUSSERHALB DES GÜLTIGKEITSBEREICHS",C113)))</formula>
    </cfRule>
    <cfRule type="containsText" dxfId="104" priority="52" operator="containsText" text="nicht alle Nachweise">
      <formula>NOT(ISERROR(SEARCH("nicht alle Nachweise",C113)))</formula>
    </cfRule>
    <cfRule type="containsText" dxfId="103" priority="53" operator="containsText" text="OK">
      <formula>NOT(ISERROR(SEARCH("OK",C113)))</formula>
    </cfRule>
    <cfRule type="containsText" dxfId="102" priority="54" operator="containsText" text="ALLE NACHWEISE ERFÜLLT">
      <formula>NOT(ISERROR(SEARCH("ALLE NACHWEISE ERFÜLLT",C113)))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0659799-3D97-4B47-AAFA-A6E3A40B9BCF}">
          <x14:formula1>
            <xm:f>Aceros_DIN!$A$35:$A$43</xm:f>
          </x14:formula1>
          <xm:sqref>F15</xm:sqref>
        </x14:dataValidation>
        <x14:dataValidation type="list" allowBlank="1" showInputMessage="1" showErrorMessage="1" xr:uid="{3C17177C-BC29-4C1F-AB22-E63A3D4B4F36}">
          <x14:formula1>
            <xm:f>Aceros_DIN!$A$47:$A$49</xm:f>
          </x14:formula1>
          <xm:sqref>F16</xm:sqref>
        </x14:dataValidation>
        <x14:dataValidation type="list" allowBlank="1" showInputMessage="1" showErrorMessage="1" xr:uid="{CF0E4272-9239-449E-91FD-8D35139F50F4}">
          <x14:formula1>
            <xm:f>Aceros_DIN!$B$6:$B$16</xm:f>
          </x14:formula1>
          <xm:sqref>C12 C13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BD1D-FF24-4A31-BDB7-41E7681F7B7B}">
  <sheetPr>
    <tabColor rgb="FFC00000"/>
  </sheetPr>
  <dimension ref="A1:W141"/>
  <sheetViews>
    <sheetView tabSelected="1" workbookViewId="0">
      <pane ySplit="5" topLeftCell="A16" activePane="bottomLeft" state="frozen"/>
      <selection pane="bottomLeft" activeCell="F10" sqref="F10"/>
    </sheetView>
  </sheetViews>
  <sheetFormatPr defaultRowHeight="14.4" x14ac:dyDescent="0.3"/>
  <cols>
    <col min="1" max="1" width="57.109375" customWidth="1"/>
    <col min="2" max="2" width="15.33203125" customWidth="1"/>
    <col min="3" max="3" width="42.44140625" customWidth="1"/>
    <col min="4" max="4" width="10.44140625" customWidth="1"/>
    <col min="5" max="5" width="43.88671875" customWidth="1"/>
    <col min="6" max="6" width="72.44140625" customWidth="1"/>
  </cols>
  <sheetData>
    <row r="1" spans="1:23" ht="18" x14ac:dyDescent="0.35">
      <c r="A1" s="32" t="s">
        <v>362</v>
      </c>
      <c r="B1" s="33"/>
      <c r="C1" s="33"/>
      <c r="D1" s="33"/>
      <c r="E1" s="33"/>
      <c r="F1" s="33"/>
    </row>
    <row r="2" spans="1:23" x14ac:dyDescent="0.3">
      <c r="A2" s="34" t="s">
        <v>1250</v>
      </c>
      <c r="B2" s="33"/>
      <c r="C2" s="33"/>
      <c r="D2" s="33"/>
      <c r="E2" s="33"/>
      <c r="F2" s="33"/>
      <c r="Q2" t="s">
        <v>926</v>
      </c>
      <c r="R2" t="s">
        <v>918</v>
      </c>
      <c r="S2" t="s">
        <v>919</v>
      </c>
      <c r="T2" t="s">
        <v>927</v>
      </c>
      <c r="U2" t="s">
        <v>928</v>
      </c>
      <c r="V2" t="s">
        <v>929</v>
      </c>
      <c r="W2" t="s">
        <v>930</v>
      </c>
    </row>
    <row r="3" spans="1:23" x14ac:dyDescent="0.3">
      <c r="Q3">
        <f>(ROW()-3)*10</f>
        <v>0</v>
      </c>
      <c r="R3">
        <f>$C$34+$C$34*COS(RADIANS(Q3))</f>
        <v>600</v>
      </c>
      <c r="S3">
        <f>$C$34+$C$34*SIN(RADIANS(Q3))</f>
        <v>300</v>
      </c>
      <c r="T3">
        <f>$C$34+($C$34-$C$10)*COS(RADIANS(Q3))</f>
        <v>550</v>
      </c>
      <c r="U3">
        <f>$C$34+($C$34-$C$10)*SIN(RADIANS(Q3))</f>
        <v>300</v>
      </c>
      <c r="V3">
        <f>IF(ROW()-2&lt;=$C$11,$C$34+$C$37*COS(RADIANS((ROW()-3)*360/$C$11)),NA())</f>
        <v>530</v>
      </c>
      <c r="W3">
        <f>IF(ROW()-2&lt;=$C$11,$C$34+$C$37*SIN(RADIANS((ROW()-3)*360/$C$11)),NA())</f>
        <v>300</v>
      </c>
    </row>
    <row r="4" spans="1:23" x14ac:dyDescent="0.3">
      <c r="A4" s="4" t="s">
        <v>364</v>
      </c>
      <c r="B4" s="4"/>
      <c r="C4" s="4"/>
      <c r="D4" s="4"/>
      <c r="E4" s="4"/>
      <c r="F4" s="4"/>
      <c r="Q4">
        <f t="shared" ref="Q4:Q39" si="0">(ROW()-3)*10</f>
        <v>10</v>
      </c>
      <c r="R4">
        <f t="shared" ref="R4:R39" si="1">$C$34+$C$34*COS(RADIANS(Q4))</f>
        <v>595.44232590366232</v>
      </c>
      <c r="S4">
        <f t="shared" ref="S4:S39" si="2">$C$34+$C$34*SIN(RADIANS(Q4))</f>
        <v>352.09445330007912</v>
      </c>
      <c r="T4">
        <f t="shared" ref="T4:T39" si="3">$C$34+($C$34-$C$10)*COS(RADIANS(Q4))</f>
        <v>546.20193825305205</v>
      </c>
      <c r="U4">
        <f t="shared" ref="U4:U39" si="4">$C$34+($C$34-$C$10)*SIN(RADIANS(Q4))</f>
        <v>343.41204441673256</v>
      </c>
      <c r="V4">
        <f t="shared" ref="V4:V26" si="5">IF(ROW()-2&lt;=$C$11,$C$34+$C$37*COS(RADIANS((ROW()-3)*360/$C$11)),NA())</f>
        <v>462.63455967290594</v>
      </c>
      <c r="W4">
        <f t="shared" ref="W4:W26" si="6">IF(ROW()-2&lt;=$C$11,$C$34+$C$37*SIN(RADIANS((ROW()-3)*360/$C$11)),NA())</f>
        <v>462.63455967290588</v>
      </c>
    </row>
    <row r="5" spans="1:23" x14ac:dyDescent="0.3">
      <c r="A5" s="5" t="s">
        <v>365</v>
      </c>
      <c r="B5" s="5" t="s">
        <v>366</v>
      </c>
      <c r="C5" s="5" t="s">
        <v>367</v>
      </c>
      <c r="D5" s="5" t="s">
        <v>368</v>
      </c>
      <c r="E5" s="5" t="s">
        <v>369</v>
      </c>
      <c r="F5" s="5" t="s">
        <v>370</v>
      </c>
      <c r="Q5">
        <f t="shared" si="0"/>
        <v>20</v>
      </c>
      <c r="R5">
        <f t="shared" si="1"/>
        <v>581.90778623577251</v>
      </c>
      <c r="S5">
        <f t="shared" si="2"/>
        <v>402.60604299770063</v>
      </c>
      <c r="T5">
        <f t="shared" si="3"/>
        <v>534.92315519647707</v>
      </c>
      <c r="U5">
        <f t="shared" si="4"/>
        <v>385.50503583141716</v>
      </c>
      <c r="V5">
        <f t="shared" si="5"/>
        <v>300</v>
      </c>
      <c r="W5">
        <f t="shared" si="6"/>
        <v>530</v>
      </c>
    </row>
    <row r="6" spans="1:23" x14ac:dyDescent="0.3">
      <c r="A6" t="s">
        <v>371</v>
      </c>
      <c r="B6" t="s">
        <v>10</v>
      </c>
      <c r="C6" s="14">
        <v>1000</v>
      </c>
      <c r="D6" t="s">
        <v>11</v>
      </c>
      <c r="E6" s="40" t="s">
        <v>361</v>
      </c>
      <c r="F6" s="11" t="s">
        <v>372</v>
      </c>
      <c r="Q6">
        <f t="shared" si="0"/>
        <v>30</v>
      </c>
      <c r="R6">
        <f t="shared" si="1"/>
        <v>559.8076211353316</v>
      </c>
      <c r="S6">
        <f t="shared" si="2"/>
        <v>450</v>
      </c>
      <c r="T6">
        <f t="shared" si="3"/>
        <v>516.50635094610971</v>
      </c>
      <c r="U6">
        <f t="shared" si="4"/>
        <v>425</v>
      </c>
      <c r="V6">
        <f t="shared" si="5"/>
        <v>137.36544032709409</v>
      </c>
      <c r="W6">
        <f t="shared" si="6"/>
        <v>462.63455967290594</v>
      </c>
    </row>
    <row r="7" spans="1:23" x14ac:dyDescent="0.3">
      <c r="A7" t="s">
        <v>373</v>
      </c>
      <c r="B7" t="s">
        <v>14</v>
      </c>
      <c r="C7" s="14">
        <v>300</v>
      </c>
      <c r="D7" t="s">
        <v>11</v>
      </c>
      <c r="E7" s="40" t="s">
        <v>15</v>
      </c>
      <c r="F7" s="11"/>
      <c r="Q7">
        <f t="shared" si="0"/>
        <v>40</v>
      </c>
      <c r="R7">
        <f t="shared" si="1"/>
        <v>529.81333293569344</v>
      </c>
      <c r="S7">
        <f t="shared" si="2"/>
        <v>492.83628290596175</v>
      </c>
      <c r="T7">
        <f t="shared" si="3"/>
        <v>491.51111077974451</v>
      </c>
      <c r="U7">
        <f t="shared" si="4"/>
        <v>460.69690242163483</v>
      </c>
      <c r="V7">
        <f t="shared" si="5"/>
        <v>70</v>
      </c>
      <c r="W7">
        <f t="shared" si="6"/>
        <v>300</v>
      </c>
    </row>
    <row r="8" spans="1:23" x14ac:dyDescent="0.3">
      <c r="A8" t="s">
        <v>374</v>
      </c>
      <c r="B8" t="s">
        <v>17</v>
      </c>
      <c r="C8" s="14">
        <v>300</v>
      </c>
      <c r="D8" t="s">
        <v>18</v>
      </c>
      <c r="E8" s="40" t="s">
        <v>361</v>
      </c>
      <c r="F8" s="11"/>
      <c r="Q8">
        <f t="shared" si="0"/>
        <v>50</v>
      </c>
      <c r="R8">
        <f t="shared" si="1"/>
        <v>492.83628290596181</v>
      </c>
      <c r="S8">
        <f t="shared" si="2"/>
        <v>529.81333293569344</v>
      </c>
      <c r="T8">
        <f t="shared" si="3"/>
        <v>460.69690242163483</v>
      </c>
      <c r="U8">
        <f t="shared" si="4"/>
        <v>491.51111077974451</v>
      </c>
      <c r="V8">
        <f t="shared" si="5"/>
        <v>137.36544032709403</v>
      </c>
      <c r="W8">
        <f t="shared" si="6"/>
        <v>137.36544032709409</v>
      </c>
    </row>
    <row r="9" spans="1:23" x14ac:dyDescent="0.3">
      <c r="A9" t="s">
        <v>375</v>
      </c>
      <c r="B9" t="s">
        <v>20</v>
      </c>
      <c r="C9" s="14">
        <v>600</v>
      </c>
      <c r="D9" t="s">
        <v>21</v>
      </c>
      <c r="E9" s="40" t="s">
        <v>22</v>
      </c>
      <c r="F9" s="11"/>
      <c r="Q9">
        <f t="shared" si="0"/>
        <v>60</v>
      </c>
      <c r="R9">
        <f t="shared" si="1"/>
        <v>450</v>
      </c>
      <c r="S9">
        <f t="shared" si="2"/>
        <v>559.8076211353316</v>
      </c>
      <c r="T9">
        <f t="shared" si="3"/>
        <v>425</v>
      </c>
      <c r="U9">
        <f t="shared" si="4"/>
        <v>516.50635094610971</v>
      </c>
      <c r="V9">
        <f t="shared" si="5"/>
        <v>299.99999999999994</v>
      </c>
      <c r="W9">
        <f t="shared" si="6"/>
        <v>70</v>
      </c>
    </row>
    <row r="10" spans="1:23" x14ac:dyDescent="0.3">
      <c r="A10" t="s">
        <v>376</v>
      </c>
      <c r="B10" t="s">
        <v>24</v>
      </c>
      <c r="C10" s="14">
        <v>50</v>
      </c>
      <c r="D10" t="s">
        <v>21</v>
      </c>
      <c r="E10" s="40" t="s">
        <v>25</v>
      </c>
      <c r="Q10">
        <f t="shared" si="0"/>
        <v>70</v>
      </c>
      <c r="R10">
        <f t="shared" si="1"/>
        <v>402.60604299770063</v>
      </c>
      <c r="S10">
        <f t="shared" si="2"/>
        <v>581.90778623577251</v>
      </c>
      <c r="T10">
        <f t="shared" si="3"/>
        <v>385.50503583141722</v>
      </c>
      <c r="U10">
        <f t="shared" si="4"/>
        <v>534.92315519647707</v>
      </c>
      <c r="V10">
        <f t="shared" si="5"/>
        <v>462.63455967290588</v>
      </c>
      <c r="W10">
        <f t="shared" si="6"/>
        <v>137.36544032709403</v>
      </c>
    </row>
    <row r="11" spans="1:23" x14ac:dyDescent="0.3">
      <c r="A11" t="s">
        <v>377</v>
      </c>
      <c r="B11" t="s">
        <v>27</v>
      </c>
      <c r="C11" s="14">
        <v>8</v>
      </c>
      <c r="D11" t="s">
        <v>28</v>
      </c>
      <c r="E11" s="40" t="s">
        <v>29</v>
      </c>
      <c r="F11" s="11" t="s">
        <v>378</v>
      </c>
      <c r="Q11">
        <f t="shared" si="0"/>
        <v>80</v>
      </c>
      <c r="R11">
        <f t="shared" si="1"/>
        <v>352.09445330007912</v>
      </c>
      <c r="S11">
        <f t="shared" si="2"/>
        <v>595.44232590366232</v>
      </c>
      <c r="T11">
        <f t="shared" si="3"/>
        <v>343.41204441673261</v>
      </c>
      <c r="U11">
        <f t="shared" si="4"/>
        <v>546.20193825305205</v>
      </c>
      <c r="V11" t="e">
        <f t="shared" si="5"/>
        <v>#N/A</v>
      </c>
      <c r="W11" t="e">
        <f t="shared" si="6"/>
        <v>#N/A</v>
      </c>
    </row>
    <row r="12" spans="1:23" x14ac:dyDescent="0.3">
      <c r="A12" t="s">
        <v>379</v>
      </c>
      <c r="B12" t="s">
        <v>32</v>
      </c>
      <c r="C12" s="101">
        <v>20</v>
      </c>
      <c r="D12" t="s">
        <v>21</v>
      </c>
      <c r="E12" s="40" t="s">
        <v>29</v>
      </c>
      <c r="F12" s="11" t="s">
        <v>33</v>
      </c>
      <c r="Q12">
        <f t="shared" si="0"/>
        <v>90</v>
      </c>
      <c r="R12">
        <f t="shared" si="1"/>
        <v>300</v>
      </c>
      <c r="S12">
        <f t="shared" si="2"/>
        <v>600</v>
      </c>
      <c r="T12">
        <f t="shared" si="3"/>
        <v>300</v>
      </c>
      <c r="U12">
        <f t="shared" si="4"/>
        <v>550</v>
      </c>
      <c r="V12" t="e">
        <f t="shared" si="5"/>
        <v>#N/A</v>
      </c>
      <c r="W12" t="e">
        <f t="shared" si="6"/>
        <v>#N/A</v>
      </c>
    </row>
    <row r="13" spans="1:23" x14ac:dyDescent="0.3">
      <c r="A13" t="s">
        <v>380</v>
      </c>
      <c r="B13" t="s">
        <v>35</v>
      </c>
      <c r="C13" s="101">
        <v>10</v>
      </c>
      <c r="D13" t="s">
        <v>21</v>
      </c>
      <c r="E13" s="40" t="s">
        <v>36</v>
      </c>
      <c r="F13" s="11" t="s">
        <v>37</v>
      </c>
      <c r="Q13">
        <f t="shared" si="0"/>
        <v>100</v>
      </c>
      <c r="R13">
        <f t="shared" si="1"/>
        <v>247.9055466999209</v>
      </c>
      <c r="S13">
        <f t="shared" si="2"/>
        <v>595.44232590366232</v>
      </c>
      <c r="T13">
        <f t="shared" si="3"/>
        <v>256.58795558326744</v>
      </c>
      <c r="U13">
        <f t="shared" si="4"/>
        <v>546.20193825305205</v>
      </c>
      <c r="V13" t="e">
        <f t="shared" si="5"/>
        <v>#N/A</v>
      </c>
      <c r="W13" t="e">
        <f t="shared" si="6"/>
        <v>#N/A</v>
      </c>
    </row>
    <row r="14" spans="1:23" x14ac:dyDescent="0.3">
      <c r="A14" t="s">
        <v>381</v>
      </c>
      <c r="B14" t="s">
        <v>39</v>
      </c>
      <c r="C14" s="14">
        <v>150</v>
      </c>
      <c r="D14" t="s">
        <v>21</v>
      </c>
      <c r="E14" s="40" t="s">
        <v>40</v>
      </c>
      <c r="F14" s="11"/>
      <c r="Q14">
        <f t="shared" si="0"/>
        <v>110</v>
      </c>
      <c r="R14">
        <f t="shared" si="1"/>
        <v>197.39395700229937</v>
      </c>
      <c r="S14">
        <f t="shared" si="2"/>
        <v>581.90778623577251</v>
      </c>
      <c r="T14">
        <f t="shared" si="3"/>
        <v>214.49496416858284</v>
      </c>
      <c r="U14">
        <f t="shared" si="4"/>
        <v>534.92315519647707</v>
      </c>
      <c r="V14" t="e">
        <f t="shared" si="5"/>
        <v>#N/A</v>
      </c>
      <c r="W14" t="e">
        <f t="shared" si="6"/>
        <v>#N/A</v>
      </c>
    </row>
    <row r="15" spans="1:23" x14ac:dyDescent="0.3">
      <c r="A15" t="s">
        <v>382</v>
      </c>
      <c r="B15" t="s">
        <v>42</v>
      </c>
      <c r="C15" s="91">
        <f>_xlfn.XLOOKUP(F15,Aceros_DIN!$A$35:$A$43,Aceros_DIN!$B$35:$B$43)</f>
        <v>25</v>
      </c>
      <c r="D15" t="s">
        <v>43</v>
      </c>
      <c r="E15" s="40" t="s">
        <v>44</v>
      </c>
      <c r="F15" s="89" t="s">
        <v>952</v>
      </c>
      <c r="Q15">
        <f t="shared" si="0"/>
        <v>120</v>
      </c>
      <c r="R15">
        <f t="shared" si="1"/>
        <v>150.00000000000006</v>
      </c>
      <c r="S15">
        <f t="shared" si="2"/>
        <v>559.8076211353316</v>
      </c>
      <c r="T15">
        <f t="shared" si="3"/>
        <v>175.00000000000006</v>
      </c>
      <c r="U15">
        <f t="shared" si="4"/>
        <v>516.50635094610971</v>
      </c>
      <c r="V15" t="e">
        <f t="shared" si="5"/>
        <v>#N/A</v>
      </c>
      <c r="W15" t="e">
        <f t="shared" si="6"/>
        <v>#N/A</v>
      </c>
    </row>
    <row r="16" spans="1:23" x14ac:dyDescent="0.3">
      <c r="A16" t="s">
        <v>383</v>
      </c>
      <c r="B16" t="s">
        <v>46</v>
      </c>
      <c r="C16" s="91">
        <f>_xlfn.XLOOKUP(F16,Aceros_DIN!$A$47:$A$49,Aceros_DIN!$B$47:$B$49)</f>
        <v>500</v>
      </c>
      <c r="D16" t="s">
        <v>43</v>
      </c>
      <c r="E16" s="40" t="s">
        <v>47</v>
      </c>
      <c r="F16" s="89" t="s">
        <v>966</v>
      </c>
      <c r="Q16">
        <f t="shared" si="0"/>
        <v>130</v>
      </c>
      <c r="R16">
        <f t="shared" si="1"/>
        <v>107.16371709403819</v>
      </c>
      <c r="S16">
        <f t="shared" si="2"/>
        <v>529.81333293569344</v>
      </c>
      <c r="T16">
        <f t="shared" si="3"/>
        <v>139.30309757836517</v>
      </c>
      <c r="U16">
        <f t="shared" si="4"/>
        <v>491.51111077974451</v>
      </c>
      <c r="V16" t="e">
        <f t="shared" si="5"/>
        <v>#N/A</v>
      </c>
      <c r="W16" t="e">
        <f t="shared" si="6"/>
        <v>#N/A</v>
      </c>
    </row>
    <row r="17" spans="1:23" x14ac:dyDescent="0.3">
      <c r="A17" t="s">
        <v>384</v>
      </c>
      <c r="B17" t="s">
        <v>49</v>
      </c>
      <c r="C17" s="15">
        <v>1.5</v>
      </c>
      <c r="D17" t="s">
        <v>28</v>
      </c>
      <c r="E17" s="40" t="s">
        <v>50</v>
      </c>
      <c r="F17" s="11"/>
      <c r="Q17">
        <f t="shared" si="0"/>
        <v>140</v>
      </c>
      <c r="R17">
        <f t="shared" si="1"/>
        <v>70.186667064306619</v>
      </c>
      <c r="S17">
        <f t="shared" si="2"/>
        <v>492.83628290596187</v>
      </c>
      <c r="T17">
        <f t="shared" si="3"/>
        <v>108.48888922025552</v>
      </c>
      <c r="U17">
        <f t="shared" si="4"/>
        <v>460.69690242163483</v>
      </c>
      <c r="V17" t="e">
        <f t="shared" si="5"/>
        <v>#N/A</v>
      </c>
      <c r="W17" t="e">
        <f t="shared" si="6"/>
        <v>#N/A</v>
      </c>
    </row>
    <row r="18" spans="1:23" x14ac:dyDescent="0.3">
      <c r="A18" t="s">
        <v>385</v>
      </c>
      <c r="B18" t="s">
        <v>52</v>
      </c>
      <c r="C18" s="15">
        <v>1.1499999999999999</v>
      </c>
      <c r="D18" t="s">
        <v>28</v>
      </c>
      <c r="E18" s="40" t="s">
        <v>50</v>
      </c>
      <c r="F18" s="11"/>
      <c r="Q18">
        <f t="shared" si="0"/>
        <v>150</v>
      </c>
      <c r="R18">
        <f t="shared" si="1"/>
        <v>40.192378864668399</v>
      </c>
      <c r="S18">
        <f t="shared" si="2"/>
        <v>450</v>
      </c>
      <c r="T18">
        <f t="shared" si="3"/>
        <v>83.493649053890323</v>
      </c>
      <c r="U18">
        <f t="shared" si="4"/>
        <v>425</v>
      </c>
      <c r="V18" t="e">
        <f t="shared" si="5"/>
        <v>#N/A</v>
      </c>
      <c r="W18" t="e">
        <f t="shared" si="6"/>
        <v>#N/A</v>
      </c>
    </row>
    <row r="19" spans="1:23" x14ac:dyDescent="0.3">
      <c r="A19" t="s">
        <v>1174</v>
      </c>
      <c r="B19" t="s">
        <v>1037</v>
      </c>
      <c r="C19" s="15">
        <v>1</v>
      </c>
      <c r="D19" t="s">
        <v>28</v>
      </c>
      <c r="E19" s="40" t="s">
        <v>1038</v>
      </c>
      <c r="F19" s="11" t="s">
        <v>1175</v>
      </c>
      <c r="Q19">
        <f t="shared" si="0"/>
        <v>160</v>
      </c>
      <c r="R19">
        <f t="shared" si="1"/>
        <v>18.092213764227495</v>
      </c>
      <c r="S19">
        <f t="shared" si="2"/>
        <v>402.60604299770068</v>
      </c>
      <c r="T19">
        <f t="shared" si="3"/>
        <v>65.076844803522931</v>
      </c>
      <c r="U19">
        <f t="shared" si="4"/>
        <v>385.50503583141722</v>
      </c>
      <c r="V19" t="e">
        <f t="shared" si="5"/>
        <v>#N/A</v>
      </c>
      <c r="W19" t="e">
        <f t="shared" si="6"/>
        <v>#N/A</v>
      </c>
    </row>
    <row r="20" spans="1:23" x14ac:dyDescent="0.3">
      <c r="A20" t="s">
        <v>387</v>
      </c>
      <c r="B20" t="s">
        <v>57</v>
      </c>
      <c r="C20" s="14">
        <v>3000</v>
      </c>
      <c r="D20" t="s">
        <v>21</v>
      </c>
      <c r="E20" s="40" t="s">
        <v>58</v>
      </c>
      <c r="F20" s="11"/>
      <c r="Q20">
        <f t="shared" si="0"/>
        <v>170</v>
      </c>
      <c r="R20">
        <f t="shared" si="1"/>
        <v>4.557674096337621</v>
      </c>
      <c r="S20">
        <f t="shared" si="2"/>
        <v>352.09445330007907</v>
      </c>
      <c r="T20">
        <f t="shared" si="3"/>
        <v>53.798061746948008</v>
      </c>
      <c r="U20">
        <f t="shared" si="4"/>
        <v>343.41204441673256</v>
      </c>
      <c r="V20" t="e">
        <f t="shared" si="5"/>
        <v>#N/A</v>
      </c>
      <c r="W20" t="e">
        <f t="shared" si="6"/>
        <v>#N/A</v>
      </c>
    </row>
    <row r="21" spans="1:23" x14ac:dyDescent="0.3">
      <c r="A21" t="s">
        <v>388</v>
      </c>
      <c r="B21" t="s">
        <v>60</v>
      </c>
      <c r="C21" s="15">
        <v>0</v>
      </c>
      <c r="D21" t="s">
        <v>28</v>
      </c>
      <c r="E21" s="40" t="s">
        <v>61</v>
      </c>
      <c r="F21" s="11"/>
      <c r="Q21">
        <f t="shared" si="0"/>
        <v>180</v>
      </c>
      <c r="R21">
        <f t="shared" si="1"/>
        <v>0</v>
      </c>
      <c r="S21">
        <f t="shared" si="2"/>
        <v>300.00000000000006</v>
      </c>
      <c r="T21">
        <f t="shared" si="3"/>
        <v>50</v>
      </c>
      <c r="U21">
        <f t="shared" si="4"/>
        <v>300.00000000000006</v>
      </c>
      <c r="V21" t="e">
        <f t="shared" si="5"/>
        <v>#N/A</v>
      </c>
      <c r="W21" t="e">
        <f t="shared" si="6"/>
        <v>#N/A</v>
      </c>
    </row>
    <row r="22" spans="1:23" x14ac:dyDescent="0.3">
      <c r="E22" s="40"/>
      <c r="F22" s="11"/>
      <c r="Q22">
        <f t="shared" si="0"/>
        <v>190</v>
      </c>
      <c r="R22">
        <f t="shared" si="1"/>
        <v>4.557674096337621</v>
      </c>
      <c r="S22">
        <f t="shared" si="2"/>
        <v>247.90554669992088</v>
      </c>
      <c r="T22">
        <f t="shared" si="3"/>
        <v>53.798061746948008</v>
      </c>
      <c r="U22">
        <f t="shared" si="4"/>
        <v>256.58795558326739</v>
      </c>
      <c r="V22" t="e">
        <f t="shared" si="5"/>
        <v>#N/A</v>
      </c>
      <c r="W22" t="e">
        <f t="shared" si="6"/>
        <v>#N/A</v>
      </c>
    </row>
    <row r="23" spans="1:23" x14ac:dyDescent="0.3">
      <c r="A23" s="4" t="s">
        <v>389</v>
      </c>
      <c r="B23" s="4"/>
      <c r="C23" s="4"/>
      <c r="D23" s="4"/>
      <c r="E23" s="41"/>
      <c r="F23" s="12"/>
      <c r="Q23">
        <f t="shared" si="0"/>
        <v>200</v>
      </c>
      <c r="R23">
        <f t="shared" si="1"/>
        <v>18.092213764227495</v>
      </c>
      <c r="S23">
        <f t="shared" si="2"/>
        <v>197.3939570022994</v>
      </c>
      <c r="T23">
        <f t="shared" si="3"/>
        <v>65.076844803522903</v>
      </c>
      <c r="U23">
        <f t="shared" si="4"/>
        <v>214.49496416858284</v>
      </c>
      <c r="V23" t="e">
        <f t="shared" si="5"/>
        <v>#N/A</v>
      </c>
      <c r="W23" t="e">
        <f t="shared" si="6"/>
        <v>#N/A</v>
      </c>
    </row>
    <row r="24" spans="1:23" x14ac:dyDescent="0.3">
      <c r="A24" t="s">
        <v>390</v>
      </c>
      <c r="B24" t="s">
        <v>64</v>
      </c>
      <c r="C24" s="16">
        <f>MIN((40/C15)^(1/3),1)*C19*C15/C17</f>
        <v>16.666666666666668</v>
      </c>
      <c r="D24" t="s">
        <v>43</v>
      </c>
      <c r="E24" s="40" t="s">
        <v>1178</v>
      </c>
      <c r="F24" s="11" t="s">
        <v>1044</v>
      </c>
      <c r="Q24">
        <f t="shared" si="0"/>
        <v>210</v>
      </c>
      <c r="R24">
        <f t="shared" si="1"/>
        <v>40.192378864668399</v>
      </c>
      <c r="S24">
        <f t="shared" si="2"/>
        <v>149.99999999999997</v>
      </c>
      <c r="T24">
        <f t="shared" si="3"/>
        <v>83.493649053890351</v>
      </c>
      <c r="U24">
        <f t="shared" si="4"/>
        <v>174.99999999999997</v>
      </c>
      <c r="V24" t="e">
        <f t="shared" si="5"/>
        <v>#N/A</v>
      </c>
      <c r="W24" t="e">
        <f t="shared" si="6"/>
        <v>#N/A</v>
      </c>
    </row>
    <row r="25" spans="1:23" x14ac:dyDescent="0.3">
      <c r="A25" t="s">
        <v>391</v>
      </c>
      <c r="B25" t="s">
        <v>68</v>
      </c>
      <c r="C25" s="16">
        <f>IF(C15&lt;=50,0.3*C15^(2/3),2.12*LN(1+(C15+8)/10))</f>
        <v>2.5649639200150443</v>
      </c>
      <c r="D25" t="s">
        <v>43</v>
      </c>
      <c r="E25" s="40" t="s">
        <v>1045</v>
      </c>
      <c r="F25" s="11"/>
      <c r="Q25">
        <f t="shared" si="0"/>
        <v>220</v>
      </c>
      <c r="R25">
        <f t="shared" si="1"/>
        <v>70.18666706430659</v>
      </c>
      <c r="S25">
        <f t="shared" si="2"/>
        <v>107.16371709403822</v>
      </c>
      <c r="T25">
        <f t="shared" si="3"/>
        <v>108.48888922025549</v>
      </c>
      <c r="U25">
        <f t="shared" si="4"/>
        <v>139.3030975783652</v>
      </c>
      <c r="V25" t="e">
        <f t="shared" si="5"/>
        <v>#N/A</v>
      </c>
      <c r="W25" t="e">
        <f t="shared" si="6"/>
        <v>#N/A</v>
      </c>
    </row>
    <row r="26" spans="1:23" x14ac:dyDescent="0.3">
      <c r="A26" t="s">
        <v>392</v>
      </c>
      <c r="B26" t="s">
        <v>70</v>
      </c>
      <c r="C26" s="16">
        <f>C16/C18</f>
        <v>434.78260869565219</v>
      </c>
      <c r="D26" t="s">
        <v>43</v>
      </c>
      <c r="E26" s="40" t="s">
        <v>1047</v>
      </c>
      <c r="F26" s="11"/>
      <c r="Q26">
        <f t="shared" si="0"/>
        <v>230</v>
      </c>
      <c r="R26">
        <f t="shared" si="1"/>
        <v>107.16371709403816</v>
      </c>
      <c r="S26">
        <f t="shared" si="2"/>
        <v>70.186667064306619</v>
      </c>
      <c r="T26">
        <f t="shared" si="3"/>
        <v>139.30309757836514</v>
      </c>
      <c r="U26">
        <f t="shared" si="4"/>
        <v>108.48888922025552</v>
      </c>
      <c r="V26" t="e">
        <f t="shared" si="5"/>
        <v>#N/A</v>
      </c>
      <c r="W26" t="e">
        <f t="shared" si="6"/>
        <v>#N/A</v>
      </c>
    </row>
    <row r="27" spans="1:23" x14ac:dyDescent="0.3">
      <c r="A27" t="s">
        <v>393</v>
      </c>
      <c r="B27" t="s">
        <v>73</v>
      </c>
      <c r="C27" s="17">
        <v>200000</v>
      </c>
      <c r="D27" t="s">
        <v>43</v>
      </c>
      <c r="E27" s="40" t="s">
        <v>1049</v>
      </c>
      <c r="F27" s="11"/>
      <c r="Q27">
        <f t="shared" si="0"/>
        <v>240</v>
      </c>
      <c r="R27">
        <f t="shared" si="1"/>
        <v>149.99999999999986</v>
      </c>
      <c r="S27">
        <f t="shared" si="2"/>
        <v>40.192378864668513</v>
      </c>
      <c r="T27">
        <f t="shared" si="3"/>
        <v>174.99999999999989</v>
      </c>
      <c r="U27">
        <f t="shared" si="4"/>
        <v>83.493649053890408</v>
      </c>
    </row>
    <row r="28" spans="1:23" x14ac:dyDescent="0.3">
      <c r="A28" t="s">
        <v>394</v>
      </c>
      <c r="B28" t="s">
        <v>76</v>
      </c>
      <c r="C28" s="18">
        <f>C26/C27</f>
        <v>2.1739130434782609E-3</v>
      </c>
      <c r="D28" t="s">
        <v>28</v>
      </c>
      <c r="E28" s="40" t="s">
        <v>1049</v>
      </c>
      <c r="F28" s="11"/>
      <c r="Q28">
        <f t="shared" si="0"/>
        <v>250</v>
      </c>
      <c r="R28">
        <f t="shared" si="1"/>
        <v>197.39395700229943</v>
      </c>
      <c r="S28">
        <f t="shared" si="2"/>
        <v>18.092213764227495</v>
      </c>
      <c r="T28">
        <f t="shared" si="3"/>
        <v>214.49496416858287</v>
      </c>
      <c r="U28">
        <f t="shared" si="4"/>
        <v>65.076844803522903</v>
      </c>
    </row>
    <row r="29" spans="1:23" x14ac:dyDescent="0.3">
      <c r="A29" t="s">
        <v>395</v>
      </c>
      <c r="B29" t="s">
        <v>79</v>
      </c>
      <c r="C29" s="19">
        <v>3.5</v>
      </c>
      <c r="D29" t="s">
        <v>80</v>
      </c>
      <c r="E29" s="40" t="s">
        <v>1048</v>
      </c>
      <c r="F29" s="11"/>
      <c r="Q29">
        <f t="shared" si="0"/>
        <v>260</v>
      </c>
      <c r="R29">
        <f t="shared" si="1"/>
        <v>247.9055466999209</v>
      </c>
      <c r="S29">
        <f t="shared" si="2"/>
        <v>4.557674096337621</v>
      </c>
      <c r="T29">
        <f t="shared" si="3"/>
        <v>256.58795558326744</v>
      </c>
      <c r="U29">
        <f t="shared" si="4"/>
        <v>53.798061746948008</v>
      </c>
    </row>
    <row r="30" spans="1:23" x14ac:dyDescent="0.3">
      <c r="A30" t="s">
        <v>396</v>
      </c>
      <c r="B30" t="s">
        <v>83</v>
      </c>
      <c r="C30" s="19">
        <v>2</v>
      </c>
      <c r="D30" t="s">
        <v>80</v>
      </c>
      <c r="E30" s="40" t="s">
        <v>1251</v>
      </c>
      <c r="F30" s="11"/>
      <c r="Q30">
        <f t="shared" si="0"/>
        <v>270</v>
      </c>
      <c r="R30">
        <f t="shared" si="1"/>
        <v>299.99999999999994</v>
      </c>
      <c r="S30">
        <f t="shared" si="2"/>
        <v>0</v>
      </c>
      <c r="T30">
        <f t="shared" si="3"/>
        <v>299.99999999999994</v>
      </c>
      <c r="U30">
        <f t="shared" si="4"/>
        <v>50</v>
      </c>
    </row>
    <row r="31" spans="1:23" x14ac:dyDescent="0.3">
      <c r="A31" t="s">
        <v>397</v>
      </c>
      <c r="B31" t="s">
        <v>86</v>
      </c>
      <c r="C31" s="19">
        <v>25</v>
      </c>
      <c r="D31" t="s">
        <v>80</v>
      </c>
      <c r="E31" s="40" t="s">
        <v>1124</v>
      </c>
      <c r="F31" s="11"/>
      <c r="Q31">
        <f t="shared" si="0"/>
        <v>280</v>
      </c>
      <c r="R31">
        <f t="shared" si="1"/>
        <v>352.09445330007901</v>
      </c>
      <c r="S31">
        <f t="shared" si="2"/>
        <v>4.5576740963375642</v>
      </c>
      <c r="T31">
        <f t="shared" si="3"/>
        <v>343.4120444167325</v>
      </c>
      <c r="U31">
        <f t="shared" si="4"/>
        <v>53.79806174694798</v>
      </c>
    </row>
    <row r="32" spans="1:23" x14ac:dyDescent="0.3">
      <c r="E32" s="40"/>
      <c r="F32" s="11"/>
      <c r="Q32">
        <f t="shared" si="0"/>
        <v>290</v>
      </c>
      <c r="R32">
        <f t="shared" si="1"/>
        <v>402.60604299770068</v>
      </c>
      <c r="S32">
        <f t="shared" si="2"/>
        <v>18.092213764227495</v>
      </c>
      <c r="T32">
        <f t="shared" si="3"/>
        <v>385.50503583141722</v>
      </c>
      <c r="U32">
        <f t="shared" si="4"/>
        <v>65.076844803522931</v>
      </c>
    </row>
    <row r="33" spans="1:21" x14ac:dyDescent="0.3">
      <c r="A33" s="4" t="s">
        <v>398</v>
      </c>
      <c r="B33" s="4"/>
      <c r="C33" s="4"/>
      <c r="D33" s="4"/>
      <c r="E33" s="41"/>
      <c r="F33" s="12"/>
      <c r="Q33">
        <f t="shared" si="0"/>
        <v>300</v>
      </c>
      <c r="R33">
        <f t="shared" si="1"/>
        <v>450</v>
      </c>
      <c r="S33">
        <f t="shared" si="2"/>
        <v>40.192378864668399</v>
      </c>
      <c r="T33">
        <f t="shared" si="3"/>
        <v>425</v>
      </c>
      <c r="U33">
        <f t="shared" si="4"/>
        <v>83.493649053890351</v>
      </c>
    </row>
    <row r="34" spans="1:21" x14ac:dyDescent="0.3">
      <c r="A34" t="s">
        <v>399</v>
      </c>
      <c r="B34" t="s">
        <v>90</v>
      </c>
      <c r="C34" s="20">
        <f>C9/2</f>
        <v>300</v>
      </c>
      <c r="D34" t="s">
        <v>21</v>
      </c>
      <c r="E34" s="40"/>
      <c r="F34" s="11"/>
      <c r="Q34">
        <f t="shared" si="0"/>
        <v>310</v>
      </c>
      <c r="R34">
        <f t="shared" si="1"/>
        <v>492.83628290596175</v>
      </c>
      <c r="S34">
        <f t="shared" si="2"/>
        <v>70.186667064306562</v>
      </c>
      <c r="T34">
        <f t="shared" si="3"/>
        <v>460.69690242163483</v>
      </c>
      <c r="U34">
        <f t="shared" si="4"/>
        <v>108.48888922025546</v>
      </c>
    </row>
    <row r="35" spans="1:21" x14ac:dyDescent="0.3">
      <c r="A35" t="s">
        <v>400</v>
      </c>
      <c r="B35" t="s">
        <v>92</v>
      </c>
      <c r="C35" s="20">
        <f>PI()*C9^2/4</f>
        <v>282743.3388230814</v>
      </c>
      <c r="D35" t="s">
        <v>93</v>
      </c>
      <c r="E35" s="40"/>
      <c r="F35" s="11"/>
      <c r="Q35">
        <f t="shared" si="0"/>
        <v>320</v>
      </c>
      <c r="R35">
        <f t="shared" si="1"/>
        <v>529.81333293569332</v>
      </c>
      <c r="S35">
        <f t="shared" si="2"/>
        <v>107.16371709403813</v>
      </c>
      <c r="T35">
        <f t="shared" si="3"/>
        <v>491.51111077974446</v>
      </c>
      <c r="U35">
        <f t="shared" si="4"/>
        <v>139.30309757836511</v>
      </c>
    </row>
    <row r="36" spans="1:21" x14ac:dyDescent="0.3">
      <c r="A36" t="s">
        <v>401</v>
      </c>
      <c r="B36" t="s">
        <v>95</v>
      </c>
      <c r="C36" s="16">
        <f>C10+C13+C12/2</f>
        <v>70</v>
      </c>
      <c r="D36" t="s">
        <v>21</v>
      </c>
      <c r="E36" s="40" t="s">
        <v>96</v>
      </c>
      <c r="F36" s="11"/>
      <c r="Q36">
        <f t="shared" si="0"/>
        <v>330</v>
      </c>
      <c r="R36">
        <f t="shared" si="1"/>
        <v>559.80762113533149</v>
      </c>
      <c r="S36">
        <f t="shared" si="2"/>
        <v>149.99999999999986</v>
      </c>
      <c r="T36">
        <f t="shared" si="3"/>
        <v>516.50635094610959</v>
      </c>
      <c r="U36">
        <f t="shared" si="4"/>
        <v>174.99999999999989</v>
      </c>
    </row>
    <row r="37" spans="1:21" x14ac:dyDescent="0.3">
      <c r="A37" t="s">
        <v>402</v>
      </c>
      <c r="B37" t="s">
        <v>98</v>
      </c>
      <c r="C37" s="16">
        <f>C34-C36</f>
        <v>230</v>
      </c>
      <c r="D37" t="s">
        <v>21</v>
      </c>
      <c r="E37" s="40"/>
      <c r="F37" s="11"/>
      <c r="Q37">
        <f t="shared" si="0"/>
        <v>340</v>
      </c>
      <c r="R37">
        <f t="shared" si="1"/>
        <v>581.90778623577251</v>
      </c>
      <c r="S37">
        <f t="shared" si="2"/>
        <v>197.39395700229943</v>
      </c>
      <c r="T37">
        <f t="shared" si="3"/>
        <v>534.92315519647707</v>
      </c>
      <c r="U37">
        <f t="shared" si="4"/>
        <v>214.49496416858284</v>
      </c>
    </row>
    <row r="38" spans="1:21" x14ac:dyDescent="0.3">
      <c r="A38" t="s">
        <v>403</v>
      </c>
      <c r="B38" t="s">
        <v>100</v>
      </c>
      <c r="C38" s="16">
        <f>C34+2*C37/PI()</f>
        <v>446.42254764454373</v>
      </c>
      <c r="D38" t="s">
        <v>21</v>
      </c>
      <c r="E38" s="40" t="s">
        <v>101</v>
      </c>
      <c r="F38" s="11"/>
      <c r="Q38">
        <f t="shared" si="0"/>
        <v>350</v>
      </c>
      <c r="R38">
        <f t="shared" si="1"/>
        <v>595.44232590366232</v>
      </c>
      <c r="S38">
        <f t="shared" si="2"/>
        <v>247.90554669992088</v>
      </c>
      <c r="T38">
        <f t="shared" si="3"/>
        <v>546.20193825305205</v>
      </c>
      <c r="U38">
        <f t="shared" si="4"/>
        <v>256.58795558326739</v>
      </c>
    </row>
    <row r="39" spans="1:21" x14ac:dyDescent="0.3">
      <c r="A39" t="s">
        <v>404</v>
      </c>
      <c r="B39" t="s">
        <v>103</v>
      </c>
      <c r="C39" s="16">
        <f>0.9*C38</f>
        <v>401.78029288008935</v>
      </c>
      <c r="D39" t="s">
        <v>21</v>
      </c>
      <c r="E39" s="40" t="s">
        <v>104</v>
      </c>
      <c r="F39" s="11"/>
      <c r="Q39">
        <f t="shared" si="0"/>
        <v>360</v>
      </c>
      <c r="R39">
        <f t="shared" si="1"/>
        <v>600</v>
      </c>
      <c r="S39">
        <f t="shared" si="2"/>
        <v>299.99999999999994</v>
      </c>
      <c r="T39">
        <f t="shared" si="3"/>
        <v>550</v>
      </c>
      <c r="U39">
        <f t="shared" si="4"/>
        <v>299.99999999999994</v>
      </c>
    </row>
    <row r="40" spans="1:21" x14ac:dyDescent="0.3">
      <c r="A40" t="s">
        <v>405</v>
      </c>
      <c r="B40" t="s">
        <v>106</v>
      </c>
      <c r="C40" s="16">
        <f>C11*PI()*C12^2/4</f>
        <v>2513.2741228718346</v>
      </c>
      <c r="D40" t="s">
        <v>93</v>
      </c>
      <c r="E40" s="40"/>
      <c r="F40" s="11"/>
    </row>
    <row r="41" spans="1:21" x14ac:dyDescent="0.3">
      <c r="A41" t="s">
        <v>406</v>
      </c>
      <c r="B41" t="s">
        <v>108</v>
      </c>
      <c r="C41" s="16">
        <f>PI()*2*C37/C11-C12</f>
        <v>160.64157758141312</v>
      </c>
      <c r="D41" t="s">
        <v>21</v>
      </c>
      <c r="E41" s="40" t="s">
        <v>109</v>
      </c>
      <c r="F41" s="11" t="s">
        <v>407</v>
      </c>
    </row>
    <row r="42" spans="1:21" x14ac:dyDescent="0.3">
      <c r="E42" s="40"/>
      <c r="F42" s="11"/>
    </row>
    <row r="43" spans="1:21" x14ac:dyDescent="0.3">
      <c r="A43" s="4" t="s">
        <v>408</v>
      </c>
      <c r="B43" s="4"/>
      <c r="C43" s="4"/>
      <c r="D43" s="4"/>
      <c r="E43" s="41"/>
      <c r="F43" s="12"/>
    </row>
    <row r="44" spans="1:21" x14ac:dyDescent="0.3">
      <c r="A44" t="s">
        <v>409</v>
      </c>
      <c r="B44" t="s">
        <v>113</v>
      </c>
      <c r="C44" s="16">
        <f>C9/4</f>
        <v>150</v>
      </c>
      <c r="D44" t="s">
        <v>21</v>
      </c>
      <c r="E44" s="40" t="s">
        <v>1213</v>
      </c>
      <c r="F44" s="11" t="s">
        <v>410</v>
      </c>
    </row>
    <row r="45" spans="1:21" x14ac:dyDescent="0.3">
      <c r="A45" t="s">
        <v>411</v>
      </c>
      <c r="B45" t="s">
        <v>117</v>
      </c>
      <c r="C45" s="16">
        <f>IF(C20&gt;0,C20/C44,0)</f>
        <v>20</v>
      </c>
      <c r="D45" t="s">
        <v>28</v>
      </c>
      <c r="E45" s="40" t="s">
        <v>1214</v>
      </c>
      <c r="F45" s="11"/>
    </row>
    <row r="46" spans="1:21" x14ac:dyDescent="0.3">
      <c r="A46" t="s">
        <v>412</v>
      </c>
      <c r="B46" t="s">
        <v>120</v>
      </c>
      <c r="C46" s="21">
        <f>C6*1000/(C35*C24)</f>
        <v>0.21220659078919374</v>
      </c>
      <c r="D46" t="s">
        <v>28</v>
      </c>
      <c r="E46" s="40" t="s">
        <v>1215</v>
      </c>
      <c r="F46" s="11"/>
    </row>
    <row r="47" spans="1:21" x14ac:dyDescent="0.3">
      <c r="A47" t="s">
        <v>413</v>
      </c>
      <c r="B47" t="s">
        <v>123</v>
      </c>
      <c r="C47" s="22">
        <f>IF(ABS(C46)&lt;=0.41,25,16/SQRT(ABS(C46)))</f>
        <v>25</v>
      </c>
      <c r="D47" t="s">
        <v>28</v>
      </c>
      <c r="E47" s="40" t="s">
        <v>1216</v>
      </c>
      <c r="F47" s="11" t="s">
        <v>414</v>
      </c>
    </row>
    <row r="48" spans="1:21" x14ac:dyDescent="0.3">
      <c r="A48" t="s">
        <v>415</v>
      </c>
      <c r="B48" t="s">
        <v>28</v>
      </c>
      <c r="C48" t="str">
        <f>IF(C45&gt;C47,"JA (λ &gt; λ_lim)","NEIN (λ ≤ λ_lim)")</f>
        <v>NEIN (λ ≤ λ_lim)</v>
      </c>
      <c r="E48" s="40" t="s">
        <v>1213</v>
      </c>
      <c r="F48" s="11"/>
    </row>
    <row r="49" spans="1:6" x14ac:dyDescent="0.3">
      <c r="A49" t="s">
        <v>416</v>
      </c>
      <c r="B49" t="s">
        <v>129</v>
      </c>
      <c r="C49" s="16">
        <f>C20/400</f>
        <v>7.5</v>
      </c>
      <c r="D49" t="s">
        <v>21</v>
      </c>
      <c r="E49" s="40" t="s">
        <v>1252</v>
      </c>
      <c r="F49" s="11"/>
    </row>
    <row r="50" spans="1:6" x14ac:dyDescent="0.3">
      <c r="A50" t="s">
        <v>417</v>
      </c>
      <c r="B50" t="s">
        <v>132</v>
      </c>
      <c r="C50" s="6">
        <v>1</v>
      </c>
      <c r="D50" t="s">
        <v>28</v>
      </c>
      <c r="E50" s="40" t="s">
        <v>1218</v>
      </c>
      <c r="F50" s="11" t="s">
        <v>418</v>
      </c>
    </row>
    <row r="51" spans="1:6" x14ac:dyDescent="0.3">
      <c r="A51" t="s">
        <v>419</v>
      </c>
      <c r="B51" t="s">
        <v>136</v>
      </c>
      <c r="C51" s="6">
        <v>1</v>
      </c>
      <c r="D51" t="s">
        <v>28</v>
      </c>
      <c r="E51" s="40" t="s">
        <v>1218</v>
      </c>
      <c r="F51" s="11" t="s">
        <v>420</v>
      </c>
    </row>
    <row r="52" spans="1:6" x14ac:dyDescent="0.3">
      <c r="A52" t="s">
        <v>421</v>
      </c>
      <c r="B52" t="s">
        <v>140</v>
      </c>
      <c r="C52" s="20">
        <f>C34+C37</f>
        <v>530</v>
      </c>
      <c r="D52" t="s">
        <v>21</v>
      </c>
      <c r="E52" s="40" t="s">
        <v>1218</v>
      </c>
      <c r="F52" s="11"/>
    </row>
    <row r="53" spans="1:6" x14ac:dyDescent="0.3">
      <c r="A53" t="s">
        <v>422</v>
      </c>
      <c r="B53" t="s">
        <v>143</v>
      </c>
      <c r="C53" s="23">
        <f>C50*C51*C28/(0.45*C52)</f>
        <v>9.1149393856530859E-6</v>
      </c>
      <c r="D53" t="s">
        <v>144</v>
      </c>
      <c r="E53" s="40" t="s">
        <v>1219</v>
      </c>
      <c r="F53" s="11"/>
    </row>
    <row r="54" spans="1:6" x14ac:dyDescent="0.3">
      <c r="A54" t="s">
        <v>423</v>
      </c>
      <c r="B54" t="s">
        <v>147</v>
      </c>
      <c r="C54" s="16">
        <f>IF(C45&gt;C47,C53*C20^2/10,0)</f>
        <v>0</v>
      </c>
      <c r="D54" t="s">
        <v>21</v>
      </c>
      <c r="E54" s="40" t="s">
        <v>1220</v>
      </c>
      <c r="F54" s="11"/>
    </row>
    <row r="55" spans="1:6" x14ac:dyDescent="0.3">
      <c r="A55" t="s">
        <v>424</v>
      </c>
      <c r="B55" t="s">
        <v>150</v>
      </c>
      <c r="C55" s="16">
        <f>MAX(C9/30,20)</f>
        <v>20</v>
      </c>
      <c r="D55" t="s">
        <v>21</v>
      </c>
      <c r="E55" s="40" t="s">
        <v>1221</v>
      </c>
      <c r="F55" s="11"/>
    </row>
    <row r="56" spans="1:6" x14ac:dyDescent="0.3">
      <c r="A56" t="s">
        <v>425</v>
      </c>
      <c r="B56" t="s">
        <v>153</v>
      </c>
      <c r="C56" s="16">
        <f>MAX(C8+C6*(C49+C54)/1000,C6*C55/1000)</f>
        <v>307.5</v>
      </c>
      <c r="D56" t="s">
        <v>18</v>
      </c>
      <c r="E56" s="40" t="s">
        <v>1222</v>
      </c>
      <c r="F56" s="11" t="s">
        <v>155</v>
      </c>
    </row>
    <row r="57" spans="1:6" x14ac:dyDescent="0.3">
      <c r="E57" s="40"/>
      <c r="F57" s="11"/>
    </row>
    <row r="58" spans="1:6" x14ac:dyDescent="0.3">
      <c r="A58" s="4" t="s">
        <v>426</v>
      </c>
      <c r="B58" s="4"/>
      <c r="C58" s="4"/>
      <c r="D58" s="4"/>
      <c r="E58" s="41"/>
      <c r="F58" s="12"/>
    </row>
    <row r="59" spans="1:6" x14ac:dyDescent="0.3">
      <c r="A59" t="s">
        <v>412</v>
      </c>
      <c r="B59" t="s">
        <v>158</v>
      </c>
      <c r="C59" s="24">
        <f>C6*1000/(C35*C24)</f>
        <v>0.21220659078919374</v>
      </c>
      <c r="D59" t="s">
        <v>28</v>
      </c>
      <c r="E59" s="40" t="s">
        <v>1223</v>
      </c>
      <c r="F59" s="11" t="s">
        <v>160</v>
      </c>
    </row>
    <row r="60" spans="1:6" x14ac:dyDescent="0.3">
      <c r="A60" t="s">
        <v>427</v>
      </c>
      <c r="B60" t="s">
        <v>162</v>
      </c>
      <c r="C60" s="24">
        <f>C56*1000000/(C35*C9*C24)</f>
        <v>0.10875587777946179</v>
      </c>
      <c r="D60" t="s">
        <v>28</v>
      </c>
      <c r="E60" s="40" t="s">
        <v>1253</v>
      </c>
      <c r="F60" s="11" t="s">
        <v>164</v>
      </c>
    </row>
    <row r="61" spans="1:6" x14ac:dyDescent="0.3">
      <c r="A61" t="s">
        <v>428</v>
      </c>
      <c r="B61" t="s">
        <v>218</v>
      </c>
      <c r="C61" s="25">
        <f>Nomogramm_2025!C28</f>
        <v>0.13580028308174968</v>
      </c>
      <c r="D61" t="s">
        <v>28</v>
      </c>
      <c r="E61" s="40" t="s">
        <v>1254</v>
      </c>
      <c r="F61" s="11" t="s">
        <v>429</v>
      </c>
    </row>
    <row r="62" spans="1:6" x14ac:dyDescent="0.3">
      <c r="A62" t="s">
        <v>430</v>
      </c>
      <c r="B62" t="s">
        <v>185</v>
      </c>
      <c r="C62" s="25">
        <f>Nomogramm_2025!C22</f>
        <v>0.37000000000000016</v>
      </c>
      <c r="D62" t="s">
        <v>28</v>
      </c>
      <c r="E62" s="40" t="s">
        <v>1255</v>
      </c>
      <c r="F62" s="11"/>
    </row>
    <row r="63" spans="1:6" x14ac:dyDescent="0.3">
      <c r="A63" t="s">
        <v>431</v>
      </c>
      <c r="B63" t="s">
        <v>203</v>
      </c>
      <c r="C63" s="26">
        <f>Nomogramm_2025!C23</f>
        <v>222.00000000000009</v>
      </c>
      <c r="D63" t="s">
        <v>21</v>
      </c>
      <c r="E63" s="40"/>
      <c r="F63" s="11"/>
    </row>
    <row r="64" spans="1:6" x14ac:dyDescent="0.3">
      <c r="A64" t="s">
        <v>432</v>
      </c>
      <c r="C64" s="7" t="str">
        <f>Nomogramm_2025!C27</f>
        <v>OK — Lösung durch Interpolation ermittelt</v>
      </c>
      <c r="E64" s="40"/>
      <c r="F64" s="11"/>
    </row>
    <row r="65" spans="1:6" x14ac:dyDescent="0.3">
      <c r="A65" t="s">
        <v>433</v>
      </c>
      <c r="B65" t="s">
        <v>557</v>
      </c>
      <c r="C65" s="20">
        <f>IFERROR(C61*C35*C24/C26,NA())</f>
        <v>1471.8706423133849</v>
      </c>
      <c r="D65" t="s">
        <v>93</v>
      </c>
      <c r="E65" s="40" t="s">
        <v>1120</v>
      </c>
      <c r="F65" s="11" t="s">
        <v>226</v>
      </c>
    </row>
    <row r="66" spans="1:6" x14ac:dyDescent="0.3">
      <c r="E66" s="40"/>
      <c r="F66" s="11"/>
    </row>
    <row r="67" spans="1:6" x14ac:dyDescent="0.3">
      <c r="A67" s="4" t="s">
        <v>434</v>
      </c>
      <c r="B67" s="4"/>
      <c r="C67" s="4"/>
      <c r="D67" s="4"/>
      <c r="E67" s="41"/>
      <c r="F67" s="12"/>
    </row>
    <row r="68" spans="1:6" x14ac:dyDescent="0.3">
      <c r="A68" t="s">
        <v>435</v>
      </c>
      <c r="B68" t="s">
        <v>558</v>
      </c>
      <c r="C68" s="20">
        <f>IF(C35&lt;=500000,0.005*C35,IF(C35&lt;=1000000,2500,0.0025*C35))</f>
        <v>1413.7166941154071</v>
      </c>
      <c r="D68" t="s">
        <v>93</v>
      </c>
      <c r="E68" s="40" t="s">
        <v>1227</v>
      </c>
      <c r="F68" s="11" t="s">
        <v>231</v>
      </c>
    </row>
    <row r="69" spans="1:6" x14ac:dyDescent="0.3">
      <c r="A69" t="s">
        <v>436</v>
      </c>
      <c r="B69" t="s">
        <v>559</v>
      </c>
      <c r="C69" s="20">
        <f>MAX(0.1*ABS(C6)*1000/C26,0.002*C35)</f>
        <v>565.48667764616278</v>
      </c>
      <c r="D69" t="s">
        <v>93</v>
      </c>
      <c r="E69" s="40" t="s">
        <v>1304</v>
      </c>
      <c r="F69" s="11" t="s">
        <v>1305</v>
      </c>
    </row>
    <row r="70" spans="1:6" x14ac:dyDescent="0.3">
      <c r="A70" t="s">
        <v>437</v>
      </c>
      <c r="B70" t="s">
        <v>237</v>
      </c>
      <c r="C70" s="20">
        <f>MAX(C68,C69)</f>
        <v>1413.7166941154071</v>
      </c>
      <c r="D70" t="s">
        <v>93</v>
      </c>
      <c r="E70" s="40" t="s">
        <v>1229</v>
      </c>
      <c r="F70" s="11"/>
    </row>
    <row r="71" spans="1:6" x14ac:dyDescent="0.3">
      <c r="A71" t="s">
        <v>438</v>
      </c>
      <c r="B71" t="s">
        <v>240</v>
      </c>
      <c r="C71" s="20">
        <f>0.09*C35</f>
        <v>25446.900494077327</v>
      </c>
      <c r="D71" t="s">
        <v>93</v>
      </c>
      <c r="E71" s="40" t="s">
        <v>1228</v>
      </c>
      <c r="F71" s="11" t="s">
        <v>439</v>
      </c>
    </row>
    <row r="72" spans="1:6" x14ac:dyDescent="0.3">
      <c r="A72" s="8" t="s">
        <v>440</v>
      </c>
      <c r="B72" s="9" t="s">
        <v>557</v>
      </c>
      <c r="C72" s="27">
        <f>MAX(IFERROR(C65,0),C70)</f>
        <v>1471.8706423133849</v>
      </c>
      <c r="D72" s="9" t="s">
        <v>93</v>
      </c>
      <c r="E72" s="42"/>
      <c r="F72" s="13"/>
    </row>
    <row r="73" spans="1:6" x14ac:dyDescent="0.3">
      <c r="A73" t="s">
        <v>441</v>
      </c>
      <c r="B73" t="s">
        <v>106</v>
      </c>
      <c r="C73" s="20">
        <f>C40</f>
        <v>2513.2741228718346</v>
      </c>
      <c r="D73" t="s">
        <v>93</v>
      </c>
      <c r="E73" s="40"/>
      <c r="F73" s="11" t="str">
        <f>C11&amp;" Ø"&amp;C12&amp;" mm"</f>
        <v>8 Ø20 mm</v>
      </c>
    </row>
    <row r="74" spans="1:6" x14ac:dyDescent="0.3">
      <c r="A74" t="s">
        <v>442</v>
      </c>
      <c r="C74" t="str">
        <f>IF(C73&gt;=C72,"OK","NICHT ERFÜLLT – Stabzahl oder -durchmesser erhöhen")</f>
        <v>OK</v>
      </c>
      <c r="E74" s="40" t="s">
        <v>1120</v>
      </c>
      <c r="F74" s="11"/>
    </row>
    <row r="75" spans="1:6" x14ac:dyDescent="0.3">
      <c r="A75" t="s">
        <v>443</v>
      </c>
      <c r="C75" t="str">
        <f>IF(C73&lt;=C71,"OK","NICHT ERFÜLLT – überschreitet 0,09·A_c")</f>
        <v>OK</v>
      </c>
      <c r="E75" s="40" t="s">
        <v>1228</v>
      </c>
      <c r="F75" s="11"/>
    </row>
    <row r="76" spans="1:6" x14ac:dyDescent="0.3">
      <c r="A76" t="s">
        <v>1310</v>
      </c>
      <c r="C76" t="str">
        <f>IF(AND(C11&gt;=6,C12&gt;=12),"OK","NICHT ERFÜLLT")</f>
        <v>OK</v>
      </c>
      <c r="E76" s="40" t="s">
        <v>1229</v>
      </c>
      <c r="F76" s="11" t="s">
        <v>1311</v>
      </c>
    </row>
    <row r="77" spans="1:6" x14ac:dyDescent="0.3">
      <c r="A77" t="s">
        <v>445</v>
      </c>
      <c r="C77" t="str">
        <f>IF(C41&gt;=100,"OK","PRÜFEN – Betonage mit Kontraktorrohr")</f>
        <v>OK</v>
      </c>
      <c r="E77" s="40" t="s">
        <v>1230</v>
      </c>
      <c r="F77" s="11"/>
    </row>
    <row r="78" spans="1:6" x14ac:dyDescent="0.3">
      <c r="E78" s="40"/>
      <c r="F78" s="11"/>
    </row>
    <row r="79" spans="1:6" x14ac:dyDescent="0.3">
      <c r="A79" s="4" t="s">
        <v>1256</v>
      </c>
      <c r="B79" s="4"/>
      <c r="C79" s="4"/>
      <c r="D79" s="4"/>
      <c r="E79" s="41"/>
      <c r="F79" s="12"/>
    </row>
    <row r="80" spans="1:6" x14ac:dyDescent="0.3">
      <c r="A80" t="s">
        <v>447</v>
      </c>
      <c r="B80" t="s">
        <v>253</v>
      </c>
      <c r="C80" s="20">
        <f>C9</f>
        <v>600</v>
      </c>
      <c r="D80" t="s">
        <v>21</v>
      </c>
      <c r="E80" s="40" t="s">
        <v>1194</v>
      </c>
      <c r="F80" s="11" t="s">
        <v>1257</v>
      </c>
    </row>
    <row r="81" spans="1:6" x14ac:dyDescent="0.3">
      <c r="A81" t="s">
        <v>1138</v>
      </c>
      <c r="B81" t="s">
        <v>1055</v>
      </c>
      <c r="C81" s="28">
        <v>32</v>
      </c>
      <c r="D81" t="s">
        <v>43</v>
      </c>
      <c r="E81" s="40" t="s">
        <v>1056</v>
      </c>
      <c r="F81" s="11" t="s">
        <v>1258</v>
      </c>
    </row>
    <row r="82" spans="1:6" x14ac:dyDescent="0.3">
      <c r="A82" t="s">
        <v>1259</v>
      </c>
      <c r="B82" t="s">
        <v>259</v>
      </c>
      <c r="C82" s="18">
        <f>MIN(C73/2/(C80*C38),0.02)</f>
        <v>4.6915083331785954E-3</v>
      </c>
      <c r="D82" t="s">
        <v>28</v>
      </c>
      <c r="E82" s="40" t="s">
        <v>1137</v>
      </c>
      <c r="F82" s="11" t="s">
        <v>1260</v>
      </c>
    </row>
    <row r="83" spans="1:6" x14ac:dyDescent="0.3">
      <c r="A83" t="s">
        <v>1140</v>
      </c>
      <c r="B83" t="s">
        <v>1059</v>
      </c>
      <c r="C83" s="21">
        <v>1.4</v>
      </c>
      <c r="D83" t="s">
        <v>28</v>
      </c>
      <c r="E83" s="40" t="s">
        <v>1060</v>
      </c>
      <c r="F83" s="11" t="s">
        <v>1261</v>
      </c>
    </row>
    <row r="84" spans="1:6" x14ac:dyDescent="0.3">
      <c r="A84" t="s">
        <v>1142</v>
      </c>
      <c r="B84" t="s">
        <v>1063</v>
      </c>
      <c r="C84" s="21">
        <f>C7*1000/(C80*C39)</f>
        <v>1.2444612363036536</v>
      </c>
      <c r="D84" t="s">
        <v>28</v>
      </c>
      <c r="E84" s="40" t="s">
        <v>1143</v>
      </c>
      <c r="F84" s="11" t="s">
        <v>1065</v>
      </c>
    </row>
    <row r="85" spans="1:6" x14ac:dyDescent="0.3">
      <c r="A85" t="s">
        <v>1144</v>
      </c>
      <c r="B85" t="s">
        <v>1067</v>
      </c>
      <c r="C85" s="29">
        <f>(11/C83)*SQRT(C15/C26*C81/C38)</f>
        <v>0.50442952692952847</v>
      </c>
      <c r="D85" t="s">
        <v>28</v>
      </c>
      <c r="E85" s="40" t="s">
        <v>1145</v>
      </c>
      <c r="F85" s="11" t="s">
        <v>1069</v>
      </c>
    </row>
    <row r="86" spans="1:6" x14ac:dyDescent="0.3">
      <c r="A86" t="s">
        <v>1146</v>
      </c>
      <c r="B86" t="s">
        <v>1071</v>
      </c>
      <c r="C86" s="21">
        <f>MAX((0.66/C83)*(100*C82*C15*C81/C38)^(1/3),C85)</f>
        <v>0.50442952692952847</v>
      </c>
      <c r="D86" t="s">
        <v>28</v>
      </c>
      <c r="E86" s="40" t="s">
        <v>1147</v>
      </c>
      <c r="F86" s="11" t="s">
        <v>1073</v>
      </c>
    </row>
    <row r="87" spans="1:6" x14ac:dyDescent="0.3">
      <c r="A87" t="s">
        <v>1262</v>
      </c>
      <c r="B87" t="s">
        <v>282</v>
      </c>
      <c r="C87" s="21">
        <f>-C6*1000/C35</f>
        <v>-3.5367765131532294</v>
      </c>
      <c r="D87" t="s">
        <v>43</v>
      </c>
      <c r="E87" s="40" t="s">
        <v>1263</v>
      </c>
      <c r="F87" s="11" t="s">
        <v>1264</v>
      </c>
    </row>
    <row r="88" spans="1:6" x14ac:dyDescent="0.3">
      <c r="A88" t="s">
        <v>1265</v>
      </c>
      <c r="B88" t="s">
        <v>277</v>
      </c>
      <c r="C88" s="20">
        <f>C86*C80*C38/1000</f>
        <v>135.11322871140723</v>
      </c>
      <c r="D88" t="s">
        <v>11</v>
      </c>
      <c r="E88" s="40" t="s">
        <v>1202</v>
      </c>
      <c r="F88" s="11" t="s">
        <v>1203</v>
      </c>
    </row>
    <row r="89" spans="1:6" x14ac:dyDescent="0.3">
      <c r="A89" t="s">
        <v>458</v>
      </c>
      <c r="C89" t="str">
        <f>IF(C7&gt;C88,"JA (V_Ed &gt; V_Rd,c)","NEIN (V_Ed ≤ V_Rd,c) – Mindestbewehrung")</f>
        <v>JA (V_Ed &gt; V_Rd,c)</v>
      </c>
      <c r="E89" s="40" t="s">
        <v>1074</v>
      </c>
      <c r="F89" s="11"/>
    </row>
    <row r="90" spans="1:6" x14ac:dyDescent="0.3">
      <c r="A90" t="s">
        <v>1149</v>
      </c>
      <c r="B90" t="s">
        <v>1077</v>
      </c>
      <c r="C90" s="28">
        <v>2.5</v>
      </c>
      <c r="D90" t="s">
        <v>43</v>
      </c>
      <c r="E90" s="40" t="s">
        <v>1078</v>
      </c>
      <c r="F90" s="11" t="s">
        <v>1266</v>
      </c>
    </row>
    <row r="91" spans="1:6" x14ac:dyDescent="0.3">
      <c r="A91" t="s">
        <v>575</v>
      </c>
      <c r="B91" t="s">
        <v>575</v>
      </c>
      <c r="C91" s="28" t="s">
        <v>575</v>
      </c>
      <c r="D91" t="s">
        <v>11</v>
      </c>
      <c r="E91" s="40" t="s">
        <v>575</v>
      </c>
      <c r="F91" s="11" t="s">
        <v>1267</v>
      </c>
    </row>
    <row r="92" spans="1:6" x14ac:dyDescent="0.3">
      <c r="A92" t="s">
        <v>1268</v>
      </c>
      <c r="B92" t="s">
        <v>560</v>
      </c>
      <c r="C92" s="28">
        <f>C90</f>
        <v>2.5</v>
      </c>
      <c r="D92" t="s">
        <v>28</v>
      </c>
      <c r="E92" s="40" t="s">
        <v>1078</v>
      </c>
      <c r="F92" s="11" t="s">
        <v>1207</v>
      </c>
    </row>
    <row r="93" spans="1:6" x14ac:dyDescent="0.3">
      <c r="A93" t="s">
        <v>1151</v>
      </c>
      <c r="B93" t="s">
        <v>60</v>
      </c>
      <c r="C93" s="28">
        <f>IF(C21&gt;0,MIN(C21,C90),C90)</f>
        <v>2.5</v>
      </c>
      <c r="D93" t="s">
        <v>28</v>
      </c>
      <c r="E93" s="40" t="s">
        <v>1152</v>
      </c>
      <c r="F93" s="11" t="s">
        <v>464</v>
      </c>
    </row>
    <row r="94" spans="1:6" x14ac:dyDescent="0.3">
      <c r="A94" t="s">
        <v>1154</v>
      </c>
      <c r="B94" t="s">
        <v>1083</v>
      </c>
      <c r="C94" s="30">
        <v>0.5</v>
      </c>
      <c r="D94" t="s">
        <v>28</v>
      </c>
      <c r="E94" s="40" t="s">
        <v>1084</v>
      </c>
      <c r="F94" s="11" t="s">
        <v>1269</v>
      </c>
    </row>
    <row r="95" spans="1:6" x14ac:dyDescent="0.3">
      <c r="A95" t="s">
        <v>1270</v>
      </c>
      <c r="B95" t="s">
        <v>296</v>
      </c>
      <c r="C95" s="20">
        <f>C80*C39*C94*C24/(C93+1/C93)/1000</f>
        <v>692.72464289670586</v>
      </c>
      <c r="D95" t="s">
        <v>11</v>
      </c>
      <c r="E95" s="40" t="s">
        <v>1157</v>
      </c>
      <c r="F95" s="11" t="s">
        <v>1208</v>
      </c>
    </row>
    <row r="96" spans="1:6" x14ac:dyDescent="0.3">
      <c r="A96" t="s">
        <v>818</v>
      </c>
      <c r="C96" t="str">
        <f>IF(C7&lt;=C95,"OK","NICHT ERFÜLLT – D oder f_ck erhöhen")</f>
        <v>OK</v>
      </c>
      <c r="E96" s="40" t="s">
        <v>1091</v>
      </c>
      <c r="F96" s="11"/>
    </row>
    <row r="97" spans="1:6" x14ac:dyDescent="0.3">
      <c r="A97" t="s">
        <v>468</v>
      </c>
      <c r="B97" t="s">
        <v>561</v>
      </c>
      <c r="C97" s="24">
        <f>C7*1000/(C39*C26*C93)</f>
        <v>0.68694260243961669</v>
      </c>
      <c r="D97" t="s">
        <v>302</v>
      </c>
      <c r="E97" s="40" t="s">
        <v>1159</v>
      </c>
      <c r="F97" s="11" t="s">
        <v>304</v>
      </c>
    </row>
    <row r="98" spans="1:6" x14ac:dyDescent="0.3">
      <c r="A98" t="s">
        <v>469</v>
      </c>
      <c r="B98" t="s">
        <v>306</v>
      </c>
      <c r="C98" s="24">
        <f>0.08*SQRT(C15)/C16</f>
        <v>8.0000000000000004E-4</v>
      </c>
      <c r="D98" t="s">
        <v>28</v>
      </c>
      <c r="E98" s="40" t="s">
        <v>1291</v>
      </c>
      <c r="F98" s="11" t="s">
        <v>1295</v>
      </c>
    </row>
    <row r="99" spans="1:6" x14ac:dyDescent="0.3">
      <c r="A99" t="s">
        <v>470</v>
      </c>
      <c r="B99" t="s">
        <v>310</v>
      </c>
      <c r="C99" s="24">
        <f>C98*C80</f>
        <v>0.48000000000000004</v>
      </c>
      <c r="D99" t="s">
        <v>302</v>
      </c>
      <c r="E99" s="40" t="s">
        <v>1161</v>
      </c>
      <c r="F99" s="11" t="s">
        <v>1271</v>
      </c>
    </row>
    <row r="100" spans="1:6" x14ac:dyDescent="0.3">
      <c r="A100" s="8" t="s">
        <v>471</v>
      </c>
      <c r="B100" s="9" t="s">
        <v>561</v>
      </c>
      <c r="C100" s="31">
        <f>MAX(C97,C99)</f>
        <v>0.68694260243961669</v>
      </c>
      <c r="D100" s="9" t="s">
        <v>302</v>
      </c>
      <c r="E100" s="42"/>
      <c r="F100" s="13"/>
    </row>
    <row r="101" spans="1:6" x14ac:dyDescent="0.3">
      <c r="A101" t="s">
        <v>1272</v>
      </c>
      <c r="B101" t="s">
        <v>315</v>
      </c>
      <c r="C101" s="20">
        <f>2*PI()*C13^2/4</f>
        <v>157.07963267948966</v>
      </c>
      <c r="D101" t="s">
        <v>93</v>
      </c>
      <c r="E101" s="40" t="s">
        <v>1209</v>
      </c>
      <c r="F101" s="11" t="s">
        <v>1273</v>
      </c>
    </row>
    <row r="102" spans="1:6" x14ac:dyDescent="0.3">
      <c r="A102" t="s">
        <v>474</v>
      </c>
      <c r="B102" t="s">
        <v>562</v>
      </c>
      <c r="C102" s="20">
        <f>C101/C100</f>
        <v>228.66485805602252</v>
      </c>
      <c r="D102" t="s">
        <v>21</v>
      </c>
      <c r="E102" s="40"/>
      <c r="F102" s="11"/>
    </row>
    <row r="103" spans="1:6" x14ac:dyDescent="0.3">
      <c r="A103" t="s">
        <v>475</v>
      </c>
      <c r="B103" t="s">
        <v>320</v>
      </c>
      <c r="C103" s="20">
        <f>MIN(20*C12,C9,300)</f>
        <v>300</v>
      </c>
      <c r="D103" t="s">
        <v>21</v>
      </c>
      <c r="E103" s="40" t="s">
        <v>1308</v>
      </c>
      <c r="F103" s="11" t="s">
        <v>1312</v>
      </c>
    </row>
    <row r="104" spans="1:6" x14ac:dyDescent="0.3">
      <c r="A104" s="8" t="s">
        <v>476</v>
      </c>
      <c r="B104" s="9" t="s">
        <v>562</v>
      </c>
      <c r="C104" s="27">
        <f>MIN(C102,C103)</f>
        <v>228.66485805602252</v>
      </c>
      <c r="D104" s="9" t="s">
        <v>21</v>
      </c>
      <c r="E104" s="42"/>
      <c r="F104" s="13" t="str">
        <f>"Wendel Ø"&amp;C13&amp;" mm alle "&amp;FLOOR(C104,10)&amp;" mm anordnen"</f>
        <v>Wendel Ø10 mm alle 220 mm anordnen</v>
      </c>
    </row>
    <row r="105" spans="1:6" x14ac:dyDescent="0.3">
      <c r="A105" t="s">
        <v>1274</v>
      </c>
      <c r="C105" t="str">
        <f>IF(C14&lt;=C104,"OK","NICHT ERFÜLLT – Ganghöhe verringern oder Ø_w erhöhen")</f>
        <v>OK</v>
      </c>
      <c r="E105" s="40" t="s">
        <v>1210</v>
      </c>
      <c r="F105" s="11"/>
    </row>
    <row r="106" spans="1:6" x14ac:dyDescent="0.3">
      <c r="A106" t="s">
        <v>478</v>
      </c>
      <c r="C106" t="str">
        <f>IF(C14-C13&gt;=100,"OK","PRÜFEN – lichter Abstand für Kontraktorrohr")</f>
        <v>OK</v>
      </c>
      <c r="E106" s="40" t="s">
        <v>1211</v>
      </c>
      <c r="F106" s="11"/>
    </row>
    <row r="107" spans="1:6" x14ac:dyDescent="0.3">
      <c r="F107" s="11"/>
    </row>
    <row r="108" spans="1:6" x14ac:dyDescent="0.3">
      <c r="A108" s="4" t="s">
        <v>479</v>
      </c>
      <c r="B108" s="4"/>
      <c r="C108" s="4"/>
      <c r="D108" s="4"/>
      <c r="E108" s="4"/>
      <c r="F108" s="12"/>
    </row>
    <row r="109" spans="1:6" x14ac:dyDescent="0.3">
      <c r="A109" t="s">
        <v>480</v>
      </c>
      <c r="C109" t="str">
        <f>TEXT(C6,"#,##0")&amp;" kN / "&amp;TEXT(C7,"#,##0")&amp;" kN / "&amp;TEXT(C56,"#,##0")&amp;" kNm"</f>
        <v>1,000 kN / 300 kN / 308 kNm</v>
      </c>
      <c r="F109" s="11"/>
    </row>
    <row r="110" spans="1:6" x14ac:dyDescent="0.3">
      <c r="A110" t="s">
        <v>481</v>
      </c>
      <c r="C110" t="str">
        <f>"Ø"&amp;C9&amp;" mm · C"&amp;C15&amp;" · B"&amp;C16&amp;" · c_nom = "&amp;C10&amp;" mm"</f>
        <v>Ø600 mm · C25 · B500 · c_nom = 50 mm</v>
      </c>
      <c r="F110" s="11"/>
    </row>
    <row r="111" spans="1:6" x14ac:dyDescent="0.3">
      <c r="A111" t="s">
        <v>482</v>
      </c>
      <c r="C111" t="str">
        <f>TEXT(C72,"#,##0")&amp;" mm² → "&amp;C11&amp;" Ø"&amp;C12&amp;" = "&amp;TEXT(C73,"#,##0")&amp;" mm²"</f>
        <v>1,472 mm² → 8 Ø20 = 2,513 mm²</v>
      </c>
      <c r="E111" t="s">
        <v>331</v>
      </c>
      <c r="F111" s="11"/>
    </row>
    <row r="112" spans="1:6" x14ac:dyDescent="0.3">
      <c r="A112" t="s">
        <v>483</v>
      </c>
      <c r="C112" t="str">
        <f>"Wendel Ø"&amp;C13&amp;" alle "&amp;FLOOR(C104,10)&amp;" mm  (gewählt: alle "&amp;C14&amp;" mm)"</f>
        <v>Wendel Ø10 alle 220 mm  (gewählt: alle 150 mm)</v>
      </c>
      <c r="E112" t="s">
        <v>333</v>
      </c>
      <c r="F112" s="11"/>
    </row>
    <row r="113" spans="1:6" x14ac:dyDescent="0.3">
      <c r="A113" t="s">
        <v>484</v>
      </c>
      <c r="C113" t="str">
        <f>C74</f>
        <v>OK</v>
      </c>
      <c r="F113" s="11"/>
    </row>
    <row r="114" spans="1:6" x14ac:dyDescent="0.3">
      <c r="A114" t="s">
        <v>438</v>
      </c>
      <c r="C114" t="str">
        <f>C75</f>
        <v>OK</v>
      </c>
      <c r="F114" s="11"/>
    </row>
    <row r="115" spans="1:6" x14ac:dyDescent="0.3">
      <c r="A115" t="s">
        <v>485</v>
      </c>
      <c r="C115" t="str">
        <f>C76</f>
        <v>OK</v>
      </c>
      <c r="F115" s="11"/>
    </row>
    <row r="116" spans="1:6" x14ac:dyDescent="0.3">
      <c r="A116" t="s">
        <v>486</v>
      </c>
      <c r="C116" t="str">
        <f>C77</f>
        <v>OK</v>
      </c>
      <c r="F116" s="11"/>
    </row>
    <row r="117" spans="1:6" x14ac:dyDescent="0.3">
      <c r="A117" t="s">
        <v>487</v>
      </c>
      <c r="C117" t="str">
        <f>C96</f>
        <v>OK</v>
      </c>
      <c r="F117" s="11"/>
    </row>
    <row r="118" spans="1:6" x14ac:dyDescent="0.3">
      <c r="A118" t="s">
        <v>488</v>
      </c>
      <c r="C118" t="str">
        <f>C105</f>
        <v>OK</v>
      </c>
      <c r="F118" s="11"/>
    </row>
    <row r="119" spans="1:6" ht="15.6" x14ac:dyDescent="0.3">
      <c r="A119" s="8" t="s">
        <v>489</v>
      </c>
      <c r="B119" s="9"/>
      <c r="C119" s="10" t="str">
        <f>IF(COUNTIF(C113:C118,"OK")=6,"ALLE NACHWEISE ERFÜLLT","PRÜFEN: nicht alle Nachweise erfüllt")</f>
        <v>ALLE NACHWEISE ERFÜLLT</v>
      </c>
      <c r="F119" s="11"/>
    </row>
    <row r="120" spans="1:6" x14ac:dyDescent="0.3">
      <c r="F120" s="11"/>
    </row>
    <row r="121" spans="1:6" x14ac:dyDescent="0.3">
      <c r="A121" s="4" t="s">
        <v>490</v>
      </c>
      <c r="B121" s="4"/>
      <c r="C121" s="4"/>
      <c r="D121" s="4"/>
      <c r="E121" s="4"/>
      <c r="F121" s="12"/>
    </row>
    <row r="122" spans="1:6" x14ac:dyDescent="0.3">
      <c r="A122" s="11" t="s">
        <v>1181</v>
      </c>
      <c r="F122" s="11"/>
    </row>
    <row r="123" spans="1:6" x14ac:dyDescent="0.3">
      <c r="A123" s="11" t="s">
        <v>1231</v>
      </c>
      <c r="F123" s="11"/>
    </row>
    <row r="124" spans="1:6" x14ac:dyDescent="0.3">
      <c r="A124" s="11" t="s">
        <v>1275</v>
      </c>
      <c r="F124" s="11"/>
    </row>
    <row r="125" spans="1:6" x14ac:dyDescent="0.3">
      <c r="A125" s="11" t="s">
        <v>1183</v>
      </c>
      <c r="F125" s="11"/>
    </row>
    <row r="126" spans="1:6" x14ac:dyDescent="0.3">
      <c r="A126" s="11" t="s">
        <v>1276</v>
      </c>
      <c r="F126" s="11"/>
    </row>
    <row r="127" spans="1:6" x14ac:dyDescent="0.3">
      <c r="A127" s="11" t="s">
        <v>1277</v>
      </c>
      <c r="F127" s="11"/>
    </row>
    <row r="128" spans="1:6" x14ac:dyDescent="0.3">
      <c r="A128" s="11" t="s">
        <v>1278</v>
      </c>
      <c r="F128" s="11"/>
    </row>
    <row r="129" spans="1:6" x14ac:dyDescent="0.3">
      <c r="A129" s="11" t="s">
        <v>1279</v>
      </c>
      <c r="F129" s="11"/>
    </row>
    <row r="130" spans="1:6" x14ac:dyDescent="0.3">
      <c r="A130" s="11" t="s">
        <v>1280</v>
      </c>
      <c r="F130" s="11"/>
    </row>
    <row r="131" spans="1:6" x14ac:dyDescent="0.3">
      <c r="A131" s="11" t="s">
        <v>1281</v>
      </c>
      <c r="F131" s="11"/>
    </row>
    <row r="132" spans="1:6" x14ac:dyDescent="0.3">
      <c r="A132" s="11" t="s">
        <v>1186</v>
      </c>
      <c r="F132" s="11"/>
    </row>
    <row r="133" spans="1:6" x14ac:dyDescent="0.3">
      <c r="A133" s="11" t="s">
        <v>1282</v>
      </c>
      <c r="F133" s="11"/>
    </row>
    <row r="134" spans="1:6" x14ac:dyDescent="0.3">
      <c r="A134" s="11" t="s">
        <v>1283</v>
      </c>
      <c r="F134" s="11"/>
    </row>
    <row r="135" spans="1:6" x14ac:dyDescent="0.3">
      <c r="A135" s="11" t="s">
        <v>1284</v>
      </c>
      <c r="F135" s="11"/>
    </row>
    <row r="136" spans="1:6" x14ac:dyDescent="0.3">
      <c r="A136" s="11" t="s">
        <v>1285</v>
      </c>
      <c r="F136" s="11"/>
    </row>
    <row r="137" spans="1:6" x14ac:dyDescent="0.3">
      <c r="A137" s="11" t="s">
        <v>1286</v>
      </c>
      <c r="F137" s="11"/>
    </row>
    <row r="138" spans="1:6" x14ac:dyDescent="0.3">
      <c r="A138" s="11" t="s">
        <v>1287</v>
      </c>
      <c r="F138" s="11"/>
    </row>
    <row r="139" spans="1:6" x14ac:dyDescent="0.3">
      <c r="A139" s="11" t="s">
        <v>1288</v>
      </c>
      <c r="F139" s="11"/>
    </row>
    <row r="140" spans="1:6" x14ac:dyDescent="0.3">
      <c r="A140" s="11"/>
      <c r="F140" s="11"/>
    </row>
    <row r="141" spans="1:6" ht="60" customHeight="1" x14ac:dyDescent="0.3">
      <c r="A141" s="77" t="s">
        <v>1289</v>
      </c>
      <c r="B141" s="77"/>
      <c r="C141" s="77"/>
      <c r="D141" s="77"/>
      <c r="E141" s="77"/>
      <c r="F141" s="77"/>
    </row>
  </sheetData>
  <mergeCells count="1">
    <mergeCell ref="A141:F141"/>
  </mergeCells>
  <conditionalFormatting sqref="C64">
    <cfRule type="containsText" dxfId="31" priority="25" operator="containsText" text="NICHT ERFÜLLT">
      <formula>NOT(ISERROR(SEARCH("NICHT ERFÜLLT",C64)))</formula>
    </cfRule>
    <cfRule type="containsText" dxfId="30" priority="26" operator="containsText" text="PRÜFEN">
      <formula>NOT(ISERROR(SEARCH("PRÜFEN",C64)))</formula>
    </cfRule>
    <cfRule type="containsText" dxfId="29" priority="27" operator="containsText" text="AUSSERHALB DES GÜLTIGKEITSBEREICHS">
      <formula>NOT(ISERROR(SEARCH("AUSSERHALB DES GÜLTIGKEITSBEREICHS",C64)))</formula>
    </cfRule>
    <cfRule type="containsText" dxfId="28" priority="28" operator="containsText" text="nicht alle Nachweise">
      <formula>NOT(ISERROR(SEARCH("nicht alle Nachweise",C64)))</formula>
    </cfRule>
    <cfRule type="containsText" dxfId="27" priority="29" operator="containsText" text="OK">
      <formula>NOT(ISERROR(SEARCH("OK",C64)))</formula>
    </cfRule>
    <cfRule type="containsText" dxfId="26" priority="30" operator="containsText" text="ALLE NACHWEISE ERFÜLLT">
      <formula>NOT(ISERROR(SEARCH("ALLE NACHWEISE ERFÜLLT",C64)))</formula>
    </cfRule>
  </conditionalFormatting>
  <conditionalFormatting sqref="C74:C77">
    <cfRule type="containsText" dxfId="25" priority="1" operator="containsText" text="NICHT ERFÜLLT">
      <formula>NOT(ISERROR(SEARCH("NICHT ERFÜLLT",C74)))</formula>
    </cfRule>
    <cfRule type="containsText" dxfId="24" priority="2" operator="containsText" text="PRÜFEN">
      <formula>NOT(ISERROR(SEARCH("PRÜFEN",C74)))</formula>
    </cfRule>
    <cfRule type="containsText" dxfId="23" priority="3" operator="containsText" text="AUSSERHALB DES GÜLTIGKEITSBEREICHS">
      <formula>NOT(ISERROR(SEARCH("AUSSERHALB DES GÜLTIGKEITSBEREICHS",C74)))</formula>
    </cfRule>
    <cfRule type="containsText" dxfId="22" priority="4" operator="containsText" text="nicht alle Nachweise">
      <formula>NOT(ISERROR(SEARCH("nicht alle Nachweise",C74)))</formula>
    </cfRule>
    <cfRule type="containsText" dxfId="21" priority="5" operator="containsText" text="OK">
      <formula>NOT(ISERROR(SEARCH("OK",C74)))</formula>
    </cfRule>
    <cfRule type="containsText" dxfId="20" priority="6" operator="containsText" text="ALLE NACHWEISE ERFÜLLT">
      <formula>NOT(ISERROR(SEARCH("ALLE NACHWEISE ERFÜLLT",C74)))</formula>
    </cfRule>
  </conditionalFormatting>
  <conditionalFormatting sqref="C96">
    <cfRule type="containsText" dxfId="19" priority="7" operator="containsText" text="NICHT ERFÜLLT">
      <formula>NOT(ISERROR(SEARCH("NICHT ERFÜLLT",C96)))</formula>
    </cfRule>
    <cfRule type="containsText" dxfId="18" priority="8" operator="containsText" text="PRÜFEN">
      <formula>NOT(ISERROR(SEARCH("PRÜFEN",C96)))</formula>
    </cfRule>
    <cfRule type="containsText" dxfId="17" priority="9" operator="containsText" text="AUSSERHALB DES GÜLTIGKEITSBEREICHS">
      <formula>NOT(ISERROR(SEARCH("AUSSERHALB DES GÜLTIGKEITSBEREICHS",C96)))</formula>
    </cfRule>
    <cfRule type="containsText" dxfId="16" priority="10" operator="containsText" text="nicht alle Nachweise">
      <formula>NOT(ISERROR(SEARCH("nicht alle Nachweise",C96)))</formula>
    </cfRule>
    <cfRule type="containsText" dxfId="15" priority="11" operator="containsText" text="OK">
      <formula>NOT(ISERROR(SEARCH("OK",C96)))</formula>
    </cfRule>
    <cfRule type="containsText" dxfId="14" priority="12" operator="containsText" text="ALLE NACHWEISE ERFÜLLT">
      <formula>NOT(ISERROR(SEARCH("ALLE NACHWEISE ERFÜLLT",C96)))</formula>
    </cfRule>
  </conditionalFormatting>
  <conditionalFormatting sqref="C105:C106">
    <cfRule type="containsText" dxfId="13" priority="13" operator="containsText" text="NICHT ERFÜLLT">
      <formula>NOT(ISERROR(SEARCH("NICHT ERFÜLLT",C105)))</formula>
    </cfRule>
    <cfRule type="containsText" dxfId="12" priority="14" operator="containsText" text="PRÜFEN">
      <formula>NOT(ISERROR(SEARCH("PRÜFEN",C105)))</formula>
    </cfRule>
    <cfRule type="containsText" dxfId="11" priority="15" operator="containsText" text="AUSSERHALB DES GÜLTIGKEITSBEREICHS">
      <formula>NOT(ISERROR(SEARCH("AUSSERHALB DES GÜLTIGKEITSBEREICHS",C105)))</formula>
    </cfRule>
    <cfRule type="containsText" dxfId="10" priority="16" operator="containsText" text="nicht alle Nachweise">
      <formula>NOT(ISERROR(SEARCH("nicht alle Nachweise",C105)))</formula>
    </cfRule>
    <cfRule type="containsText" dxfId="9" priority="17" operator="containsText" text="OK">
      <formula>NOT(ISERROR(SEARCH("OK",C105)))</formula>
    </cfRule>
    <cfRule type="containsText" dxfId="8" priority="18" operator="containsText" text="ALLE NACHWEISE ERFÜLLT">
      <formula>NOT(ISERROR(SEARCH("ALLE NACHWEISE ERFÜLLT",C105)))</formula>
    </cfRule>
  </conditionalFormatting>
  <conditionalFormatting sqref="C113:C119">
    <cfRule type="containsText" dxfId="7" priority="19" operator="containsText" text="NICHT ERFÜLLT">
      <formula>NOT(ISERROR(SEARCH("NICHT ERFÜLLT",C113)))</formula>
    </cfRule>
    <cfRule type="containsText" dxfId="6" priority="20" operator="containsText" text="PRÜFEN">
      <formula>NOT(ISERROR(SEARCH("PRÜFEN",C113)))</formula>
    </cfRule>
    <cfRule type="containsText" dxfId="5" priority="21" operator="containsText" text="AUSSERHALB DES GÜLTIGKEITSBEREICHS">
      <formula>NOT(ISERROR(SEARCH("AUSSERHALB DES GÜLTIGKEITSBEREICHS",C113)))</formula>
    </cfRule>
    <cfRule type="containsText" dxfId="4" priority="22" operator="containsText" text="nicht alle Nachweise">
      <formula>NOT(ISERROR(SEARCH("nicht alle Nachweise",C113)))</formula>
    </cfRule>
    <cfRule type="containsText" dxfId="3" priority="23" operator="containsText" text="OK">
      <formula>NOT(ISERROR(SEARCH("OK",C113)))</formula>
    </cfRule>
    <cfRule type="containsText" dxfId="2" priority="24" operator="containsText" text="ALLE NACHWEISE ERFÜLLT">
      <formula>NOT(ISERROR(SEARCH("ALLE NACHWEISE ERFÜLLT",C113)))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5EDB02F-0A79-4829-963A-462CBADC1A1F}">
          <x14:formula1>
            <xm:f>Aceros_DIN!$B$6:$B$16</xm:f>
          </x14:formula1>
          <xm:sqref>C12:C13</xm:sqref>
        </x14:dataValidation>
        <x14:dataValidation type="list" allowBlank="1" showInputMessage="1" showErrorMessage="1" xr:uid="{DFE0F346-0FD0-4163-B996-22143F78F0B2}">
          <x14:formula1>
            <xm:f>Aceros_DIN!$A$47:$A$49</xm:f>
          </x14:formula1>
          <xm:sqref>F16</xm:sqref>
        </x14:dataValidation>
        <x14:dataValidation type="list" allowBlank="1" showInputMessage="1" showErrorMessage="1" xr:uid="{B14809AB-52A1-4ECB-85CD-1D6CDA8A6346}">
          <x14:formula1>
            <xm:f>Aceros_DIN!$A$35:$A$43</xm:f>
          </x14:formula1>
          <xm:sqref>F15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D1DB-EC75-442D-A09E-E1CA006C11A9}">
  <dimension ref="A1:M212"/>
  <sheetViews>
    <sheetView workbookViewId="0">
      <selection activeCell="C17" sqref="C17"/>
    </sheetView>
  </sheetViews>
  <sheetFormatPr defaultRowHeight="14.4" x14ac:dyDescent="0.3"/>
  <cols>
    <col min="1" max="1" width="53.33203125" customWidth="1"/>
    <col min="2" max="2" width="15.33203125" customWidth="1"/>
    <col min="3" max="3" width="18.109375" customWidth="1"/>
    <col min="4" max="4" width="10.44140625" customWidth="1"/>
    <col min="5" max="5" width="3.88671875" customWidth="1"/>
    <col min="6" max="9" width="14.33203125" customWidth="1"/>
    <col min="10" max="10" width="3.88671875" customWidth="1"/>
    <col min="11" max="11" width="34.33203125" customWidth="1"/>
    <col min="12" max="13" width="17.109375" customWidth="1"/>
  </cols>
  <sheetData>
    <row r="1" spans="1:13" ht="17.399999999999999" x14ac:dyDescent="0.35">
      <c r="A1" s="35" t="s">
        <v>508</v>
      </c>
    </row>
    <row r="2" spans="1:13" ht="42" customHeight="1" x14ac:dyDescent="0.3">
      <c r="A2" s="78" t="s">
        <v>509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4" spans="1:13" x14ac:dyDescent="0.3">
      <c r="A4" s="4" t="s">
        <v>510</v>
      </c>
      <c r="B4" s="4"/>
      <c r="C4" s="4"/>
      <c r="D4" s="4"/>
      <c r="F4" s="4" t="s">
        <v>519</v>
      </c>
      <c r="G4" s="4"/>
      <c r="H4" s="4"/>
      <c r="I4" s="4"/>
    </row>
    <row r="5" spans="1:13" x14ac:dyDescent="0.3">
      <c r="A5" t="s">
        <v>511</v>
      </c>
      <c r="B5" t="s">
        <v>169</v>
      </c>
      <c r="C5" s="37">
        <f>Pfahl_DIN!C9</f>
        <v>600</v>
      </c>
      <c r="D5" t="s">
        <v>21</v>
      </c>
      <c r="F5" s="5" t="s">
        <v>113</v>
      </c>
      <c r="G5" s="5" t="s">
        <v>181</v>
      </c>
      <c r="H5" s="5" t="s">
        <v>182</v>
      </c>
      <c r="I5" s="5" t="s">
        <v>183</v>
      </c>
    </row>
    <row r="6" spans="1:13" x14ac:dyDescent="0.3">
      <c r="A6" t="s">
        <v>512</v>
      </c>
      <c r="B6" t="s">
        <v>95</v>
      </c>
      <c r="C6" s="37">
        <f>Pfahl_DIN!C36</f>
        <v>70</v>
      </c>
      <c r="D6" t="s">
        <v>21</v>
      </c>
      <c r="F6">
        <v>1</v>
      </c>
      <c r="G6" s="16">
        <f>(F6-1)*360/$C$17</f>
        <v>0</v>
      </c>
      <c r="H6" s="16">
        <f>$C$7-$C$8*COS(RADIANS(G6))</f>
        <v>70</v>
      </c>
      <c r="I6" s="16">
        <f>$C$7-H6</f>
        <v>230</v>
      </c>
    </row>
    <row r="7" spans="1:13" x14ac:dyDescent="0.3">
      <c r="A7" t="s">
        <v>399</v>
      </c>
      <c r="B7" t="s">
        <v>90</v>
      </c>
      <c r="C7" s="37">
        <f>C5/2</f>
        <v>300</v>
      </c>
      <c r="D7" t="s">
        <v>21</v>
      </c>
      <c r="F7">
        <f>F6+1</f>
        <v>2</v>
      </c>
      <c r="G7" s="16">
        <f t="shared" ref="G7:G29" si="0">(F7-1)*360/$C$17</f>
        <v>15</v>
      </c>
      <c r="H7" s="16">
        <f t="shared" ref="H7:H29" si="1">$C$7-$C$8*COS(RADIANS(G7))</f>
        <v>77.837059953514284</v>
      </c>
      <c r="I7" s="16">
        <f t="shared" ref="I7:I29" si="2">$C$7-H7</f>
        <v>222.16294004648572</v>
      </c>
    </row>
    <row r="8" spans="1:13" x14ac:dyDescent="0.3">
      <c r="A8" t="s">
        <v>513</v>
      </c>
      <c r="B8" t="s">
        <v>98</v>
      </c>
      <c r="C8" s="37">
        <f>C7-C6</f>
        <v>230</v>
      </c>
      <c r="D8" t="s">
        <v>21</v>
      </c>
      <c r="F8">
        <f t="shared" ref="F8:F29" si="3">F7+1</f>
        <v>3</v>
      </c>
      <c r="G8" s="16">
        <f t="shared" si="0"/>
        <v>30</v>
      </c>
      <c r="H8" s="16">
        <f t="shared" si="1"/>
        <v>100.81415712957909</v>
      </c>
      <c r="I8" s="16">
        <f t="shared" si="2"/>
        <v>199.18584287042091</v>
      </c>
    </row>
    <row r="9" spans="1:13" x14ac:dyDescent="0.3">
      <c r="A9" t="s">
        <v>400</v>
      </c>
      <c r="B9" t="s">
        <v>92</v>
      </c>
      <c r="C9" s="37">
        <f>Pfahl_DIN!C35</f>
        <v>282743.3388230814</v>
      </c>
      <c r="D9" t="s">
        <v>93</v>
      </c>
      <c r="F9">
        <f t="shared" si="3"/>
        <v>4</v>
      </c>
      <c r="G9" s="16">
        <f t="shared" si="0"/>
        <v>45</v>
      </c>
      <c r="H9" s="16">
        <f t="shared" si="1"/>
        <v>137.36544032709406</v>
      </c>
      <c r="I9" s="16">
        <f t="shared" si="2"/>
        <v>162.63455967290594</v>
      </c>
    </row>
    <row r="10" spans="1:13" x14ac:dyDescent="0.3">
      <c r="A10" t="s">
        <v>390</v>
      </c>
      <c r="B10" t="s">
        <v>64</v>
      </c>
      <c r="C10" s="37">
        <f>Pfahl_DIN!C24</f>
        <v>14.166666666666666</v>
      </c>
      <c r="D10" t="s">
        <v>43</v>
      </c>
      <c r="F10">
        <f t="shared" si="3"/>
        <v>5</v>
      </c>
      <c r="G10" s="16">
        <f t="shared" si="0"/>
        <v>60</v>
      </c>
      <c r="H10" s="16">
        <f t="shared" si="1"/>
        <v>184.99999999999997</v>
      </c>
      <c r="I10" s="16">
        <f t="shared" si="2"/>
        <v>115.00000000000003</v>
      </c>
    </row>
    <row r="11" spans="1:13" x14ac:dyDescent="0.3">
      <c r="A11" t="s">
        <v>392</v>
      </c>
      <c r="B11" t="s">
        <v>70</v>
      </c>
      <c r="C11" s="37">
        <f>Pfahl_DIN!C26</f>
        <v>434.78260869565219</v>
      </c>
      <c r="D11" t="s">
        <v>43</v>
      </c>
      <c r="F11">
        <f t="shared" si="3"/>
        <v>6</v>
      </c>
      <c r="G11" s="16">
        <f t="shared" si="0"/>
        <v>75</v>
      </c>
      <c r="H11" s="16">
        <f t="shared" si="1"/>
        <v>240.47161962642022</v>
      </c>
      <c r="I11" s="16">
        <f t="shared" si="2"/>
        <v>59.528380373579779</v>
      </c>
    </row>
    <row r="12" spans="1:13" x14ac:dyDescent="0.3">
      <c r="A12" t="s">
        <v>514</v>
      </c>
      <c r="B12" t="s">
        <v>79</v>
      </c>
      <c r="C12" s="38">
        <f>Pfahl_DIN!C29/1000</f>
        <v>3.5000000000000001E-3</v>
      </c>
      <c r="D12" t="s">
        <v>28</v>
      </c>
      <c r="F12">
        <f t="shared" si="3"/>
        <v>7</v>
      </c>
      <c r="G12" s="16">
        <f t="shared" si="0"/>
        <v>90</v>
      </c>
      <c r="H12" s="16">
        <f t="shared" si="1"/>
        <v>300</v>
      </c>
      <c r="I12" s="16">
        <f t="shared" si="2"/>
        <v>0</v>
      </c>
    </row>
    <row r="13" spans="1:13" x14ac:dyDescent="0.3">
      <c r="A13" t="s">
        <v>515</v>
      </c>
      <c r="B13" t="s">
        <v>83</v>
      </c>
      <c r="C13" s="38">
        <f>Pfahl_DIN!C30/1000</f>
        <v>2E-3</v>
      </c>
      <c r="D13" t="s">
        <v>28</v>
      </c>
      <c r="F13">
        <f t="shared" si="3"/>
        <v>8</v>
      </c>
      <c r="G13" s="16">
        <f t="shared" si="0"/>
        <v>105</v>
      </c>
      <c r="H13" s="16">
        <f t="shared" si="1"/>
        <v>359.52838037357981</v>
      </c>
      <c r="I13" s="16">
        <f t="shared" si="2"/>
        <v>-59.528380373579807</v>
      </c>
    </row>
    <row r="14" spans="1:13" x14ac:dyDescent="0.3">
      <c r="A14" t="s">
        <v>394</v>
      </c>
      <c r="B14" t="s">
        <v>76</v>
      </c>
      <c r="C14" s="38">
        <f>Pfahl_DIN!C28</f>
        <v>2.1739130434782609E-3</v>
      </c>
      <c r="D14" t="s">
        <v>28</v>
      </c>
      <c r="F14">
        <f t="shared" si="3"/>
        <v>9</v>
      </c>
      <c r="G14" s="16">
        <f t="shared" si="0"/>
        <v>120</v>
      </c>
      <c r="H14" s="16">
        <f t="shared" si="1"/>
        <v>414.99999999999994</v>
      </c>
      <c r="I14" s="16">
        <f t="shared" si="2"/>
        <v>-114.99999999999994</v>
      </c>
    </row>
    <row r="15" spans="1:13" x14ac:dyDescent="0.3">
      <c r="A15" t="s">
        <v>516</v>
      </c>
      <c r="B15" t="s">
        <v>158</v>
      </c>
      <c r="C15" s="25">
        <f>Pfahl_DIN!C59</f>
        <v>0.24965481269316916</v>
      </c>
      <c r="D15" t="s">
        <v>28</v>
      </c>
      <c r="F15">
        <f t="shared" si="3"/>
        <v>10</v>
      </c>
      <c r="G15" s="16">
        <f t="shared" si="0"/>
        <v>135</v>
      </c>
      <c r="H15" s="16">
        <f t="shared" si="1"/>
        <v>462.63455967290588</v>
      </c>
      <c r="I15" s="16">
        <f t="shared" si="2"/>
        <v>-162.63455967290588</v>
      </c>
    </row>
    <row r="16" spans="1:13" x14ac:dyDescent="0.3">
      <c r="A16" t="s">
        <v>517</v>
      </c>
      <c r="B16" t="s">
        <v>162</v>
      </c>
      <c r="C16" s="25">
        <f>Pfahl_DIN!C60</f>
        <v>0.12794809150524919</v>
      </c>
      <c r="D16" t="s">
        <v>28</v>
      </c>
      <c r="F16">
        <f t="shared" si="3"/>
        <v>11</v>
      </c>
      <c r="G16" s="16">
        <f t="shared" si="0"/>
        <v>150</v>
      </c>
      <c r="H16" s="16">
        <f t="shared" si="1"/>
        <v>499.18584287042091</v>
      </c>
      <c r="I16" s="16">
        <f t="shared" si="2"/>
        <v>-199.18584287042091</v>
      </c>
    </row>
    <row r="17" spans="1:13" x14ac:dyDescent="0.3">
      <c r="A17" t="s">
        <v>518</v>
      </c>
      <c r="B17" t="s">
        <v>179</v>
      </c>
      <c r="C17" s="6">
        <v>24</v>
      </c>
      <c r="D17" t="s">
        <v>28</v>
      </c>
      <c r="F17">
        <f t="shared" si="3"/>
        <v>12</v>
      </c>
      <c r="G17" s="16">
        <f t="shared" si="0"/>
        <v>165</v>
      </c>
      <c r="H17" s="16">
        <f t="shared" si="1"/>
        <v>522.16294004648569</v>
      </c>
      <c r="I17" s="16">
        <f t="shared" si="2"/>
        <v>-222.16294004648569</v>
      </c>
    </row>
    <row r="18" spans="1:13" x14ac:dyDescent="0.3">
      <c r="F18">
        <f t="shared" si="3"/>
        <v>13</v>
      </c>
      <c r="G18" s="16">
        <f t="shared" si="0"/>
        <v>180</v>
      </c>
      <c r="H18" s="16">
        <f t="shared" si="1"/>
        <v>530</v>
      </c>
      <c r="I18" s="16">
        <f t="shared" si="2"/>
        <v>-230</v>
      </c>
      <c r="K18" t="s">
        <v>527</v>
      </c>
    </row>
    <row r="19" spans="1:13" x14ac:dyDescent="0.3">
      <c r="A19" s="4" t="s">
        <v>520</v>
      </c>
      <c r="B19" s="4"/>
      <c r="C19" s="4"/>
      <c r="D19" s="4"/>
      <c r="F19">
        <f t="shared" si="3"/>
        <v>14</v>
      </c>
      <c r="G19" s="16">
        <f t="shared" si="0"/>
        <v>195</v>
      </c>
      <c r="H19" s="16">
        <f t="shared" si="1"/>
        <v>522.16294004648569</v>
      </c>
      <c r="I19" s="16">
        <f t="shared" si="2"/>
        <v>-222.16294004648569</v>
      </c>
      <c r="K19" t="s">
        <v>210</v>
      </c>
      <c r="L19" s="24" cm="1">
        <f t="array" ref="L19">INDEX($L$33:$L$212,$C$21)</f>
        <v>0.13396614684835118</v>
      </c>
    </row>
    <row r="20" spans="1:13" x14ac:dyDescent="0.3">
      <c r="A20" t="s">
        <v>521</v>
      </c>
      <c r="C20" s="18">
        <f>MIN(M33:M212)</f>
        <v>6.0180553431019856E-3</v>
      </c>
      <c r="F20">
        <f t="shared" si="3"/>
        <v>15</v>
      </c>
      <c r="G20" s="16">
        <f t="shared" si="0"/>
        <v>210</v>
      </c>
      <c r="H20" s="16">
        <f t="shared" si="1"/>
        <v>499.18584287042086</v>
      </c>
      <c r="I20" s="16">
        <f t="shared" si="2"/>
        <v>-199.18584287042086</v>
      </c>
      <c r="K20" t="s">
        <v>528</v>
      </c>
      <c r="L20" s="24" cm="1">
        <f t="array" ref="L20">INDEX($K$33:$K$212,$C$21)</f>
        <v>0.21450162304928044</v>
      </c>
    </row>
    <row r="21" spans="1:13" x14ac:dyDescent="0.3">
      <c r="A21" t="s">
        <v>522</v>
      </c>
      <c r="C21">
        <f>MATCH(C20,M33:M212,0)</f>
        <v>37</v>
      </c>
      <c r="F21">
        <f t="shared" si="3"/>
        <v>16</v>
      </c>
      <c r="G21" s="16">
        <f t="shared" si="0"/>
        <v>225</v>
      </c>
      <c r="H21" s="16">
        <f t="shared" si="1"/>
        <v>462.63455967290599</v>
      </c>
      <c r="I21" s="16">
        <f t="shared" si="2"/>
        <v>-162.63455967290599</v>
      </c>
      <c r="K21" t="s">
        <v>529</v>
      </c>
      <c r="L21" s="24" cm="1">
        <f t="array" ref="L21">IF((L19-$C$16)*(IFERROR(INDEX($L$33:$L$212,$C$21+1),L19)-$C$16)&lt;0,$C$21+1,MAX(1,$C$21-1))</f>
        <v>36</v>
      </c>
    </row>
    <row r="22" spans="1:13" x14ac:dyDescent="0.3">
      <c r="A22" t="s">
        <v>430</v>
      </c>
      <c r="B22" t="s">
        <v>185</v>
      </c>
      <c r="C22" s="21" cm="1">
        <f t="array" ref="C22">INDEX(A33:A212,C21)</f>
        <v>0.4100000000000002</v>
      </c>
      <c r="F22">
        <f t="shared" si="3"/>
        <v>17</v>
      </c>
      <c r="G22" s="16">
        <f t="shared" si="0"/>
        <v>240</v>
      </c>
      <c r="H22" s="16">
        <f t="shared" si="1"/>
        <v>415.00000000000011</v>
      </c>
      <c r="I22" s="16">
        <f t="shared" si="2"/>
        <v>-115.00000000000011</v>
      </c>
      <c r="K22" t="s">
        <v>213</v>
      </c>
      <c r="L22" s="24" cm="1">
        <f t="array" ref="L22">INDEX($L$33:$L$212,L21)</f>
        <v>0.11649907559391531</v>
      </c>
    </row>
    <row r="23" spans="1:13" x14ac:dyDescent="0.3">
      <c r="A23" t="s">
        <v>431</v>
      </c>
      <c r="B23" t="s">
        <v>203</v>
      </c>
      <c r="C23" s="20">
        <f>C22*C5</f>
        <v>246.00000000000011</v>
      </c>
      <c r="D23" t="s">
        <v>21</v>
      </c>
      <c r="F23">
        <f t="shared" si="3"/>
        <v>18</v>
      </c>
      <c r="G23" s="16">
        <f t="shared" si="0"/>
        <v>255</v>
      </c>
      <c r="H23" s="16">
        <f t="shared" si="1"/>
        <v>359.52838037357975</v>
      </c>
      <c r="I23" s="16">
        <f t="shared" si="2"/>
        <v>-59.528380373579751</v>
      </c>
      <c r="K23" t="s">
        <v>530</v>
      </c>
      <c r="L23" s="24" cm="1">
        <f t="array" ref="L23">INDEX($K$33:$K$212,L21)</f>
        <v>0.14192878956175256</v>
      </c>
    </row>
    <row r="24" spans="1:13" x14ac:dyDescent="0.3">
      <c r="A24" t="s">
        <v>523</v>
      </c>
      <c r="B24" t="s">
        <v>196</v>
      </c>
      <c r="C24" s="24" cm="1">
        <f t="array" ref="C24">INDEX(L33:L212,C21)</f>
        <v>0.13396614684835118</v>
      </c>
      <c r="F24">
        <f t="shared" si="3"/>
        <v>19</v>
      </c>
      <c r="G24" s="16">
        <f t="shared" si="0"/>
        <v>270</v>
      </c>
      <c r="H24" s="16">
        <f t="shared" si="1"/>
        <v>300.00000000000006</v>
      </c>
      <c r="I24" s="16">
        <f t="shared" si="2"/>
        <v>0</v>
      </c>
      <c r="K24" t="s">
        <v>531</v>
      </c>
      <c r="L24" s="24">
        <f>MIN($L$33:$L$212)</f>
        <v>8.9534791838415173E-2</v>
      </c>
    </row>
    <row r="25" spans="1:13" x14ac:dyDescent="0.3">
      <c r="A25" t="s">
        <v>524</v>
      </c>
      <c r="B25" t="s">
        <v>206</v>
      </c>
      <c r="C25" s="24">
        <f>MAX(L33:L212)</f>
        <v>1.3749486119708632</v>
      </c>
      <c r="F25">
        <f t="shared" si="3"/>
        <v>20</v>
      </c>
      <c r="G25" s="16">
        <f t="shared" si="0"/>
        <v>285</v>
      </c>
      <c r="H25" s="16">
        <f t="shared" si="1"/>
        <v>240.47161962642033</v>
      </c>
      <c r="I25" s="16">
        <f t="shared" si="2"/>
        <v>59.528380373579665</v>
      </c>
    </row>
    <row r="26" spans="1:13" x14ac:dyDescent="0.3">
      <c r="A26" t="s">
        <v>525</v>
      </c>
      <c r="B26" t="s">
        <v>208</v>
      </c>
      <c r="C26" s="24">
        <f>IFERROR(L20+($C$16-L19)*(L23-L20)/(L22-L19),L20)</f>
        <v>0.18949758419401136</v>
      </c>
      <c r="F26">
        <f t="shared" si="3"/>
        <v>21</v>
      </c>
      <c r="G26" s="16">
        <f t="shared" si="0"/>
        <v>300</v>
      </c>
      <c r="H26" s="16">
        <f t="shared" si="1"/>
        <v>184.99999999999997</v>
      </c>
      <c r="I26" s="16">
        <f t="shared" si="2"/>
        <v>115.00000000000003</v>
      </c>
    </row>
    <row r="27" spans="1:13" x14ac:dyDescent="0.3">
      <c r="A27" t="s">
        <v>432</v>
      </c>
      <c r="C27" t="str">
        <f>IF($C$16&gt;$C$25,"AUSSERHALB DES GÜLTIGKEITSBEREICHS: μ_Ed &gt; μ_Rd,max → D oder f_ck erhöhen",IF($C$16&lt;$L$24,"μ_Ed wird mit ω→0 abgedeckt → Mindestbewehrung maßgebend (9.8.5)","OK — Lösung durch Interpolation ermittelt"))</f>
        <v>OK — Lösung durch Interpolation ermittelt</v>
      </c>
      <c r="F27">
        <f t="shared" si="3"/>
        <v>22</v>
      </c>
      <c r="G27" s="16">
        <f t="shared" si="0"/>
        <v>315</v>
      </c>
      <c r="H27" s="16">
        <f t="shared" si="1"/>
        <v>137.36544032709412</v>
      </c>
      <c r="I27" s="16">
        <f t="shared" si="2"/>
        <v>162.63455967290588</v>
      </c>
    </row>
    <row r="28" spans="1:13" ht="15.6" x14ac:dyDescent="0.3">
      <c r="A28" s="8" t="s">
        <v>526</v>
      </c>
      <c r="B28" s="9" t="s">
        <v>218</v>
      </c>
      <c r="C28" s="39">
        <f>IF($C$16&gt;$C$25,NA(),IF($C$16&lt;$L$24,0,MAX(0,$C$26)))</f>
        <v>0.18949758419401136</v>
      </c>
      <c r="D28" s="9" t="s">
        <v>28</v>
      </c>
      <c r="F28">
        <f t="shared" si="3"/>
        <v>23</v>
      </c>
      <c r="G28" s="16">
        <f t="shared" si="0"/>
        <v>330</v>
      </c>
      <c r="H28" s="16">
        <f t="shared" si="1"/>
        <v>100.81415712957917</v>
      </c>
      <c r="I28" s="16">
        <f t="shared" si="2"/>
        <v>199.18584287042083</v>
      </c>
    </row>
    <row r="29" spans="1:13" x14ac:dyDescent="0.3">
      <c r="A29" s="1" t="s">
        <v>219</v>
      </c>
      <c r="F29">
        <f t="shared" si="3"/>
        <v>24</v>
      </c>
      <c r="G29" s="16">
        <f t="shared" si="0"/>
        <v>345</v>
      </c>
      <c r="H29" s="16">
        <f t="shared" si="1"/>
        <v>77.837059953514284</v>
      </c>
      <c r="I29" s="16">
        <f t="shared" si="2"/>
        <v>222.16294004648572</v>
      </c>
    </row>
    <row r="31" spans="1:13" ht="57.6" x14ac:dyDescent="0.3">
      <c r="A31" s="36" t="s">
        <v>532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</row>
    <row r="32" spans="1:13" x14ac:dyDescent="0.3">
      <c r="A32" s="5" t="s">
        <v>185</v>
      </c>
      <c r="B32" s="5" t="s">
        <v>186</v>
      </c>
      <c r="C32" s="5" t="s">
        <v>187</v>
      </c>
      <c r="D32" s="5" t="s">
        <v>188</v>
      </c>
      <c r="E32" s="5" t="s">
        <v>189</v>
      </c>
      <c r="F32" s="5" t="s">
        <v>190</v>
      </c>
      <c r="G32" s="5" t="s">
        <v>191</v>
      </c>
      <c r="H32" s="5" t="s">
        <v>192</v>
      </c>
      <c r="I32" s="5" t="s">
        <v>193</v>
      </c>
      <c r="J32" s="5" t="s">
        <v>194</v>
      </c>
      <c r="K32" s="5" t="s">
        <v>533</v>
      </c>
      <c r="L32" s="5" t="s">
        <v>196</v>
      </c>
      <c r="M32" s="5" t="s">
        <v>197</v>
      </c>
    </row>
    <row r="33" spans="1:13" x14ac:dyDescent="0.3">
      <c r="A33" s="24">
        <v>0.05</v>
      </c>
      <c r="B33" s="20">
        <f>A33*$C$5</f>
        <v>30</v>
      </c>
      <c r="C33" s="20">
        <f>MIN(0.8*B33,$C$5)</f>
        <v>24</v>
      </c>
      <c r="D33" s="24">
        <f>ACOS(MAX(-1,($C$7-C33)/$C$7))</f>
        <v>0.40271584158066132</v>
      </c>
      <c r="E33" s="20">
        <f>$C$7^2*(D33-SIN(D33)*COS(D33))</f>
        <v>3793.5856298679932</v>
      </c>
      <c r="F33" s="24">
        <f>E33/$C$9</f>
        <v>1.3417064556352718E-2</v>
      </c>
      <c r="G33" s="16">
        <f>IF(E33&gt;0,2*$C$7^3*SIN(D33)^3/(3*E33),0)</f>
        <v>285.63369441411879</v>
      </c>
      <c r="H33" s="24">
        <f>F33*G33/$C$5</f>
        <v>6.387276195706261E-3</v>
      </c>
      <c r="I33" s="24" cm="1">
        <f t="array" ref="I33">_xlfn.LET(_xlpm.x,$B33,_xlpm.dep,$H$6:$H$29,_xlpm.e,IF(_xlpm.x&lt;=$C$5,$C$12*(_xlpm.x-_xlpm.dep)/_xlpm.x,$C$13*(_xlpm.x-_xlpm.dep)/(_xlpm.x-3*$C$5/7))/$C$14,_xlpm.s,(_xlpm.e&gt;=1)*1+(_xlpm.e&lt;=-1)*(-1)+(ABS(_xlpm.e)&lt;1)*_xlpm.e,AVERAGE(_xlpm.s))</f>
        <v>-1</v>
      </c>
      <c r="J33" s="24" cm="1">
        <f t="array" ref="J33">_xlfn.LET(_xlpm.x,$B33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2.3684757858670008E-17</v>
      </c>
      <c r="K33" s="24">
        <f>IFERROR(($C$15-F33)/I33,"")</f>
        <v>-0.23623774813681644</v>
      </c>
      <c r="L33" s="24" t="str">
        <f>IF(AND(ISNUMBER(K33),N(K33)&gt;0),H33+K33*J33,"")</f>
        <v/>
      </c>
      <c r="M33" s="24">
        <f>IF(ISNUMBER(L33),ABS(L33-$C$16),1000000000)</f>
        <v>1000000000</v>
      </c>
    </row>
    <row r="34" spans="1:13" x14ac:dyDescent="0.3">
      <c r="A34" s="24">
        <f>A33+0.01</f>
        <v>6.0000000000000005E-2</v>
      </c>
      <c r="B34" s="20">
        <f t="shared" ref="B34:B97" si="4">A34*$C$5</f>
        <v>36</v>
      </c>
      <c r="C34" s="20">
        <f t="shared" ref="C34:C97" si="5">MIN(0.8*B34,$C$5)</f>
        <v>28.8</v>
      </c>
      <c r="D34" s="24">
        <f t="shared" ref="D34:D97" si="6">ACOS(MAX(-1,($C$7-C34)/$C$7))</f>
        <v>0.44176142415005892</v>
      </c>
      <c r="E34" s="20">
        <f t="shared" ref="E34:E97" si="7">$C$7^2*(D34-SIN(D34)*COS(D34))</f>
        <v>4974.4876421581603</v>
      </c>
      <c r="F34" s="24">
        <f t="shared" ref="F34:F97" si="8">E34/$C$9</f>
        <v>1.7593651057755968E-2</v>
      </c>
      <c r="G34" s="16">
        <f t="shared" ref="G34:G97" si="9">IF(E34&gt;0,2*$C$7^3*SIN(D34)^3/(3*E34),0)</f>
        <v>282.76875157203438</v>
      </c>
      <c r="H34" s="24">
        <f t="shared" ref="H34:H97" si="10">F34*G34/$C$5</f>
        <v>8.2915579086594287E-3</v>
      </c>
      <c r="I34" s="24" cm="1">
        <f t="array" ref="I34">_xlfn.LET(_xlpm.x,$B34,_xlpm.dep,$H$6:$H$29,_xlpm.e,IF(_xlpm.x&lt;=$C$5,$C$12*(_xlpm.x-_xlpm.dep)/_xlpm.x,$C$13*(_xlpm.x-_xlpm.dep)/(_xlpm.x-3*$C$5/7))/$C$14,_xlpm.s,(_xlpm.e&gt;=1)*1+(_xlpm.e&lt;=-1)*(-1)+(ABS(_xlpm.e)&lt;1)*_xlpm.e,AVERAGE(_xlpm.s))</f>
        <v>-1</v>
      </c>
      <c r="J34" s="24" cm="1">
        <f t="array" ref="J34">_xlfn.LET(_xlpm.x,$B34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2.3684757858670008E-17</v>
      </c>
      <c r="K34" s="24">
        <f t="shared" ref="K34:K97" si="11">IFERROR(($C$15-F34)/I34,"")</f>
        <v>-0.23206116163541318</v>
      </c>
      <c r="L34" s="24" t="str">
        <f t="shared" ref="L34:L97" si="12">IF(AND(ISNUMBER(K34),N(K34)&gt;0),H34+K34*J34,"")</f>
        <v/>
      </c>
      <c r="M34" s="24">
        <f t="shared" ref="M34:M97" si="13">IF(ISNUMBER(L34),ABS(L34-$C$16),1000000000)</f>
        <v>1000000000</v>
      </c>
    </row>
    <row r="35" spans="1:13" x14ac:dyDescent="0.3">
      <c r="A35" s="24">
        <f t="shared" ref="A35:A98" si="14">A34+0.01</f>
        <v>7.0000000000000007E-2</v>
      </c>
      <c r="B35" s="20">
        <f t="shared" si="4"/>
        <v>42.000000000000007</v>
      </c>
      <c r="C35" s="20">
        <f t="shared" si="5"/>
        <v>33.600000000000009</v>
      </c>
      <c r="D35" s="24">
        <f t="shared" si="6"/>
        <v>0.47781889725220439</v>
      </c>
      <c r="E35" s="20">
        <f t="shared" si="7"/>
        <v>6253.0120990364048</v>
      </c>
      <c r="F35" s="24">
        <f t="shared" si="8"/>
        <v>2.2115506328334932E-2</v>
      </c>
      <c r="G35" s="16">
        <f t="shared" si="9"/>
        <v>279.90667482995889</v>
      </c>
      <c r="H35" s="24">
        <f t="shared" si="10"/>
        <v>1.0317129730908573E-2</v>
      </c>
      <c r="I35" s="24" cm="1">
        <f t="array" ref="I35">_xlfn.LET(_xlpm.x,$B35,_xlpm.dep,$H$6:$H$29,_xlpm.e,IF(_xlpm.x&lt;=$C$5,$C$12*(_xlpm.x-_xlpm.dep)/_xlpm.x,$C$13*(_xlpm.x-_xlpm.dep)/(_xlpm.x-3*$C$5/7))/$C$14,_xlpm.s,(_xlpm.e&gt;=1)*1+(_xlpm.e&lt;=-1)*(-1)+(ABS(_xlpm.e)&lt;1)*_xlpm.e,AVERAGE(_xlpm.s))</f>
        <v>-1</v>
      </c>
      <c r="J35" s="24" cm="1">
        <f t="array" ref="J35">_xlfn.LET(_xlpm.x,$B35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2.3684757858670008E-17</v>
      </c>
      <c r="K35" s="24">
        <f t="shared" si="11"/>
        <v>-0.22753930636483424</v>
      </c>
      <c r="L35" s="24" t="str">
        <f t="shared" si="12"/>
        <v/>
      </c>
      <c r="M35" s="24">
        <f t="shared" si="13"/>
        <v>1000000000</v>
      </c>
    </row>
    <row r="36" spans="1:13" x14ac:dyDescent="0.3">
      <c r="A36" s="24">
        <f t="shared" si="14"/>
        <v>0.08</v>
      </c>
      <c r="B36" s="20">
        <f t="shared" si="4"/>
        <v>48</v>
      </c>
      <c r="C36" s="20">
        <f t="shared" si="5"/>
        <v>38.400000000000006</v>
      </c>
      <c r="D36" s="24">
        <f t="shared" si="6"/>
        <v>0.51152300369407722</v>
      </c>
      <c r="E36" s="20">
        <f t="shared" si="7"/>
        <v>7620.6493954978359</v>
      </c>
      <c r="F36" s="24">
        <f t="shared" si="8"/>
        <v>2.6952533796972104E-2</v>
      </c>
      <c r="G36" s="16">
        <f t="shared" si="9"/>
        <v>277.04750586324388</v>
      </c>
      <c r="H36" s="24">
        <f t="shared" si="10"/>
        <v>1.2445220441909847E-2</v>
      </c>
      <c r="I36" s="24" cm="1">
        <f t="array" ref="I36">_xlfn.LET(_xlpm.x,$B36,_xlpm.dep,$H$6:$H$29,_xlpm.e,IF(_xlpm.x&lt;=$C$5,$C$12*(_xlpm.x-_xlpm.dep)/_xlpm.x,$C$13*(_xlpm.x-_xlpm.dep)/(_xlpm.x-3*$C$5/7))/$C$14,_xlpm.s,(_xlpm.e&gt;=1)*1+(_xlpm.e&lt;=-1)*(-1)+(ABS(_xlpm.e)&lt;1)*_xlpm.e,AVERAGE(_xlpm.s))</f>
        <v>-0.98907986111111112</v>
      </c>
      <c r="J36" s="24" cm="1">
        <f t="array" ref="J36">_xlfn.LET(_xlpm.x,$B36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4.1860532407407645E-3</v>
      </c>
      <c r="K36" s="24">
        <f t="shared" si="11"/>
        <v>-0.22516106904251199</v>
      </c>
      <c r="L36" s="24" t="str">
        <f t="shared" si="12"/>
        <v/>
      </c>
      <c r="M36" s="24">
        <f t="shared" si="13"/>
        <v>1000000000</v>
      </c>
    </row>
    <row r="37" spans="1:13" x14ac:dyDescent="0.3">
      <c r="A37" s="24">
        <f t="shared" si="14"/>
        <v>0.09</v>
      </c>
      <c r="B37" s="20">
        <f t="shared" si="4"/>
        <v>54</v>
      </c>
      <c r="C37" s="20">
        <f t="shared" si="5"/>
        <v>43.2</v>
      </c>
      <c r="D37" s="24">
        <f t="shared" si="6"/>
        <v>0.54331424735514799</v>
      </c>
      <c r="E37" s="20">
        <f t="shared" si="7"/>
        <v>9070.4649747656767</v>
      </c>
      <c r="F37" s="24">
        <f t="shared" si="8"/>
        <v>3.2080207486130247E-2</v>
      </c>
      <c r="G37" s="16">
        <f t="shared" si="9"/>
        <v>274.19128722498965</v>
      </c>
      <c r="H37" s="24">
        <f t="shared" si="10"/>
        <v>1.4660188975111337E-2</v>
      </c>
      <c r="I37" s="24" cm="1">
        <f t="array" ref="I37">_xlfn.LET(_xlpm.x,$B37,_xlpm.dep,$H$6:$H$29,_xlpm.e,IF(_xlpm.x&lt;=$C$5,$C$12*(_xlpm.x-_xlpm.dep)/_xlpm.x,$C$13*(_xlpm.x-_xlpm.dep)/(_xlpm.x-3*$C$5/7))/$C$14,_xlpm.s,(_xlpm.e&gt;=1)*1+(_xlpm.e&lt;=-1)*(-1)+(ABS(_xlpm.e)&lt;1)*_xlpm.e,AVERAGE(_xlpm.s))</f>
        <v>-0.95410133723018209</v>
      </c>
      <c r="J37" s="24" cm="1">
        <f t="array" ref="J37">_xlfn.LET(_xlpm.x,$B37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1.7279587281783769E-2</v>
      </c>
      <c r="K37" s="24">
        <f t="shared" si="11"/>
        <v>-0.2280414005483653</v>
      </c>
      <c r="L37" s="24" t="str">
        <f t="shared" si="12"/>
        <v/>
      </c>
      <c r="M37" s="24">
        <f t="shared" si="13"/>
        <v>1000000000</v>
      </c>
    </row>
    <row r="38" spans="1:13" x14ac:dyDescent="0.3">
      <c r="A38" s="24">
        <f t="shared" si="14"/>
        <v>9.9999999999999992E-2</v>
      </c>
      <c r="B38" s="20">
        <f t="shared" si="4"/>
        <v>59.999999999999993</v>
      </c>
      <c r="C38" s="20">
        <f t="shared" si="5"/>
        <v>48</v>
      </c>
      <c r="D38" s="24">
        <f t="shared" si="6"/>
        <v>0.57351310442309666</v>
      </c>
      <c r="E38" s="20">
        <f t="shared" si="7"/>
        <v>10596.647660137083</v>
      </c>
      <c r="F38" s="24">
        <f t="shared" si="8"/>
        <v>3.7477974562532962E-2</v>
      </c>
      <c r="G38" s="16">
        <f t="shared" si="9"/>
        <v>271.33806237066068</v>
      </c>
      <c r="H38" s="24">
        <f t="shared" si="10"/>
        <v>1.6948668332291004E-2</v>
      </c>
      <c r="I38" s="24" cm="1">
        <f t="array" ref="I38">_xlfn.LET(_xlpm.x,$B38,_xlpm.dep,$H$6:$H$29,_xlpm.e,IF(_xlpm.x&lt;=$C$5,$C$12*(_xlpm.x-_xlpm.dep)/_xlpm.x,$C$13*(_xlpm.x-_xlpm.dep)/(_xlpm.x-3*$C$5/7))/$C$14,_xlpm.s,(_xlpm.e&gt;=1)*1+(_xlpm.e&lt;=-1)*(-1)+(ABS(_xlpm.e)&lt;1)*_xlpm.e,AVERAGE(_xlpm.s))</f>
        <v>-0.92606620350716407</v>
      </c>
      <c r="J38" s="24" cm="1">
        <f t="array" ref="J38">_xlfn.LET(_xlpm.x,$B38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2.7773785130290496E-2</v>
      </c>
      <c r="K38" s="24">
        <f t="shared" si="11"/>
        <v>-0.22911627411419166</v>
      </c>
      <c r="L38" s="24" t="str">
        <f t="shared" si="12"/>
        <v/>
      </c>
      <c r="M38" s="24">
        <f t="shared" si="13"/>
        <v>1000000000</v>
      </c>
    </row>
    <row r="39" spans="1:13" x14ac:dyDescent="0.3">
      <c r="A39" s="24">
        <f t="shared" si="14"/>
        <v>0.10999999999999999</v>
      </c>
      <c r="B39" s="20">
        <f t="shared" si="4"/>
        <v>65.999999999999986</v>
      </c>
      <c r="C39" s="20">
        <f t="shared" si="5"/>
        <v>52.79999999999999</v>
      </c>
      <c r="D39" s="24">
        <f t="shared" si="6"/>
        <v>0.60236134403518282</v>
      </c>
      <c r="E39" s="20">
        <f t="shared" si="7"/>
        <v>12194.221490979342</v>
      </c>
      <c r="F39" s="24">
        <f t="shared" si="8"/>
        <v>4.3128236165484092E-2</v>
      </c>
      <c r="G39" s="16">
        <f t="shared" si="9"/>
        <v>268.48787568357221</v>
      </c>
      <c r="H39" s="24">
        <f t="shared" si="10"/>
        <v>1.9299014183417059E-2</v>
      </c>
      <c r="I39" s="24" cm="1">
        <f t="array" ref="I39">_xlfn.LET(_xlpm.x,$B39,_xlpm.dep,$H$6:$H$29,_xlpm.e,IF(_xlpm.x&lt;=$C$5,$C$12*(_xlpm.x-_xlpm.dep)/_xlpm.x,$C$13*(_xlpm.x-_xlpm.dep)/(_xlpm.x-3*$C$5/7))/$C$14,_xlpm.s,(_xlpm.e&gt;=1)*1+(_xlpm.e&lt;=-1)*(-1)+(ABS(_xlpm.e)&lt;1)*_xlpm.e,AVERAGE(_xlpm.s))</f>
        <v>-0.89056623674719759</v>
      </c>
      <c r="J39" s="24" cm="1">
        <f t="array" ref="J39">_xlfn.LET(_xlpm.x,$B39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4.053027778589826E-2</v>
      </c>
      <c r="K39" s="24">
        <f t="shared" si="11"/>
        <v>-0.23190479046457627</v>
      </c>
      <c r="L39" s="24" t="str">
        <f t="shared" si="12"/>
        <v/>
      </c>
      <c r="M39" s="24">
        <f t="shared" si="13"/>
        <v>1000000000</v>
      </c>
    </row>
    <row r="40" spans="1:13" x14ac:dyDescent="0.3">
      <c r="A40" s="24">
        <f t="shared" si="14"/>
        <v>0.11999999999999998</v>
      </c>
      <c r="B40" s="20">
        <f t="shared" si="4"/>
        <v>71.999999999999986</v>
      </c>
      <c r="C40" s="20">
        <f t="shared" si="5"/>
        <v>57.599999999999994</v>
      </c>
      <c r="D40" s="24">
        <f t="shared" si="6"/>
        <v>0.63004669044584005</v>
      </c>
      <c r="E40" s="20">
        <f t="shared" si="7"/>
        <v>13858.851869852408</v>
      </c>
      <c r="F40" s="24">
        <f t="shared" si="8"/>
        <v>4.9015661792563711E-2</v>
      </c>
      <c r="G40" s="16">
        <f t="shared" si="9"/>
        <v>265.64077250128702</v>
      </c>
      <c r="H40" s="24">
        <f t="shared" si="10"/>
        <v>2.1700930438730739E-2</v>
      </c>
      <c r="I40" s="24" cm="1">
        <f t="array" ref="I40">_xlfn.LET(_xlpm.x,$B40,_xlpm.dep,$H$6:$H$29,_xlpm.e,IF(_xlpm.x&lt;=$C$5,$C$12*(_xlpm.x-_xlpm.dep)/_xlpm.x,$C$13*(_xlpm.x-_xlpm.dep)/(_xlpm.x-3*$C$5/7))/$C$14,_xlpm.s,(_xlpm.e&gt;=1)*1+(_xlpm.e&lt;=-1)*(-1)+(ABS(_xlpm.e)&lt;1)*_xlpm.e,AVERAGE(_xlpm.s))</f>
        <v>-0.85437321701826441</v>
      </c>
      <c r="J40" s="24" cm="1">
        <f t="array" ref="J40">_xlfn.LET(_xlpm.x,$B40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5.3354957454354972E-2</v>
      </c>
      <c r="K40" s="24">
        <f t="shared" si="11"/>
        <v>-0.23483782836829761</v>
      </c>
      <c r="L40" s="24" t="str">
        <f t="shared" si="12"/>
        <v/>
      </c>
      <c r="M40" s="24">
        <f t="shared" si="13"/>
        <v>1000000000</v>
      </c>
    </row>
    <row r="41" spans="1:13" x14ac:dyDescent="0.3">
      <c r="A41" s="24">
        <f t="shared" si="14"/>
        <v>0.12999999999999998</v>
      </c>
      <c r="B41" s="20">
        <f t="shared" si="4"/>
        <v>77.999999999999986</v>
      </c>
      <c r="C41" s="20">
        <f t="shared" si="5"/>
        <v>62.399999999999991</v>
      </c>
      <c r="D41" s="24">
        <f t="shared" si="6"/>
        <v>0.65671836474870404</v>
      </c>
      <c r="E41" s="20">
        <f t="shared" si="7"/>
        <v>15586.709610103437</v>
      </c>
      <c r="F41" s="24">
        <f t="shared" si="8"/>
        <v>5.512670846635357E-2</v>
      </c>
      <c r="G41" s="16">
        <f t="shared" si="9"/>
        <v>262.79679914296486</v>
      </c>
      <c r="H41" s="24">
        <f t="shared" si="10"/>
        <v>2.4145204220408497E-2</v>
      </c>
      <c r="I41" s="24" cm="1">
        <f t="array" ref="I41">_xlfn.LET(_xlpm.x,$B41,_xlpm.dep,$H$6:$H$29,_xlpm.e,IF(_xlpm.x&lt;=$C$5,$C$12*(_xlpm.x-_xlpm.dep)/_xlpm.x,$C$13*(_xlpm.x-_xlpm.dep)/(_xlpm.x-3*$C$5/7))/$C$14,_xlpm.s,(_xlpm.e&gt;=1)*1+(_xlpm.e&lt;=-1)*(-1)+(ABS(_xlpm.e)&lt;1)*_xlpm.e,AVERAGE(_xlpm.s))</f>
        <v>-0.82374835417070569</v>
      </c>
      <c r="J41" s="24" cm="1">
        <f t="array" ref="J41">_xlfn.LET(_xlpm.x,$B41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6.4206609481510649E-2</v>
      </c>
      <c r="K41" s="24">
        <f t="shared" si="11"/>
        <v>-0.23614991549531336</v>
      </c>
      <c r="L41" s="24" t="str">
        <f t="shared" si="12"/>
        <v/>
      </c>
      <c r="M41" s="24">
        <f t="shared" si="13"/>
        <v>1000000000</v>
      </c>
    </row>
    <row r="42" spans="1:13" x14ac:dyDescent="0.3">
      <c r="A42" s="24">
        <f t="shared" si="14"/>
        <v>0.13999999999999999</v>
      </c>
      <c r="B42" s="20">
        <f t="shared" si="4"/>
        <v>83.999999999999986</v>
      </c>
      <c r="C42" s="20">
        <f t="shared" si="5"/>
        <v>67.199999999999989</v>
      </c>
      <c r="D42" s="24">
        <f t="shared" si="6"/>
        <v>0.68249731727597174</v>
      </c>
      <c r="E42" s="20">
        <f t="shared" si="7"/>
        <v>17374.372328444391</v>
      </c>
      <c r="F42" s="24">
        <f t="shared" si="8"/>
        <v>6.1449271982021512E-2</v>
      </c>
      <c r="G42" s="16">
        <f t="shared" si="9"/>
        <v>259.9560029376986</v>
      </c>
      <c r="H42" s="24">
        <f t="shared" si="10"/>
        <v>2.6623511879796374E-2</v>
      </c>
      <c r="I42" s="24" cm="1">
        <f t="array" ref="I42">_xlfn.LET(_xlpm.x,$B42,_xlpm.dep,$H$6:$H$29,_xlpm.e,IF(_xlpm.x&lt;=$C$5,$C$12*(_xlpm.x-_xlpm.dep)/_xlpm.x,$C$13*(_xlpm.x-_xlpm.dep)/(_xlpm.x-3*$C$5/7))/$C$14,_xlpm.s,(_xlpm.e&gt;=1)*1+(_xlpm.e&lt;=-1)*(-1)+(ABS(_xlpm.e)&lt;1)*_xlpm.e,AVERAGE(_xlpm.s))</f>
        <v>-0.79749847172994093</v>
      </c>
      <c r="J42" s="24" cm="1">
        <f t="array" ref="J42">_xlfn.LET(_xlpm.x,$B42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7.3508025504786911E-2</v>
      </c>
      <c r="K42" s="24">
        <f t="shared" si="11"/>
        <v>-0.23599486065834141</v>
      </c>
      <c r="L42" s="24" t="str">
        <f t="shared" si="12"/>
        <v/>
      </c>
      <c r="M42" s="24">
        <f t="shared" si="13"/>
        <v>1000000000</v>
      </c>
    </row>
    <row r="43" spans="1:13" x14ac:dyDescent="0.3">
      <c r="A43" s="24">
        <f t="shared" si="14"/>
        <v>0.15</v>
      </c>
      <c r="B43" s="20">
        <f t="shared" si="4"/>
        <v>90</v>
      </c>
      <c r="C43" s="20">
        <f t="shared" si="5"/>
        <v>72</v>
      </c>
      <c r="D43" s="24">
        <f t="shared" si="6"/>
        <v>0.70748321177934292</v>
      </c>
      <c r="E43" s="20">
        <f t="shared" si="7"/>
        <v>19218.750909972892</v>
      </c>
      <c r="F43" s="24">
        <f t="shared" si="8"/>
        <v>6.797242683053438E-2</v>
      </c>
      <c r="G43" s="16">
        <f t="shared" si="9"/>
        <v>257.11843225388986</v>
      </c>
      <c r="H43" s="24">
        <f t="shared" si="10"/>
        <v>2.9128273038598732E-2</v>
      </c>
      <c r="I43" s="24" cm="1">
        <f t="array" ref="I43">_xlfn.LET(_xlpm.x,$B43,_xlpm.dep,$H$6:$H$29,_xlpm.e,IF(_xlpm.x&lt;=$C$5,$C$12*(_xlpm.x-_xlpm.dep)/_xlpm.x,$C$13*(_xlpm.x-_xlpm.dep)/(_xlpm.x-3*$C$5/7))/$C$14,_xlpm.s,(_xlpm.e&gt;=1)*1+(_xlpm.e&lt;=-1)*(-1)+(ABS(_xlpm.e)&lt;1)*_xlpm.e,AVERAGE(_xlpm.s))</f>
        <v>-0.7620248318800017</v>
      </c>
      <c r="J43" s="24" cm="1">
        <f t="array" ref="J43">_xlfn.LET(_xlpm.x,$B43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8.5018119615626428E-2</v>
      </c>
      <c r="K43" s="24">
        <f t="shared" si="11"/>
        <v>-0.23842055830963374</v>
      </c>
      <c r="L43" s="24" t="str">
        <f t="shared" si="12"/>
        <v/>
      </c>
      <c r="M43" s="24">
        <f t="shared" si="13"/>
        <v>1000000000</v>
      </c>
    </row>
    <row r="44" spans="1:13" x14ac:dyDescent="0.3">
      <c r="A44" s="24">
        <f t="shared" si="14"/>
        <v>0.16</v>
      </c>
      <c r="B44" s="20">
        <f t="shared" si="4"/>
        <v>96</v>
      </c>
      <c r="C44" s="20">
        <f t="shared" si="5"/>
        <v>76.800000000000011</v>
      </c>
      <c r="D44" s="24">
        <f t="shared" si="6"/>
        <v>0.73175933890163392</v>
      </c>
      <c r="E44" s="20">
        <f t="shared" si="7"/>
        <v>21117.033375601419</v>
      </c>
      <c r="F44" s="24">
        <f t="shared" si="8"/>
        <v>7.4686227670299962E-2</v>
      </c>
      <c r="G44" s="16">
        <f t="shared" si="9"/>
        <v>254.2841365297048</v>
      </c>
      <c r="H44" s="24">
        <f t="shared" si="10"/>
        <v>3.1652538189671953E-2</v>
      </c>
      <c r="I44" s="24" cm="1">
        <f t="array" ref="I44">_xlfn.LET(_xlpm.x,$B44,_xlpm.dep,$H$6:$H$29,_xlpm.e,IF(_xlpm.x&lt;=$C$5,$C$12*(_xlpm.x-_xlpm.dep)/_xlpm.x,$C$13*(_xlpm.x-_xlpm.dep)/(_xlpm.x-3*$C$5/7))/$C$14,_xlpm.s,(_xlpm.e&gt;=1)*1+(_xlpm.e&lt;=-1)*(-1)+(ABS(_xlpm.e)&lt;1)*_xlpm.e,AVERAGE(_xlpm.s))</f>
        <v>-0.72932015488750146</v>
      </c>
      <c r="J44" s="24" cm="1">
        <f t="array" ref="J44">_xlfn.LET(_xlpm.x,$B44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9.554082849520025E-2</v>
      </c>
      <c r="K44" s="24">
        <f t="shared" si="11"/>
        <v>-0.23990641675034791</v>
      </c>
      <c r="L44" s="24" t="str">
        <f t="shared" si="12"/>
        <v/>
      </c>
      <c r="M44" s="24">
        <f t="shared" si="13"/>
        <v>1000000000</v>
      </c>
    </row>
    <row r="45" spans="1:13" x14ac:dyDescent="0.3">
      <c r="A45" s="24">
        <f t="shared" si="14"/>
        <v>0.17</v>
      </c>
      <c r="B45" s="20">
        <f t="shared" si="4"/>
        <v>102.00000000000001</v>
      </c>
      <c r="C45" s="20">
        <f t="shared" si="5"/>
        <v>81.600000000000023</v>
      </c>
      <c r="D45" s="24">
        <f t="shared" si="6"/>
        <v>0.75539616303736268</v>
      </c>
      <c r="E45" s="20">
        <f t="shared" si="7"/>
        <v>23066.641172102391</v>
      </c>
      <c r="F45" s="24">
        <f t="shared" si="8"/>
        <v>8.1581554734825021E-2</v>
      </c>
      <c r="G45" s="16">
        <f t="shared" si="9"/>
        <v>251.45316630465899</v>
      </c>
      <c r="H45" s="24">
        <f t="shared" si="10"/>
        <v>3.418990041688099E-2</v>
      </c>
      <c r="I45" s="24" cm="1">
        <f t="array" ref="I45">_xlfn.LET(_xlpm.x,$B45,_xlpm.dep,$H$6:$H$29,_xlpm.e,IF(_xlpm.x&lt;=$C$5,$C$12*(_xlpm.x-_xlpm.dep)/_xlpm.x,$C$13*(_xlpm.x-_xlpm.dep)/(_xlpm.x-3*$C$5/7))/$C$14,_xlpm.s,(_xlpm.e&gt;=1)*1+(_xlpm.e&lt;=-1)*(-1)+(ABS(_xlpm.e)&lt;1)*_xlpm.e,AVERAGE(_xlpm.s))</f>
        <v>-0.70046308695294268</v>
      </c>
      <c r="J45" s="24" cm="1">
        <f t="array" ref="J45">_xlfn.LET(_xlpm.x,$B45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0.10482557162423593</v>
      </c>
      <c r="K45" s="24">
        <f t="shared" si="11"/>
        <v>-0.23994591733516341</v>
      </c>
      <c r="L45" s="24" t="str">
        <f t="shared" si="12"/>
        <v/>
      </c>
      <c r="M45" s="24">
        <f t="shared" si="13"/>
        <v>1000000000</v>
      </c>
    </row>
    <row r="46" spans="1:13" x14ac:dyDescent="0.3">
      <c r="A46" s="24">
        <f t="shared" si="14"/>
        <v>0.18000000000000002</v>
      </c>
      <c r="B46" s="20">
        <f t="shared" si="4"/>
        <v>108.00000000000001</v>
      </c>
      <c r="C46" s="20">
        <f t="shared" si="5"/>
        <v>86.40000000000002</v>
      </c>
      <c r="D46" s="24">
        <f t="shared" si="6"/>
        <v>0.77845394015561808</v>
      </c>
      <c r="E46" s="20">
        <f t="shared" si="7"/>
        <v>25065.194545523467</v>
      </c>
      <c r="F46" s="24">
        <f t="shared" si="8"/>
        <v>8.864999136622384E-2</v>
      </c>
      <c r="G46" s="16">
        <f t="shared" si="9"/>
        <v>248.62557325238609</v>
      </c>
      <c r="H46" s="24">
        <f t="shared" si="10"/>
        <v>3.6734424870410794E-2</v>
      </c>
      <c r="I46" s="24" cm="1">
        <f t="array" ref="I46">_xlfn.LET(_xlpm.x,$B46,_xlpm.dep,$H$6:$H$29,_xlpm.e,IF(_xlpm.x&lt;=$C$5,$C$12*(_xlpm.x-_xlpm.dep)/_xlpm.x,$C$13*(_xlpm.x-_xlpm.dep)/(_xlpm.x-3*$C$5/7))/$C$14,_xlpm.s,(_xlpm.e&gt;=1)*1+(_xlpm.e&lt;=-1)*(-1)+(ABS(_xlpm.e)&lt;1)*_xlpm.e,AVERAGE(_xlpm.s))</f>
        <v>-0.67481235990000143</v>
      </c>
      <c r="J46" s="24" cm="1">
        <f t="array" ref="J46">_xlfn.LET(_xlpm.x,$B46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0.11307867662782321</v>
      </c>
      <c r="K46" s="24">
        <f t="shared" si="11"/>
        <v>-0.23859198629794537</v>
      </c>
      <c r="L46" s="24" t="str">
        <f t="shared" si="12"/>
        <v/>
      </c>
      <c r="M46" s="24">
        <f t="shared" si="13"/>
        <v>1000000000</v>
      </c>
    </row>
    <row r="47" spans="1:13" x14ac:dyDescent="0.3">
      <c r="A47" s="24">
        <f t="shared" si="14"/>
        <v>0.19000000000000003</v>
      </c>
      <c r="B47" s="20">
        <f t="shared" si="4"/>
        <v>114.00000000000001</v>
      </c>
      <c r="C47" s="20">
        <f t="shared" si="5"/>
        <v>91.200000000000017</v>
      </c>
      <c r="D47" s="24">
        <f t="shared" si="6"/>
        <v>0.80098468766555209</v>
      </c>
      <c r="E47" s="20">
        <f t="shared" si="7"/>
        <v>27110.484695853964</v>
      </c>
      <c r="F47" s="24">
        <f t="shared" si="8"/>
        <v>9.5883725532496369E-2</v>
      </c>
      <c r="G47" s="16">
        <f t="shared" si="9"/>
        <v>245.80141021464124</v>
      </c>
      <c r="H47" s="24">
        <f t="shared" si="10"/>
        <v>3.928059158753535E-2</v>
      </c>
      <c r="I47" s="24" cm="1">
        <f t="array" ref="I47">_xlfn.LET(_xlpm.x,$B47,_xlpm.dep,$H$6:$H$29,_xlpm.e,IF(_xlpm.x&lt;=$C$5,$C$12*(_xlpm.x-_xlpm.dep)/_xlpm.x,$C$13*(_xlpm.x-_xlpm.dep)/(_xlpm.x-3*$C$5/7))/$C$14,_xlpm.s,(_xlpm.e&gt;=1)*1+(_xlpm.e&lt;=-1)*(-1)+(ABS(_xlpm.e)&lt;1)*_xlpm.e,AVERAGE(_xlpm.s))</f>
        <v>-0.65186170937894861</v>
      </c>
      <c r="J47" s="24" cm="1">
        <f t="array" ref="J47">_xlfn.LET(_xlpm.x,$B47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0.12046303373629605</v>
      </c>
      <c r="K47" s="24">
        <f t="shared" si="11"/>
        <v>-0.23589525960525562</v>
      </c>
      <c r="L47" s="24" t="str">
        <f t="shared" si="12"/>
        <v/>
      </c>
      <c r="M47" s="24">
        <f t="shared" si="13"/>
        <v>1000000000</v>
      </c>
    </row>
    <row r="48" spans="1:13" x14ac:dyDescent="0.3">
      <c r="A48" s="24">
        <f t="shared" si="14"/>
        <v>0.20000000000000004</v>
      </c>
      <c r="B48" s="20">
        <f t="shared" si="4"/>
        <v>120.00000000000003</v>
      </c>
      <c r="C48" s="20">
        <f t="shared" si="5"/>
        <v>96.000000000000028</v>
      </c>
      <c r="D48" s="24">
        <f t="shared" si="6"/>
        <v>0.82303369213497612</v>
      </c>
      <c r="E48" s="20">
        <f t="shared" si="7"/>
        <v>29200.451087140264</v>
      </c>
      <c r="F48" s="24">
        <f t="shared" si="8"/>
        <v>0.10327546957847737</v>
      </c>
      <c r="G48" s="16">
        <f t="shared" si="9"/>
        <v>242.9807312365958</v>
      </c>
      <c r="H48" s="24">
        <f t="shared" si="10"/>
        <v>4.1823248528302062E-2</v>
      </c>
      <c r="I48" s="24" cm="1">
        <f t="array" ref="I48">_xlfn.LET(_xlpm.x,$B48,_xlpm.dep,$H$6:$H$29,_xlpm.e,IF(_xlpm.x&lt;=$C$5,$C$12*(_xlpm.x-_xlpm.dep)/_xlpm.x,$C$13*(_xlpm.x-_xlpm.dep)/(_xlpm.x-3*$C$5/7))/$C$14,_xlpm.s,(_xlpm.e&gt;=1)*1+(_xlpm.e&lt;=-1)*(-1)+(ABS(_xlpm.e)&lt;1)*_xlpm.e,AVERAGE(_xlpm.s))</f>
        <v>-0.62054640168777886</v>
      </c>
      <c r="J48" s="24" cm="1">
        <f t="array" ref="J48">_xlfn.LET(_xlpm.x,$B48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0.12915206855984759</v>
      </c>
      <c r="K48" s="24">
        <f t="shared" si="11"/>
        <v>-0.23588782839859407</v>
      </c>
      <c r="L48" s="24" t="str">
        <f t="shared" si="12"/>
        <v/>
      </c>
      <c r="M48" s="24">
        <f t="shared" si="13"/>
        <v>1000000000</v>
      </c>
    </row>
    <row r="49" spans="1:13" x14ac:dyDescent="0.3">
      <c r="A49" s="24">
        <f t="shared" si="14"/>
        <v>0.21000000000000005</v>
      </c>
      <c r="B49" s="20">
        <f t="shared" si="4"/>
        <v>126.00000000000003</v>
      </c>
      <c r="C49" s="20">
        <f t="shared" si="5"/>
        <v>100.80000000000003</v>
      </c>
      <c r="D49" s="24">
        <f t="shared" si="6"/>
        <v>0.84464068082071642</v>
      </c>
      <c r="E49" s="20">
        <f t="shared" si="7"/>
        <v>31333.162740364067</v>
      </c>
      <c r="F49" s="24">
        <f t="shared" si="8"/>
        <v>0.11081839406292751</v>
      </c>
      <c r="G49" s="16">
        <f t="shared" si="9"/>
        <v>240.16359160348591</v>
      </c>
      <c r="H49" s="24">
        <f t="shared" si="10"/>
        <v>4.4357572556471818E-2</v>
      </c>
      <c r="I49" s="24" cm="1">
        <f t="array" ref="I49">_xlfn.LET(_xlpm.x,$B49,_xlpm.dep,$H$6:$H$29,_xlpm.e,IF(_xlpm.x&lt;=$C$5,$C$12*(_xlpm.x-_xlpm.dep)/_xlpm.x,$C$13*(_xlpm.x-_xlpm.dep)/(_xlpm.x-3*$C$5/7))/$C$14,_xlpm.s,(_xlpm.e&gt;=1)*1+(_xlpm.e&lt;=-1)*(-1)+(ABS(_xlpm.e)&lt;1)*_xlpm.e,AVERAGE(_xlpm.s))</f>
        <v>-0.59200847779788468</v>
      </c>
      <c r="J49" s="24" cm="1">
        <f t="array" ref="J49">_xlfn.LET(_xlpm.x,$B49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0.13705287299455993</v>
      </c>
      <c r="K49" s="24">
        <f t="shared" si="11"/>
        <v>-0.23451761898187082</v>
      </c>
      <c r="L49" s="24" t="str">
        <f t="shared" si="12"/>
        <v/>
      </c>
      <c r="M49" s="24">
        <f t="shared" si="13"/>
        <v>1000000000</v>
      </c>
    </row>
    <row r="50" spans="1:13" x14ac:dyDescent="0.3">
      <c r="A50" s="24">
        <f t="shared" si="14"/>
        <v>0.22000000000000006</v>
      </c>
      <c r="B50" s="20">
        <f t="shared" si="4"/>
        <v>132.00000000000003</v>
      </c>
      <c r="C50" s="20">
        <f t="shared" si="5"/>
        <v>105.60000000000002</v>
      </c>
      <c r="D50" s="24">
        <f t="shared" si="6"/>
        <v>0.86584074431493285</v>
      </c>
      <c r="E50" s="20">
        <f t="shared" si="7"/>
        <v>33506.802647273733</v>
      </c>
      <c r="F50" s="24">
        <f t="shared" si="8"/>
        <v>0.11850607263373819</v>
      </c>
      <c r="G50" s="16">
        <f t="shared" si="9"/>
        <v>237.3500478786774</v>
      </c>
      <c r="H50" s="24">
        <f t="shared" si="10"/>
        <v>4.6879036689219639E-2</v>
      </c>
      <c r="I50" s="24" cm="1">
        <f t="array" ref="I50">_xlfn.LET(_xlpm.x,$B50,_xlpm.dep,$H$6:$H$29,_xlpm.e,IF(_xlpm.x&lt;=$C$5,$C$12*(_xlpm.x-_xlpm.dep)/_xlpm.x,$C$13*(_xlpm.x-_xlpm.dep)/(_xlpm.x-3*$C$5/7))/$C$14,_xlpm.s,(_xlpm.e&gt;=1)*1+(_xlpm.e&lt;=-1)*(-1)+(ABS(_xlpm.e)&lt;1)*_xlpm.e,AVERAGE(_xlpm.s))</f>
        <v>-0.56606491062525355</v>
      </c>
      <c r="J50" s="24" cm="1">
        <f t="array" ref="J50">_xlfn.LET(_xlpm.x,$B50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0.14423542248066204</v>
      </c>
      <c r="K50" s="24">
        <f t="shared" si="11"/>
        <v>-0.23168498452689659</v>
      </c>
      <c r="L50" s="24" t="str">
        <f t="shared" si="12"/>
        <v/>
      </c>
      <c r="M50" s="24">
        <f t="shared" si="13"/>
        <v>1000000000</v>
      </c>
    </row>
    <row r="51" spans="1:13" x14ac:dyDescent="0.3">
      <c r="A51" s="24">
        <f t="shared" si="14"/>
        <v>0.23000000000000007</v>
      </c>
      <c r="B51" s="20">
        <f t="shared" si="4"/>
        <v>138.00000000000003</v>
      </c>
      <c r="C51" s="20">
        <f t="shared" si="5"/>
        <v>110.40000000000003</v>
      </c>
      <c r="D51" s="24">
        <f t="shared" si="6"/>
        <v>0.88666507202864253</v>
      </c>
      <c r="E51" s="20">
        <f t="shared" si="7"/>
        <v>35719.654661188681</v>
      </c>
      <c r="F51" s="24">
        <f t="shared" si="8"/>
        <v>0.12633243566363642</v>
      </c>
      <c r="G51" s="16">
        <f t="shared" si="9"/>
        <v>234.54015794321307</v>
      </c>
      <c r="H51" s="24">
        <f t="shared" si="10"/>
        <v>4.9383382356500152E-2</v>
      </c>
      <c r="I51" s="24" cm="1">
        <f t="array" ref="I51">_xlfn.LET(_xlpm.x,$B51,_xlpm.dep,$H$6:$H$29,_xlpm.e,IF(_xlpm.x&lt;=$C$5,$C$12*(_xlpm.x-_xlpm.dep)/_xlpm.x,$C$13*(_xlpm.x-_xlpm.dep)/(_xlpm.x-3*$C$5/7))/$C$14,_xlpm.s,(_xlpm.e&gt;=1)*1+(_xlpm.e&lt;=-1)*(-1)+(ABS(_xlpm.e)&lt;1)*_xlpm.e,AVERAGE(_xlpm.s))</f>
        <v>-0.54237730581545984</v>
      </c>
      <c r="J51" s="24" cm="1">
        <f t="array" ref="J51">_xlfn.LET(_xlpm.x,$B51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0.1507934024462336</v>
      </c>
      <c r="K51" s="24">
        <f t="shared" si="11"/>
        <v>-0.22737377782449536</v>
      </c>
      <c r="L51" s="24" t="str">
        <f t="shared" si="12"/>
        <v/>
      </c>
      <c r="M51" s="24">
        <f t="shared" si="13"/>
        <v>1000000000</v>
      </c>
    </row>
    <row r="52" spans="1:13" x14ac:dyDescent="0.3">
      <c r="A52" s="24">
        <f t="shared" si="14"/>
        <v>0.24000000000000007</v>
      </c>
      <c r="B52" s="20">
        <f t="shared" si="4"/>
        <v>144.00000000000006</v>
      </c>
      <c r="C52" s="20">
        <f t="shared" si="5"/>
        <v>115.20000000000005</v>
      </c>
      <c r="D52" s="24">
        <f t="shared" si="6"/>
        <v>0.90714154492811294</v>
      </c>
      <c r="E52" s="20">
        <f t="shared" si="7"/>
        <v>37970.092376326676</v>
      </c>
      <c r="F52" s="24">
        <f t="shared" si="8"/>
        <v>0.13429173091885069</v>
      </c>
      <c r="G52" s="16">
        <f t="shared" si="9"/>
        <v>231.73398103691406</v>
      </c>
      <c r="H52" s="24">
        <f t="shared" si="10"/>
        <v>5.1866595710272183E-2</v>
      </c>
      <c r="I52" s="24" cm="1">
        <f t="array" ref="I52">_xlfn.LET(_xlpm.x,$B52,_xlpm.dep,$H$6:$H$29,_xlpm.e,IF(_xlpm.x&lt;=$C$5,$C$12*(_xlpm.x-_xlpm.dep)/_xlpm.x,$C$13*(_xlpm.x-_xlpm.dep)/(_xlpm.x-3*$C$5/7))/$C$14,_xlpm.s,(_xlpm.e&gt;=1)*1+(_xlpm.e&lt;=-1)*(-1)+(ABS(_xlpm.e)&lt;1)*_xlpm.e,AVERAGE(_xlpm.s))</f>
        <v>-0.52066366807314912</v>
      </c>
      <c r="J52" s="24" cm="1">
        <f t="array" ref="J52">_xlfn.LET(_xlpm.x,$B52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0.15680488408134083</v>
      </c>
      <c r="K52" s="24">
        <f t="shared" si="11"/>
        <v>-0.22156929482183665</v>
      </c>
      <c r="L52" s="24" t="str">
        <f t="shared" si="12"/>
        <v/>
      </c>
      <c r="M52" s="24">
        <f t="shared" si="13"/>
        <v>1000000000</v>
      </c>
    </row>
    <row r="53" spans="1:13" x14ac:dyDescent="0.3">
      <c r="A53" s="24">
        <f t="shared" si="14"/>
        <v>0.25000000000000006</v>
      </c>
      <c r="B53" s="20">
        <f t="shared" si="4"/>
        <v>150.00000000000003</v>
      </c>
      <c r="C53" s="20">
        <f t="shared" si="5"/>
        <v>120.00000000000003</v>
      </c>
      <c r="D53" s="24">
        <f t="shared" si="6"/>
        <v>0.9272952180016123</v>
      </c>
      <c r="E53" s="20">
        <f t="shared" si="7"/>
        <v>40256.569620145106</v>
      </c>
      <c r="F53" s="24">
        <f t="shared" si="8"/>
        <v>0.14237848993264704</v>
      </c>
      <c r="G53" s="16">
        <f t="shared" si="9"/>
        <v>228.9315778011088</v>
      </c>
      <c r="H53" s="24">
        <f t="shared" si="10"/>
        <v>5.4324887242033618E-2</v>
      </c>
      <c r="I53" s="24" cm="1">
        <f t="array" ref="I53">_xlfn.LET(_xlpm.x,$B53,_xlpm.dep,$H$6:$H$29,_xlpm.e,IF(_xlpm.x&lt;=$C$5,$C$12*(_xlpm.x-_xlpm.dep)/_xlpm.x,$C$13*(_xlpm.x-_xlpm.dep)/(_xlpm.x-3*$C$5/7))/$C$14,_xlpm.s,(_xlpm.e&gt;=1)*1+(_xlpm.e&lt;=-1)*(-1)+(ABS(_xlpm.e)&lt;1)*_xlpm.e,AVERAGE(_xlpm.s))</f>
        <v>-0.49827562557163235</v>
      </c>
      <c r="J53" s="24" cm="1">
        <f t="array" ref="J53">_xlfn.LET(_xlpm.x,$B53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0.16257470124893486</v>
      </c>
      <c r="K53" s="24">
        <f t="shared" si="11"/>
        <v>-0.21529514440416878</v>
      </c>
      <c r="L53" s="24" t="str">
        <f t="shared" si="12"/>
        <v/>
      </c>
      <c r="M53" s="24">
        <f t="shared" si="13"/>
        <v>1000000000</v>
      </c>
    </row>
    <row r="54" spans="1:13" x14ac:dyDescent="0.3">
      <c r="A54" s="24">
        <f t="shared" si="14"/>
        <v>0.26000000000000006</v>
      </c>
      <c r="B54" s="20">
        <f t="shared" si="4"/>
        <v>156.00000000000003</v>
      </c>
      <c r="C54" s="20">
        <f t="shared" si="5"/>
        <v>124.80000000000003</v>
      </c>
      <c r="D54" s="24">
        <f t="shared" si="6"/>
        <v>0.94714871655134181</v>
      </c>
      <c r="E54" s="20">
        <f t="shared" si="7"/>
        <v>42577.612266462776</v>
      </c>
      <c r="F54" s="24">
        <f t="shared" si="8"/>
        <v>0.15058749905017038</v>
      </c>
      <c r="G54" s="16">
        <f t="shared" si="9"/>
        <v>226.13301032307177</v>
      </c>
      <c r="H54" s="24">
        <f t="shared" si="10"/>
        <v>5.6754674128729574E-2</v>
      </c>
      <c r="I54" s="24" cm="1">
        <f t="array" ref="I54">_xlfn.LET(_xlpm.x,$B54,_xlpm.dep,$H$6:$H$29,_xlpm.e,IF(_xlpm.x&lt;=$C$5,$C$12*(_xlpm.x-_xlpm.dep)/_xlpm.x,$C$13*(_xlpm.x-_xlpm.dep)/(_xlpm.x-3*$C$5/7))/$C$14,_xlpm.s,(_xlpm.e&gt;=1)*1+(_xlpm.e&lt;=-1)*(-1)+(ABS(_xlpm.e)&lt;1)*_xlpm.e,AVERAGE(_xlpm.s))</f>
        <v>-0.47156310151118491</v>
      </c>
      <c r="J54" s="24" cm="1">
        <f t="array" ref="J54">_xlfn.LET(_xlpm.x,$B54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0.16850059733836928</v>
      </c>
      <c r="K54" s="24">
        <f t="shared" si="11"/>
        <v>-0.21008283584004933</v>
      </c>
      <c r="L54" s="24" t="str">
        <f t="shared" si="12"/>
        <v/>
      </c>
      <c r="M54" s="24">
        <f t="shared" si="13"/>
        <v>1000000000</v>
      </c>
    </row>
    <row r="55" spans="1:13" x14ac:dyDescent="0.3">
      <c r="A55" s="24">
        <f t="shared" si="14"/>
        <v>0.27000000000000007</v>
      </c>
      <c r="B55" s="20">
        <f t="shared" si="4"/>
        <v>162.00000000000006</v>
      </c>
      <c r="C55" s="20">
        <f t="shared" si="5"/>
        <v>129.60000000000005</v>
      </c>
      <c r="D55" s="24">
        <f t="shared" si="6"/>
        <v>0.96672256442390436</v>
      </c>
      <c r="E55" s="20">
        <f t="shared" si="7"/>
        <v>44931.811139389836</v>
      </c>
      <c r="F55" s="24">
        <f t="shared" si="8"/>
        <v>0.15891377433123063</v>
      </c>
      <c r="G55" s="16">
        <f t="shared" si="9"/>
        <v>223.33834218225161</v>
      </c>
      <c r="H55" s="24">
        <f t="shared" si="10"/>
        <v>5.9152564848435826E-2</v>
      </c>
      <c r="I55" s="24" cm="1">
        <f t="array" ref="I55">_xlfn.LET(_xlpm.x,$B55,_xlpm.dep,$H$6:$H$29,_xlpm.e,IF(_xlpm.x&lt;=$C$5,$C$12*(_xlpm.x-_xlpm.dep)/_xlpm.x,$C$13*(_xlpm.x-_xlpm.dep)/(_xlpm.x-3*$C$5/7))/$C$14,_xlpm.s,(_xlpm.e&gt;=1)*1+(_xlpm.e&lt;=-1)*(-1)+(ABS(_xlpm.e)&lt;1)*_xlpm.e,AVERAGE(_xlpm.s))</f>
        <v>-0.4468292829366966</v>
      </c>
      <c r="J55" s="24" cm="1">
        <f t="array" ref="J55">_xlfn.LET(_xlpm.x,$B55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0.17398753816191964</v>
      </c>
      <c r="K55" s="24">
        <f t="shared" si="11"/>
        <v>-0.20307764470036768</v>
      </c>
      <c r="L55" s="24" t="str">
        <f t="shared" si="12"/>
        <v/>
      </c>
      <c r="M55" s="24">
        <f t="shared" si="13"/>
        <v>1000000000</v>
      </c>
    </row>
    <row r="56" spans="1:13" x14ac:dyDescent="0.3">
      <c r="A56" s="24">
        <f t="shared" si="14"/>
        <v>0.28000000000000008</v>
      </c>
      <c r="B56" s="20">
        <f t="shared" si="4"/>
        <v>168.00000000000006</v>
      </c>
      <c r="C56" s="20">
        <f t="shared" si="5"/>
        <v>134.40000000000006</v>
      </c>
      <c r="D56" s="24">
        <f t="shared" si="6"/>
        <v>0.98603545796151482</v>
      </c>
      <c r="E56" s="20">
        <f t="shared" si="7"/>
        <v>47317.815825233003</v>
      </c>
      <c r="F56" s="24">
        <f t="shared" si="8"/>
        <v>0.16735253966439428</v>
      </c>
      <c r="G56" s="16">
        <f t="shared" si="9"/>
        <v>220.5476384983796</v>
      </c>
      <c r="H56" s="24">
        <f t="shared" si="10"/>
        <v>6.1515345699480938E-2</v>
      </c>
      <c r="I56" s="24" cm="1">
        <f t="array" ref="I56">_xlfn.LET(_xlpm.x,$B56,_xlpm.dep,$H$6:$H$29,_xlpm.e,IF(_xlpm.x&lt;=$C$5,$C$12*(_xlpm.x-_xlpm.dep)/_xlpm.x,$C$13*(_xlpm.x-_xlpm.dep)/(_xlpm.x-3*$C$5/7))/$C$14,_xlpm.s,(_xlpm.e&gt;=1)*1+(_xlpm.e&lt;=-1)*(-1)+(ABS(_xlpm.e)&lt;1)*_xlpm.e,AVERAGE(_xlpm.s))</f>
        <v>-0.4238621656889574</v>
      </c>
      <c r="J56" s="24" cm="1">
        <f t="array" ref="J56">_xlfn.LET(_xlpm.x,$B56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0.17908255464093076</v>
      </c>
      <c r="K56" s="24">
        <f t="shared" si="11"/>
        <v>-0.19417225619795167</v>
      </c>
      <c r="L56" s="24" t="str">
        <f t="shared" si="12"/>
        <v/>
      </c>
      <c r="M56" s="24">
        <f t="shared" si="13"/>
        <v>1000000000</v>
      </c>
    </row>
    <row r="57" spans="1:13" x14ac:dyDescent="0.3">
      <c r="A57" s="24">
        <f t="shared" si="14"/>
        <v>0.29000000000000009</v>
      </c>
      <c r="B57" s="20">
        <f t="shared" si="4"/>
        <v>174.00000000000006</v>
      </c>
      <c r="C57" s="20">
        <f t="shared" si="5"/>
        <v>139.20000000000005</v>
      </c>
      <c r="D57" s="24">
        <f t="shared" si="6"/>
        <v>1.0051044962776214</v>
      </c>
      <c r="E57" s="20">
        <f t="shared" si="7"/>
        <v>49734.32924565245</v>
      </c>
      <c r="F57" s="24">
        <f t="shared" si="8"/>
        <v>0.17589920757345337</v>
      </c>
      <c r="G57" s="16">
        <f t="shared" si="9"/>
        <v>217.76096598155254</v>
      </c>
      <c r="H57" s="24">
        <f t="shared" si="10"/>
        <v>6.3839968927641377E-2</v>
      </c>
      <c r="I57" s="24" cm="1">
        <f t="array" ref="I57">_xlfn.LET(_xlpm.x,$B57,_xlpm.dep,$H$6:$H$29,_xlpm.e,IF(_xlpm.x&lt;=$C$5,$C$12*(_xlpm.x-_xlpm.dep)/_xlpm.x,$C$13*(_xlpm.x-_xlpm.dep)/(_xlpm.x-3*$C$5/7))/$C$14,_xlpm.s,(_xlpm.e&gt;=1)*1+(_xlpm.e&lt;=-1)*(-1)+(ABS(_xlpm.e)&lt;1)*_xlpm.e,AVERAGE(_xlpm.s))</f>
        <v>-0.40247898756175188</v>
      </c>
      <c r="J57" s="24" cm="1">
        <f t="array" ref="J57">_xlfn.LET(_xlpm.x,$B57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0.18382619067311345</v>
      </c>
      <c r="K57" s="24">
        <f t="shared" si="11"/>
        <v>-0.18325330613290602</v>
      </c>
      <c r="L57" s="24" t="str">
        <f t="shared" si="12"/>
        <v/>
      </c>
      <c r="M57" s="24">
        <f t="shared" si="13"/>
        <v>1000000000</v>
      </c>
    </row>
    <row r="58" spans="1:13" x14ac:dyDescent="0.3">
      <c r="A58" s="24">
        <f t="shared" si="14"/>
        <v>0.3000000000000001</v>
      </c>
      <c r="B58" s="20">
        <f t="shared" si="4"/>
        <v>180.00000000000006</v>
      </c>
      <c r="C58" s="20">
        <f t="shared" si="5"/>
        <v>144.00000000000006</v>
      </c>
      <c r="D58" s="24">
        <f t="shared" si="6"/>
        <v>1.0239453760989528</v>
      </c>
      <c r="E58" s="20">
        <f t="shared" si="7"/>
        <v>52180.102873300537</v>
      </c>
      <c r="F58" s="24">
        <f t="shared" si="8"/>
        <v>0.18454936229620869</v>
      </c>
      <c r="G58" s="16">
        <f t="shared" si="9"/>
        <v>214.9783929843872</v>
      </c>
      <c r="H58" s="24">
        <f t="shared" si="10"/>
        <v>6.6123542221220674E-2</v>
      </c>
      <c r="I58" s="24" cm="1">
        <f t="array" ref="I58">_xlfn.LET(_xlpm.x,$B58,_xlpm.dep,$H$6:$H$29,_xlpm.e,IF(_xlpm.x&lt;=$C$5,$C$12*(_xlpm.x-_xlpm.dep)/_xlpm.x,$C$13*(_xlpm.x-_xlpm.dep)/(_xlpm.x-3*$C$5/7))/$C$14,_xlpm.s,(_xlpm.e&gt;=1)*1+(_xlpm.e&lt;=-1)*(-1)+(ABS(_xlpm.e)&lt;1)*_xlpm.e,AVERAGE(_xlpm.s))</f>
        <v>-0.38252135464302689</v>
      </c>
      <c r="J58" s="24" cm="1">
        <f t="array" ref="J58">_xlfn.LET(_xlpm.x,$B58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0.1882535843031507</v>
      </c>
      <c r="K58" s="24">
        <f t="shared" si="11"/>
        <v>-0.17020082567081149</v>
      </c>
      <c r="L58" s="24" t="str">
        <f t="shared" si="12"/>
        <v/>
      </c>
      <c r="M58" s="24">
        <f t="shared" si="13"/>
        <v>1000000000</v>
      </c>
    </row>
    <row r="59" spans="1:13" x14ac:dyDescent="0.3">
      <c r="A59" s="24">
        <f t="shared" si="14"/>
        <v>0.31000000000000011</v>
      </c>
      <c r="B59" s="20">
        <f t="shared" si="4"/>
        <v>186.00000000000006</v>
      </c>
      <c r="C59" s="20">
        <f t="shared" si="5"/>
        <v>148.80000000000004</v>
      </c>
      <c r="D59" s="24">
        <f t="shared" si="6"/>
        <v>1.0425725576412255</v>
      </c>
      <c r="E59" s="20">
        <f t="shared" si="7"/>
        <v>54653.932493027685</v>
      </c>
      <c r="F59" s="24">
        <f t="shared" si="8"/>
        <v>0.19329874479280246</v>
      </c>
      <c r="G59" s="16">
        <f t="shared" si="9"/>
        <v>212.19998955635438</v>
      </c>
      <c r="H59" s="24">
        <f t="shared" si="10"/>
        <v>6.8363319377148499E-2</v>
      </c>
      <c r="I59" s="24" cm="1">
        <f t="array" ref="I59">_xlfn.LET(_xlpm.x,$B59,_xlpm.dep,$H$6:$H$29,_xlpm.e,IF(_xlpm.x&lt;=$C$5,$C$12*(_xlpm.x-_xlpm.dep)/_xlpm.x,$C$13*(_xlpm.x-_xlpm.dep)/(_xlpm.x-3*$C$5/7))/$C$14,_xlpm.s,(_xlpm.e&gt;=1)*1+(_xlpm.e&lt;=-1)*(-1)+(ABS(_xlpm.e)&lt;1)*_xlpm.e,AVERAGE(_xlpm.s))</f>
        <v>-0.36291941130328764</v>
      </c>
      <c r="J59" s="24" cm="1">
        <f t="array" ref="J59">_xlfn.LET(_xlpm.x,$B59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0.19233007679098715</v>
      </c>
      <c r="K59" s="24">
        <f t="shared" si="11"/>
        <v>-0.15528535025995227</v>
      </c>
      <c r="L59" s="24" t="str">
        <f t="shared" si="12"/>
        <v/>
      </c>
      <c r="M59" s="24">
        <f t="shared" si="13"/>
        <v>1000000000</v>
      </c>
    </row>
    <row r="60" spans="1:13" x14ac:dyDescent="0.3">
      <c r="A60" s="24">
        <f t="shared" si="14"/>
        <v>0.32000000000000012</v>
      </c>
      <c r="B60" s="20">
        <f t="shared" si="4"/>
        <v>192.00000000000006</v>
      </c>
      <c r="C60" s="20">
        <f t="shared" si="5"/>
        <v>153.60000000000005</v>
      </c>
      <c r="D60" s="24">
        <f t="shared" si="6"/>
        <v>1.0609994066378645</v>
      </c>
      <c r="E60" s="20">
        <f t="shared" si="7"/>
        <v>57154.654428984213</v>
      </c>
      <c r="F60" s="24">
        <f t="shared" si="8"/>
        <v>0.20214323940182058</v>
      </c>
      <c r="G60" s="16">
        <f t="shared" si="9"/>
        <v>209.42582750040251</v>
      </c>
      <c r="H60" s="24">
        <f t="shared" si="10"/>
        <v>7.0556691975563746E-2</v>
      </c>
      <c r="I60" s="24" cm="1">
        <f t="array" ref="I60">_xlfn.LET(_xlpm.x,$B60,_xlpm.dep,$H$6:$H$29,_xlpm.e,IF(_xlpm.x&lt;=$C$5,$C$12*(_xlpm.x-_xlpm.dep)/_xlpm.x,$C$13*(_xlpm.x-_xlpm.dep)/(_xlpm.x-3*$C$5/7))/$C$14,_xlpm.s,(_xlpm.e&gt;=1)*1+(_xlpm.e&lt;=-1)*(-1)+(ABS(_xlpm.e)&lt;1)*_xlpm.e,AVERAGE(_xlpm.s))</f>
        <v>-0.33944276303339332</v>
      </c>
      <c r="J60" s="24" cm="1">
        <f t="array" ref="J60">_xlfn.LET(_xlpm.x,$B60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0.19591054139185238</v>
      </c>
      <c r="K60" s="24">
        <f t="shared" si="11"/>
        <v>-0.13996932168111814</v>
      </c>
      <c r="L60" s="24" t="str">
        <f t="shared" si="12"/>
        <v/>
      </c>
      <c r="M60" s="24">
        <f t="shared" si="13"/>
        <v>1000000000</v>
      </c>
    </row>
    <row r="61" spans="1:13" x14ac:dyDescent="0.3">
      <c r="A61" s="24">
        <f t="shared" si="14"/>
        <v>0.33000000000000013</v>
      </c>
      <c r="B61" s="20">
        <f t="shared" si="4"/>
        <v>198.00000000000009</v>
      </c>
      <c r="C61" s="20">
        <f t="shared" si="5"/>
        <v>158.40000000000009</v>
      </c>
      <c r="D61" s="24">
        <f t="shared" si="6"/>
        <v>1.0792383166073571</v>
      </c>
      <c r="E61" s="20">
        <f t="shared" si="7"/>
        <v>59681.142171663938</v>
      </c>
      <c r="F61" s="24">
        <f t="shared" si="8"/>
        <v>0.21107886191089975</v>
      </c>
      <c r="G61" s="16">
        <f t="shared" si="9"/>
        <v>206.65598043198975</v>
      </c>
      <c r="H61" s="24">
        <f t="shared" si="10"/>
        <v>7.2701181927775943E-2</v>
      </c>
      <c r="I61" s="24" cm="1">
        <f t="array" ref="I61">_xlfn.LET(_xlpm.x,$B61,_xlpm.dep,$H$6:$H$29,_xlpm.e,IF(_xlpm.x&lt;=$C$5,$C$12*(_xlpm.x-_xlpm.dep)/_xlpm.x,$C$13*(_xlpm.x-_xlpm.dep)/(_xlpm.x-3*$C$5/7))/$C$14,_xlpm.s,(_xlpm.e&gt;=1)*1+(_xlpm.e&lt;=-1)*(-1)+(ABS(_xlpm.e)&lt;1)*_xlpm.e,AVERAGE(_xlpm.s))</f>
        <v>-0.31738894193137113</v>
      </c>
      <c r="J61" s="24" cm="1">
        <f t="array" ref="J61">_xlfn.LET(_xlpm.x,$B61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0.19927400813811971</v>
      </c>
      <c r="K61" s="24">
        <f t="shared" si="11"/>
        <v>-0.12154157151010848</v>
      </c>
      <c r="L61" s="24" t="str">
        <f t="shared" si="12"/>
        <v/>
      </c>
      <c r="M61" s="24">
        <f t="shared" si="13"/>
        <v>1000000000</v>
      </c>
    </row>
    <row r="62" spans="1:13" x14ac:dyDescent="0.3">
      <c r="A62" s="24">
        <f t="shared" si="14"/>
        <v>0.34000000000000014</v>
      </c>
      <c r="B62" s="20">
        <f t="shared" si="4"/>
        <v>204.00000000000009</v>
      </c>
      <c r="C62" s="20">
        <f t="shared" si="5"/>
        <v>163.20000000000007</v>
      </c>
      <c r="D62" s="24">
        <f t="shared" si="6"/>
        <v>1.0973008146448406</v>
      </c>
      <c r="E62" s="20">
        <f t="shared" si="7"/>
        <v>62232.303349938687</v>
      </c>
      <c r="F62" s="24">
        <f t="shared" si="8"/>
        <v>0.2201017488474902</v>
      </c>
      <c r="G62" s="16">
        <f t="shared" si="9"/>
        <v>203.89052384065096</v>
      </c>
      <c r="H62" s="24">
        <f t="shared" si="10"/>
        <v>7.479443478459695E-2</v>
      </c>
      <c r="I62" s="24" cm="1">
        <f t="array" ref="I62">_xlfn.LET(_xlpm.x,$B62,_xlpm.dep,$H$6:$H$29,_xlpm.e,IF(_xlpm.x&lt;=$C$5,$C$12*(_xlpm.x-_xlpm.dep)/_xlpm.x,$C$13*(_xlpm.x-_xlpm.dep)/(_xlpm.x-3*$C$5/7))/$C$14,_xlpm.s,(_xlpm.e&gt;=1)*1+(_xlpm.e&lt;=-1)*(-1)+(ABS(_xlpm.e)&lt;1)*_xlpm.e,AVERAGE(_xlpm.s))</f>
        <v>-0.29663240442358579</v>
      </c>
      <c r="J62" s="24" cm="1">
        <f t="array" ref="J62">_xlfn.LET(_xlpm.x,$B62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0.20243962389931244</v>
      </c>
      <c r="K62" s="24">
        <f t="shared" si="11"/>
        <v>-9.962857531734029E-2</v>
      </c>
      <c r="L62" s="24" t="str">
        <f t="shared" si="12"/>
        <v/>
      </c>
      <c r="M62" s="24">
        <f t="shared" si="13"/>
        <v>1000000000</v>
      </c>
    </row>
    <row r="63" spans="1:13" x14ac:dyDescent="0.3">
      <c r="A63" s="24">
        <f t="shared" si="14"/>
        <v>0.35000000000000014</v>
      </c>
      <c r="B63" s="20">
        <f t="shared" si="4"/>
        <v>210.00000000000009</v>
      </c>
      <c r="C63" s="20">
        <f t="shared" si="5"/>
        <v>168.00000000000009</v>
      </c>
      <c r="D63" s="24">
        <f t="shared" si="6"/>
        <v>1.1151976533990735</v>
      </c>
      <c r="E63" s="20">
        <f t="shared" si="7"/>
        <v>64807.077002017089</v>
      </c>
      <c r="F63" s="24">
        <f t="shared" si="8"/>
        <v>0.22920814782684684</v>
      </c>
      <c r="G63" s="16">
        <f t="shared" si="9"/>
        <v>201.12953515423283</v>
      </c>
      <c r="H63" s="24">
        <f t="shared" si="10"/>
        <v>7.6834213709960644E-2</v>
      </c>
      <c r="I63" s="24" cm="1">
        <f t="array" ref="I63">_xlfn.LET(_xlpm.x,$B63,_xlpm.dep,$H$6:$H$29,_xlpm.e,IF(_xlpm.x&lt;=$C$5,$C$12*(_xlpm.x-_xlpm.dep)/_xlpm.x,$C$13*(_xlpm.x-_xlpm.dep)/(_xlpm.x-3*$C$5/7))/$C$14,_xlpm.s,(_xlpm.e&gt;=1)*1+(_xlpm.e&lt;=-1)*(-1)+(ABS(_xlpm.e)&lt;1)*_xlpm.e,AVERAGE(_xlpm.s))</f>
        <v>-0.27816605535864275</v>
      </c>
      <c r="J63" s="24" cm="1">
        <f t="array" ref="J63">_xlfn.LET(_xlpm.x,$B63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0.20501553027774888</v>
      </c>
      <c r="K63" s="24">
        <f t="shared" si="11"/>
        <v>-7.3505247935303247E-2</v>
      </c>
      <c r="L63" s="24" t="str">
        <f t="shared" si="12"/>
        <v/>
      </c>
      <c r="M63" s="24">
        <f t="shared" si="13"/>
        <v>1000000000</v>
      </c>
    </row>
    <row r="64" spans="1:13" x14ac:dyDescent="0.3">
      <c r="A64" s="24">
        <f t="shared" si="14"/>
        <v>0.36000000000000015</v>
      </c>
      <c r="B64" s="20">
        <f t="shared" si="4"/>
        <v>216.00000000000009</v>
      </c>
      <c r="C64" s="20">
        <f t="shared" si="5"/>
        <v>172.80000000000007</v>
      </c>
      <c r="D64" s="24">
        <f t="shared" si="6"/>
        <v>1.1329388914046707</v>
      </c>
      <c r="E64" s="20">
        <f t="shared" si="7"/>
        <v>67404.431106489501</v>
      </c>
      <c r="F64" s="24">
        <f t="shared" si="8"/>
        <v>0.23839440881988702</v>
      </c>
      <c r="G64" s="16">
        <f t="shared" si="9"/>
        <v>198.37309380594021</v>
      </c>
      <c r="H64" s="24">
        <f t="shared" si="10"/>
        <v>7.8818394039398512E-2</v>
      </c>
      <c r="I64" s="24" cm="1">
        <f t="array" ref="I64">_xlfn.LET(_xlpm.x,$B64,_xlpm.dep,$H$6:$H$29,_xlpm.e,IF(_xlpm.x&lt;=$C$5,$C$12*(_xlpm.x-_xlpm.dep)/_xlpm.x,$C$13*(_xlpm.x-_xlpm.dep)/(_xlpm.x-3*$C$5/7))/$C$14,_xlpm.s,(_xlpm.e&gt;=1)*1+(_xlpm.e&lt;=-1)*(-1)+(ABS(_xlpm.e)&lt;1)*_xlpm.e,AVERAGE(_xlpm.s))</f>
        <v>-0.26106422048756955</v>
      </c>
      <c r="J64" s="24" cm="1">
        <f t="array" ref="J64">_xlfn.LET(_xlpm.x,$B64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0.20732295460454792</v>
      </c>
      <c r="K64" s="24">
        <f t="shared" si="11"/>
        <v>-4.3132696821693732E-2</v>
      </c>
      <c r="L64" s="24" t="str">
        <f t="shared" si="12"/>
        <v/>
      </c>
      <c r="M64" s="24">
        <f t="shared" si="13"/>
        <v>1000000000</v>
      </c>
    </row>
    <row r="65" spans="1:13" x14ac:dyDescent="0.3">
      <c r="A65" s="24">
        <f t="shared" si="14"/>
        <v>0.37000000000000016</v>
      </c>
      <c r="B65" s="20">
        <f t="shared" si="4"/>
        <v>222.00000000000009</v>
      </c>
      <c r="C65" s="20">
        <f t="shared" si="5"/>
        <v>177.60000000000008</v>
      </c>
      <c r="D65" s="24">
        <f t="shared" si="6"/>
        <v>1.1505339635501028</v>
      </c>
      <c r="E65" s="20">
        <f t="shared" si="7"/>
        <v>70023.360340535146</v>
      </c>
      <c r="F65" s="24">
        <f t="shared" si="8"/>
        <v>0.24765697622447003</v>
      </c>
      <c r="G65" s="16">
        <f t="shared" si="9"/>
        <v>195.62128130434385</v>
      </c>
      <c r="H65" s="24">
        <f t="shared" si="10"/>
        <v>8.0744958354983756E-2</v>
      </c>
      <c r="I65" s="24" cm="1">
        <f t="array" ref="I65">_xlfn.LET(_xlpm.x,$B65,_xlpm.dep,$H$6:$H$29,_xlpm.e,IF(_xlpm.x&lt;=$C$5,$C$12*(_xlpm.x-_xlpm.dep)/_xlpm.x,$C$13*(_xlpm.x-_xlpm.dep)/(_xlpm.x-3*$C$5/7))/$C$14,_xlpm.s,(_xlpm.e&gt;=1)*1+(_xlpm.e&lt;=-1)*(-1)+(ABS(_xlpm.e)&lt;1)*_xlpm.e,AVERAGE(_xlpm.s))</f>
        <v>-0.24466935131578202</v>
      </c>
      <c r="J65" s="24" cm="1">
        <f t="array" ref="J65">_xlfn.LET(_xlpm.x,$B65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0.2094840784402843</v>
      </c>
      <c r="K65" s="24">
        <f t="shared" si="11"/>
        <v>-8.165454553074096E-3</v>
      </c>
      <c r="L65" s="24" t="str">
        <f t="shared" si="12"/>
        <v/>
      </c>
      <c r="M65" s="24">
        <f t="shared" si="13"/>
        <v>1000000000</v>
      </c>
    </row>
    <row r="66" spans="1:13" x14ac:dyDescent="0.3">
      <c r="A66" s="24">
        <f t="shared" si="14"/>
        <v>0.38000000000000017</v>
      </c>
      <c r="B66" s="20">
        <f t="shared" si="4"/>
        <v>228.00000000000011</v>
      </c>
      <c r="C66" s="20">
        <f t="shared" si="5"/>
        <v>182.40000000000009</v>
      </c>
      <c r="D66" s="24">
        <f t="shared" si="6"/>
        <v>1.1679917431511839</v>
      </c>
      <c r="E66" s="20">
        <f t="shared" si="7"/>
        <v>72662.884037239404</v>
      </c>
      <c r="F66" s="24">
        <f t="shared" si="8"/>
        <v>0.25699238164088506</v>
      </c>
      <c r="G66" s="16">
        <f t="shared" si="9"/>
        <v>192.87418130651187</v>
      </c>
      <c r="H66" s="24">
        <f t="shared" si="10"/>
        <v>8.2611992018327265E-2</v>
      </c>
      <c r="I66" s="24" cm="1">
        <f t="array" ref="I66">_xlfn.LET(_xlpm.x,$B66,_xlpm.dep,$H$6:$H$29,_xlpm.e,IF(_xlpm.x&lt;=$C$5,$C$12*(_xlpm.x-_xlpm.dep)/_xlpm.x,$C$13*(_xlpm.x-_xlpm.dep)/(_xlpm.x-3*$C$5/7))/$C$14,_xlpm.s,(_xlpm.e&gt;=1)*1+(_xlpm.e&lt;=-1)*(-1)+(ABS(_xlpm.e)&lt;1)*_xlpm.e,AVERAGE(_xlpm.s))</f>
        <v>-0.22362542101799818</v>
      </c>
      <c r="J66" s="24" cm="1">
        <f t="array" ref="J66">_xlfn.LET(_xlpm.x,$B66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0.21098459659072658</v>
      </c>
      <c r="K66" s="24">
        <f t="shared" si="11"/>
        <v>3.2811873150706515E-2</v>
      </c>
      <c r="L66" s="24">
        <f t="shared" si="12"/>
        <v>8.9534791838415173E-2</v>
      </c>
      <c r="M66" s="24">
        <f t="shared" si="13"/>
        <v>3.8413299666834017E-2</v>
      </c>
    </row>
    <row r="67" spans="1:13" x14ac:dyDescent="0.3">
      <c r="A67" s="24">
        <f t="shared" si="14"/>
        <v>0.39000000000000018</v>
      </c>
      <c r="B67" s="20">
        <f t="shared" si="4"/>
        <v>234.00000000000011</v>
      </c>
      <c r="C67" s="20">
        <f t="shared" si="5"/>
        <v>187.2000000000001</v>
      </c>
      <c r="D67" s="24">
        <f t="shared" si="6"/>
        <v>1.1853205968501044</v>
      </c>
      <c r="E67" s="20">
        <f t="shared" si="7"/>
        <v>75322.044318000757</v>
      </c>
      <c r="F67" s="24">
        <f t="shared" si="8"/>
        <v>0.26639723726659176</v>
      </c>
      <c r="G67" s="16">
        <f t="shared" si="9"/>
        <v>190.13187969443598</v>
      </c>
      <c r="H67" s="24">
        <f t="shared" si="10"/>
        <v>8.44176791115029E-2</v>
      </c>
      <c r="I67" s="24" cm="1">
        <f t="array" ref="I67">_xlfn.LET(_xlpm.x,$B67,_xlpm.dep,$H$6:$H$29,_xlpm.e,IF(_xlpm.x&lt;=$C$5,$C$12*(_xlpm.x-_xlpm.dep)/_xlpm.x,$C$13*(_xlpm.x-_xlpm.dep)/(_xlpm.x-3*$C$5/7))/$C$14,_xlpm.s,(_xlpm.e&gt;=1)*1+(_xlpm.e&lt;=-1)*(-1)+(ABS(_xlpm.e)&lt;1)*_xlpm.e,AVERAGE(_xlpm.s))</f>
        <v>-0.20366066663292126</v>
      </c>
      <c r="J67" s="24" cm="1">
        <f t="array" ref="J67">_xlfn.LET(_xlpm.x,$B67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0.21240816509242827</v>
      </c>
      <c r="K67" s="24">
        <f t="shared" si="11"/>
        <v>8.2207452475834233E-2</v>
      </c>
      <c r="L67" s="24">
        <f t="shared" si="12"/>
        <v>0.10187921324881785</v>
      </c>
      <c r="M67" s="24">
        <f t="shared" si="13"/>
        <v>2.6068878256431338E-2</v>
      </c>
    </row>
    <row r="68" spans="1:13" x14ac:dyDescent="0.3">
      <c r="A68" s="24">
        <f t="shared" si="14"/>
        <v>0.40000000000000019</v>
      </c>
      <c r="B68" s="20">
        <f t="shared" si="4"/>
        <v>240.00000000000011</v>
      </c>
      <c r="C68" s="20">
        <f t="shared" si="5"/>
        <v>192.00000000000011</v>
      </c>
      <c r="D68" s="24">
        <f t="shared" si="6"/>
        <v>1.2025284333582569</v>
      </c>
      <c r="E68" s="20">
        <f t="shared" si="7"/>
        <v>77999.904379365093</v>
      </c>
      <c r="F68" s="24">
        <f t="shared" si="8"/>
        <v>0.27586822983713621</v>
      </c>
      <c r="G68" s="16">
        <f t="shared" si="9"/>
        <v>187.39446465493509</v>
      </c>
      <c r="H68" s="24">
        <f t="shared" si="10"/>
        <v>8.6160298742724559E-2</v>
      </c>
      <c r="I68" s="24" cm="1">
        <f t="array" ref="I68">_xlfn.LET(_xlpm.x,$B68,_xlpm.dep,$H$6:$H$29,_xlpm.e,IF(_xlpm.x&lt;=$C$5,$C$12*(_xlpm.x-_xlpm.dep)/_xlpm.x,$C$13*(_xlpm.x-_xlpm.dep)/(_xlpm.x-3*$C$5/7))/$C$14,_xlpm.s,(_xlpm.e&gt;=1)*1+(_xlpm.e&lt;=-1)*(-1)+(ABS(_xlpm.e)&lt;1)*_xlpm.e,AVERAGE(_xlpm.s))</f>
        <v>-0.18469414996709821</v>
      </c>
      <c r="J68" s="24" cm="1">
        <f t="array" ref="J68">_xlfn.LET(_xlpm.x,$B68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0.21376055516904477</v>
      </c>
      <c r="K68" s="24">
        <f t="shared" si="11"/>
        <v>0.14192878956175256</v>
      </c>
      <c r="L68" s="24">
        <f t="shared" si="12"/>
        <v>0.11649907559391531</v>
      </c>
      <c r="M68" s="24">
        <f t="shared" si="13"/>
        <v>1.1449015911333876E-2</v>
      </c>
    </row>
    <row r="69" spans="1:13" x14ac:dyDescent="0.3">
      <c r="A69" s="24">
        <f t="shared" si="14"/>
        <v>0.4100000000000002</v>
      </c>
      <c r="B69" s="20">
        <f t="shared" si="4"/>
        <v>246.00000000000011</v>
      </c>
      <c r="C69" s="20">
        <f t="shared" si="5"/>
        <v>196.8000000000001</v>
      </c>
      <c r="D69" s="24">
        <f t="shared" si="6"/>
        <v>1.2196227468970275</v>
      </c>
      <c r="E69" s="20">
        <f t="shared" si="7"/>
        <v>80695.546916430874</v>
      </c>
      <c r="F69" s="24">
        <f t="shared" si="8"/>
        <v>0.28540211505008722</v>
      </c>
      <c r="G69" s="16">
        <f t="shared" si="9"/>
        <v>184.662026763233</v>
      </c>
      <c r="H69" s="24">
        <f t="shared" si="10"/>
        <v>8.7838221679437514E-2</v>
      </c>
      <c r="I69" s="24" cm="1">
        <f t="array" ref="I69">_xlfn.LET(_xlpm.x,$B69,_xlpm.dep,$H$6:$H$29,_xlpm.e,IF(_xlpm.x&lt;=$C$5,$C$12*(_xlpm.x-_xlpm.dep)/_xlpm.x,$C$13*(_xlpm.x-_xlpm.dep)/(_xlpm.x-3*$C$5/7))/$C$14,_xlpm.s,(_xlpm.e&gt;=1)*1+(_xlpm.e&lt;=-1)*(-1)+(ABS(_xlpm.e)&lt;1)*_xlpm.e,AVERAGE(_xlpm.s))</f>
        <v>-0.1666528292361934</v>
      </c>
      <c r="J69" s="24" cm="1">
        <f t="array" ref="J69">_xlfn.LET(_xlpm.x,$B69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0.21504697499802158</v>
      </c>
      <c r="K69" s="24">
        <f t="shared" si="11"/>
        <v>0.21450162304928044</v>
      </c>
      <c r="L69" s="24">
        <f t="shared" si="12"/>
        <v>0.13396614684835118</v>
      </c>
      <c r="M69" s="24">
        <f t="shared" si="13"/>
        <v>6.0180553431019856E-3</v>
      </c>
    </row>
    <row r="70" spans="1:13" x14ac:dyDescent="0.3">
      <c r="A70" s="24">
        <f t="shared" si="14"/>
        <v>0.42000000000000021</v>
      </c>
      <c r="B70" s="20">
        <f t="shared" si="4"/>
        <v>252.00000000000011</v>
      </c>
      <c r="C70" s="20">
        <f t="shared" si="5"/>
        <v>201.60000000000011</v>
      </c>
      <c r="D70" s="24">
        <f t="shared" si="6"/>
        <v>1.2366106560566177</v>
      </c>
      <c r="E70" s="20">
        <f t="shared" si="7"/>
        <v>83408.072667330169</v>
      </c>
      <c r="F70" s="24">
        <f t="shared" si="8"/>
        <v>0.29499571241719119</v>
      </c>
      <c r="G70" s="16">
        <f t="shared" si="9"/>
        <v>181.93465907041579</v>
      </c>
      <c r="H70" s="24">
        <f t="shared" si="10"/>
        <v>8.9449907276426835E-2</v>
      </c>
      <c r="I70" s="24" cm="1">
        <f t="array" ref="I70">_xlfn.LET(_xlpm.x,$B70,_xlpm.dep,$H$6:$H$29,_xlpm.e,IF(_xlpm.x&lt;=$C$5,$C$12*(_xlpm.x-_xlpm.dep)/_xlpm.x,$C$13*(_xlpm.x-_xlpm.dep)/(_xlpm.x-3*$C$5/7))/$C$14,_xlpm.s,(_xlpm.e&gt;=1)*1+(_xlpm.e&lt;=-1)*(-1)+(ABS(_xlpm.e)&lt;1)*_xlpm.e,AVERAGE(_xlpm.s))</f>
        <v>-0.14947061901628408</v>
      </c>
      <c r="J70" s="24" cm="1">
        <f t="array" ref="J70">_xlfn.LET(_xlpm.x,$B70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0.21627213673990411</v>
      </c>
      <c r="K70" s="24">
        <f t="shared" si="11"/>
        <v>0.30334322572841127</v>
      </c>
      <c r="L70" s="24">
        <f t="shared" si="12"/>
        <v>0.15505459487028539</v>
      </c>
      <c r="M70" s="24">
        <f t="shared" si="13"/>
        <v>2.71065033650362E-2</v>
      </c>
    </row>
    <row r="71" spans="1:13" x14ac:dyDescent="0.3">
      <c r="A71" s="24">
        <f t="shared" si="14"/>
        <v>0.43000000000000022</v>
      </c>
      <c r="B71" s="20">
        <f t="shared" si="4"/>
        <v>258.00000000000011</v>
      </c>
      <c r="C71" s="20">
        <f t="shared" si="5"/>
        <v>206.40000000000009</v>
      </c>
      <c r="D71" s="24">
        <f t="shared" si="6"/>
        <v>1.2534989386827575</v>
      </c>
      <c r="E71" s="20">
        <f t="shared" si="7"/>
        <v>86136.59906527905</v>
      </c>
      <c r="F71" s="24">
        <f t="shared" si="8"/>
        <v>0.30464590049697537</v>
      </c>
      <c r="G71" s="16">
        <f t="shared" si="9"/>
        <v>179.21245719499427</v>
      </c>
      <c r="H71" s="24">
        <f t="shared" si="10"/>
        <v>9.0993900670741132E-2</v>
      </c>
      <c r="I71" s="24" cm="1">
        <f t="array" ref="I71">_xlfn.LET(_xlpm.x,$B71,_xlpm.dep,$H$6:$H$29,_xlpm.e,IF(_xlpm.x&lt;=$C$5,$C$12*(_xlpm.x-_xlpm.dep)/_xlpm.x,$C$13*(_xlpm.x-_xlpm.dep)/(_xlpm.x-3*$C$5/7))/$C$14,_xlpm.s,(_xlpm.e&gt;=1)*1+(_xlpm.e&lt;=-1)*(-1)+(ABS(_xlpm.e)&lt;1)*_xlpm.e,AVERAGE(_xlpm.s))</f>
        <v>-0.1313983048789544</v>
      </c>
      <c r="J71" s="24" cm="1">
        <f t="array" ref="J71">_xlfn.LET(_xlpm.x,$B71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0.21711653622161303</v>
      </c>
      <c r="K71" s="24">
        <f t="shared" si="11"/>
        <v>0.41850682818522367</v>
      </c>
      <c r="L71" s="24">
        <f t="shared" si="12"/>
        <v>0.18185865359141062</v>
      </c>
      <c r="M71" s="24">
        <f t="shared" si="13"/>
        <v>5.3910562086161434E-2</v>
      </c>
    </row>
    <row r="72" spans="1:13" x14ac:dyDescent="0.3">
      <c r="A72" s="24">
        <f t="shared" si="14"/>
        <v>0.44000000000000022</v>
      </c>
      <c r="B72" s="20">
        <f t="shared" si="4"/>
        <v>264.00000000000011</v>
      </c>
      <c r="C72" s="20">
        <f t="shared" si="5"/>
        <v>211.2000000000001</v>
      </c>
      <c r="D72" s="24">
        <f t="shared" si="6"/>
        <v>1.2702940633102175</v>
      </c>
      <c r="E72" s="20">
        <f t="shared" si="7"/>
        <v>88880.258986380053</v>
      </c>
      <c r="F72" s="24">
        <f t="shared" si="8"/>
        <v>0.31434961246600523</v>
      </c>
      <c r="G72" s="16">
        <f t="shared" si="9"/>
        <v>176.49551941880725</v>
      </c>
      <c r="H72" s="24">
        <f t="shared" si="10"/>
        <v>9.2468830218813941E-2</v>
      </c>
      <c r="I72" s="24" cm="1">
        <f t="array" ref="I72">_xlfn.LET(_xlpm.x,$B72,_xlpm.dep,$H$6:$H$29,_xlpm.e,IF(_xlpm.x&lt;=$C$5,$C$12*(_xlpm.x-_xlpm.dep)/_xlpm.x,$C$13*(_xlpm.x-_xlpm.dep)/(_xlpm.x-3*$C$5/7))/$C$14,_xlpm.s,(_xlpm.e&gt;=1)*1+(_xlpm.e&lt;=-1)*(-1)+(ABS(_xlpm.e)&lt;1)*_xlpm.e,AVERAGE(_xlpm.s))</f>
        <v>-0.11085516158625086</v>
      </c>
      <c r="J72" s="24" cm="1">
        <f t="array" ref="J72">_xlfn.LET(_xlpm.x,$B72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0.21729153012923749</v>
      </c>
      <c r="K72" s="24">
        <f t="shared" si="11"/>
        <v>0.58359754157681043</v>
      </c>
      <c r="L72" s="24">
        <f t="shared" si="12"/>
        <v>0.21927963300770037</v>
      </c>
      <c r="M72" s="24">
        <f t="shared" si="13"/>
        <v>9.133154150245118E-2</v>
      </c>
    </row>
    <row r="73" spans="1:13" x14ac:dyDescent="0.3">
      <c r="A73" s="24">
        <f t="shared" si="14"/>
        <v>0.45000000000000023</v>
      </c>
      <c r="B73" s="20">
        <f t="shared" si="4"/>
        <v>270.00000000000011</v>
      </c>
      <c r="C73" s="20">
        <f t="shared" si="5"/>
        <v>216.00000000000011</v>
      </c>
      <c r="D73" s="24">
        <f t="shared" si="6"/>
        <v>1.2870022175865692</v>
      </c>
      <c r="E73" s="20">
        <f t="shared" si="7"/>
        <v>91638.199582791276</v>
      </c>
      <c r="F73" s="24">
        <f t="shared" si="8"/>
        <v>0.32410383199206427</v>
      </c>
      <c r="G73" s="16">
        <f t="shared" si="9"/>
        <v>173.78394678752076</v>
      </c>
      <c r="H73" s="24">
        <f t="shared" si="10"/>
        <v>9.3873405154234105E-2</v>
      </c>
      <c r="I73" s="24" cm="1">
        <f t="array" ref="I73">_xlfn.LET(_xlpm.x,$B73,_xlpm.dep,$H$6:$H$29,_xlpm.e,IF(_xlpm.x&lt;=$C$5,$C$12*(_xlpm.x-_xlpm.dep)/_xlpm.x,$C$13*(_xlpm.x-_xlpm.dep)/(_xlpm.x-3*$C$5/7))/$C$14,_xlpm.s,(_xlpm.e&gt;=1)*1+(_xlpm.e&lt;=-1)*(-1)+(ABS(_xlpm.e)&lt;1)*_xlpm.e,AVERAGE(_xlpm.s))</f>
        <v>-9.1962456458833497E-2</v>
      </c>
      <c r="J73" s="24" cm="1">
        <f t="array" ref="J73">_xlfn.LET(_xlpm.x,$B73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0.2172139439504609</v>
      </c>
      <c r="K73" s="24">
        <f t="shared" si="11"/>
        <v>0.80955883700455322</v>
      </c>
      <c r="L73" s="24">
        <f t="shared" si="12"/>
        <v>0.26972087299994146</v>
      </c>
      <c r="M73" s="24">
        <f t="shared" si="13"/>
        <v>0.14177278149469227</v>
      </c>
    </row>
    <row r="74" spans="1:13" x14ac:dyDescent="0.3">
      <c r="A74" s="24">
        <f t="shared" si="14"/>
        <v>0.46000000000000024</v>
      </c>
      <c r="B74" s="20">
        <f t="shared" si="4"/>
        <v>276.00000000000017</v>
      </c>
      <c r="C74" s="20">
        <f t="shared" si="5"/>
        <v>220.80000000000015</v>
      </c>
      <c r="D74" s="24">
        <f t="shared" si="6"/>
        <v>1.3036293340668403</v>
      </c>
      <c r="E74" s="20">
        <f t="shared" si="7"/>
        <v>94409.581192102545</v>
      </c>
      <c r="F74" s="24">
        <f t="shared" si="8"/>
        <v>0.33390558937686116</v>
      </c>
      <c r="G74" s="16">
        <f t="shared" si="9"/>
        <v>171.07784321599598</v>
      </c>
      <c r="H74" s="24">
        <f t="shared" si="10"/>
        <v>9.5206413447265645E-2</v>
      </c>
      <c r="I74" s="24" cm="1">
        <f t="array" ref="I74">_xlfn.LET(_xlpm.x,$B74,_xlpm.dep,$H$6:$H$29,_xlpm.e,IF(_xlpm.x&lt;=$C$5,$C$12*(_xlpm.x-_xlpm.dep)/_xlpm.x,$C$13*(_xlpm.x-_xlpm.dep)/(_xlpm.x-3*$C$5/7))/$C$14,_xlpm.s,(_xlpm.e&gt;=1)*1+(_xlpm.e&lt;=-1)*(-1)+(ABS(_xlpm.e)&lt;1)*_xlpm.e,AVERAGE(_xlpm.s))</f>
        <v>-7.4274866825670305E-2</v>
      </c>
      <c r="J74" s="24" cm="1">
        <f t="array" ref="J74">_xlfn.LET(_xlpm.x,$B74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0.21701235388444876</v>
      </c>
      <c r="K74" s="24">
        <f t="shared" si="11"/>
        <v>1.1343107067621681</v>
      </c>
      <c r="L74" s="24">
        <f t="shared" si="12"/>
        <v>0.34136584995805641</v>
      </c>
      <c r="M74" s="24">
        <f t="shared" si="13"/>
        <v>0.21341775845280722</v>
      </c>
    </row>
    <row r="75" spans="1:13" x14ac:dyDescent="0.3">
      <c r="A75" s="24">
        <f t="shared" si="14"/>
        <v>0.47000000000000025</v>
      </c>
      <c r="B75" s="20">
        <f t="shared" si="4"/>
        <v>282.00000000000017</v>
      </c>
      <c r="C75" s="20">
        <f t="shared" si="5"/>
        <v>225.60000000000014</v>
      </c>
      <c r="D75" s="24">
        <f t="shared" si="6"/>
        <v>1.3201811137071817</v>
      </c>
      <c r="E75" s="20">
        <f t="shared" si="7"/>
        <v>97193.576314805818</v>
      </c>
      <c r="F75" s="24">
        <f t="shared" si="8"/>
        <v>0.34375195793957125</v>
      </c>
      <c r="G75" s="16">
        <f t="shared" si="9"/>
        <v>168.37731559881581</v>
      </c>
      <c r="H75" s="24">
        <f t="shared" si="10"/>
        <v>9.6466719849503418E-2</v>
      </c>
      <c r="I75" s="24" cm="1">
        <f t="array" ref="I75">_xlfn.LET(_xlpm.x,$B75,_xlpm.dep,$H$6:$H$29,_xlpm.e,IF(_xlpm.x&lt;=$C$5,$C$12*(_xlpm.x-_xlpm.dep)/_xlpm.x,$C$13*(_xlpm.x-_xlpm.dep)/(_xlpm.x-3*$C$5/7))/$C$14,_xlpm.s,(_xlpm.e&gt;=1)*1+(_xlpm.e&lt;=-1)*(-1)+(ABS(_xlpm.e)&lt;1)*_xlpm.e,AVERAGE(_xlpm.s))</f>
        <v>-5.7339940581152472E-2</v>
      </c>
      <c r="J75" s="24" cm="1">
        <f t="array" ref="J75">_xlfn.LET(_xlpm.x,$B75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0.21681934211911799</v>
      </c>
      <c r="K75" s="24">
        <f t="shared" si="11"/>
        <v>1.6410401596637099</v>
      </c>
      <c r="L75" s="24">
        <f t="shared" si="12"/>
        <v>0.45227596765884137</v>
      </c>
      <c r="M75" s="24">
        <f t="shared" si="13"/>
        <v>0.32432787615359215</v>
      </c>
    </row>
    <row r="76" spans="1:13" x14ac:dyDescent="0.3">
      <c r="A76" s="24">
        <f t="shared" si="14"/>
        <v>0.48000000000000026</v>
      </c>
      <c r="B76" s="20">
        <f t="shared" si="4"/>
        <v>288.00000000000017</v>
      </c>
      <c r="C76" s="20">
        <f t="shared" si="5"/>
        <v>230.40000000000015</v>
      </c>
      <c r="D76" s="24">
        <f t="shared" si="6"/>
        <v>1.3366630473416077</v>
      </c>
      <c r="E76" s="20">
        <f t="shared" si="7"/>
        <v>99989.368652645178</v>
      </c>
      <c r="F76" s="24">
        <f t="shared" si="8"/>
        <v>0.35364005061569526</v>
      </c>
      <c r="G76" s="16">
        <f t="shared" si="9"/>
        <v>165.68247392628507</v>
      </c>
      <c r="H76" s="24">
        <f t="shared" si="10"/>
        <v>9.7653264109041765E-2</v>
      </c>
      <c r="I76" s="24" cm="1">
        <f t="array" ref="I76">_xlfn.LET(_xlpm.x,$B76,_xlpm.dep,$H$6:$H$29,_xlpm.e,IF(_xlpm.x&lt;=$C$5,$C$12*(_xlpm.x-_xlpm.dep)/_xlpm.x,$C$13*(_xlpm.x-_xlpm.dep)/(_xlpm.x-3*$C$5/7))/$C$14,_xlpm.s,(_xlpm.e&gt;=1)*1+(_xlpm.e&lt;=-1)*(-1)+(ABS(_xlpm.e)&lt;1)*_xlpm.e,AVERAGE(_xlpm.s))</f>
        <v>-3.9131944444443935E-2</v>
      </c>
      <c r="J76" s="24" cm="1">
        <f t="array" ref="J76">_xlfn.LET(_xlpm.x,$B76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0.21609803305614453</v>
      </c>
      <c r="K76" s="24">
        <f t="shared" si="11"/>
        <v>2.6572980054736384</v>
      </c>
      <c r="L76" s="24">
        <f t="shared" si="12"/>
        <v>0.67189013633591099</v>
      </c>
      <c r="M76" s="24">
        <f t="shared" si="13"/>
        <v>0.54394204483066178</v>
      </c>
    </row>
    <row r="77" spans="1:13" x14ac:dyDescent="0.3">
      <c r="A77" s="24">
        <f t="shared" si="14"/>
        <v>0.49000000000000027</v>
      </c>
      <c r="B77" s="20">
        <f t="shared" si="4"/>
        <v>294.00000000000017</v>
      </c>
      <c r="C77" s="20">
        <f t="shared" si="5"/>
        <v>235.20000000000016</v>
      </c>
      <c r="D77" s="24">
        <f t="shared" si="6"/>
        <v>1.3530804353887878</v>
      </c>
      <c r="E77" s="20">
        <f t="shared" si="7"/>
        <v>102796.15220140645</v>
      </c>
      <c r="F77" s="24">
        <f t="shared" si="8"/>
        <v>0.36356701674845898</v>
      </c>
      <c r="G77" s="16">
        <f t="shared" si="9"/>
        <v>162.99343140623805</v>
      </c>
      <c r="H77" s="24">
        <f t="shared" si="10"/>
        <v>9.8765059343267583E-2</v>
      </c>
      <c r="I77" s="24" cm="1">
        <f t="array" ref="I77">_xlfn.LET(_xlpm.x,$B77,_xlpm.dep,$H$6:$H$29,_xlpm.e,IF(_xlpm.x&lt;=$C$5,$C$12*(_xlpm.x-_xlpm.dep)/_xlpm.x,$C$13*(_xlpm.x-_xlpm.dep)/(_xlpm.x-3*$C$5/7))/$C$14,_xlpm.s,(_xlpm.e&gt;=1)*1+(_xlpm.e&lt;=-1)*(-1)+(ABS(_xlpm.e)&lt;1)*_xlpm.e,AVERAGE(_xlpm.s))</f>
        <v>-1.916666666666611E-2</v>
      </c>
      <c r="J77" s="24" cm="1">
        <f t="array" ref="J77">_xlfn.LET(_xlpm.x,$B77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0.21472839509647779</v>
      </c>
      <c r="K77" s="24">
        <f t="shared" si="11"/>
        <v>5.9432454289718155</v>
      </c>
      <c r="L77" s="24">
        <f t="shared" si="12"/>
        <v>1.3749486119708632</v>
      </c>
      <c r="M77" s="24">
        <f t="shared" si="13"/>
        <v>1.247000520465614</v>
      </c>
    </row>
    <row r="78" spans="1:13" x14ac:dyDescent="0.3">
      <c r="A78" s="24">
        <f t="shared" si="14"/>
        <v>0.50000000000000022</v>
      </c>
      <c r="B78" s="20">
        <f t="shared" si="4"/>
        <v>300.00000000000011</v>
      </c>
      <c r="C78" s="20">
        <f t="shared" si="5"/>
        <v>240.00000000000011</v>
      </c>
      <c r="D78" s="24">
        <f t="shared" si="6"/>
        <v>1.3694384060045661</v>
      </c>
      <c r="E78" s="20">
        <f t="shared" si="7"/>
        <v>105613.13039237208</v>
      </c>
      <c r="F78" s="24">
        <f t="shared" si="8"/>
        <v>0.37353003905233112</v>
      </c>
      <c r="G78" s="16">
        <f t="shared" si="9"/>
        <v>160.31030459201469</v>
      </c>
      <c r="H78" s="24">
        <f t="shared" si="10"/>
        <v>9.9801190557910577E-2</v>
      </c>
      <c r="I78" s="24" cm="1">
        <f t="array" ref="I78">_xlfn.LET(_xlpm.x,$B78,_xlpm.dep,$H$6:$H$29,_xlpm.e,IF(_xlpm.x&lt;=$C$5,$C$12*(_xlpm.x-_xlpm.dep)/_xlpm.x,$C$13*(_xlpm.x-_xlpm.dep)/(_xlpm.x-3*$C$5/7))/$C$14,_xlpm.s,(_xlpm.e&gt;=1)*1+(_xlpm.e&lt;=-1)*(-1)+(ABS(_xlpm.e)&lt;1)*_xlpm.e,AVERAGE(_xlpm.s))</f>
        <v>3.7007434154171886E-16</v>
      </c>
      <c r="J78" s="24" cm="1">
        <f t="array" ref="J78">_xlfn.LET(_xlpm.x,$B78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0.21341354265519774</v>
      </c>
      <c r="K78" s="24">
        <f t="shared" si="11"/>
        <v>-334730653962934.56</v>
      </c>
      <c r="L78" s="24" t="str">
        <f t="shared" si="12"/>
        <v/>
      </c>
      <c r="M78" s="24">
        <f t="shared" si="13"/>
        <v>1000000000</v>
      </c>
    </row>
    <row r="79" spans="1:13" x14ac:dyDescent="0.3">
      <c r="A79" s="24">
        <f t="shared" si="14"/>
        <v>0.51000000000000023</v>
      </c>
      <c r="B79" s="20">
        <f t="shared" si="4"/>
        <v>306.00000000000011</v>
      </c>
      <c r="C79" s="20">
        <f t="shared" si="5"/>
        <v>244.8000000000001</v>
      </c>
      <c r="D79" s="24">
        <f t="shared" si="6"/>
        <v>1.3857419318694049</v>
      </c>
      <c r="E79" s="20">
        <f t="shared" si="7"/>
        <v>108439.51527724287</v>
      </c>
      <c r="F79" s="24">
        <f t="shared" si="8"/>
        <v>0.38352633073027342</v>
      </c>
      <c r="G79" s="16">
        <f t="shared" si="9"/>
        <v>157.63321351699167</v>
      </c>
      <c r="H79" s="24">
        <f t="shared" si="10"/>
        <v>0.1007608133023226</v>
      </c>
      <c r="I79" s="24" cm="1">
        <f t="array" ref="I79">_xlfn.LET(_xlpm.x,$B79,_xlpm.dep,$H$6:$H$29,_xlpm.e,IF(_xlpm.x&lt;=$C$5,$C$12*(_xlpm.x-_xlpm.dep)/_xlpm.x,$C$13*(_xlpm.x-_xlpm.dep)/(_xlpm.x-3*$C$5/7))/$C$14,_xlpm.s,(_xlpm.e&gt;=1)*1+(_xlpm.e&lt;=-1)*(-1)+(ABS(_xlpm.e)&lt;1)*_xlpm.e,AVERAGE(_xlpm.s))</f>
        <v>1.8415032679738864E-2</v>
      </c>
      <c r="J79" s="24" cm="1">
        <f t="array" ref="J79">_xlfn.LET(_xlpm.x,$B79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0.21215025305475216</v>
      </c>
      <c r="K79" s="24">
        <f t="shared" si="11"/>
        <v>-7.2696866937627744</v>
      </c>
      <c r="L79" s="24" t="str">
        <f t="shared" si="12"/>
        <v/>
      </c>
      <c r="M79" s="24">
        <f t="shared" si="13"/>
        <v>1000000000</v>
      </c>
    </row>
    <row r="80" spans="1:13" x14ac:dyDescent="0.3">
      <c r="A80" s="24">
        <f t="shared" si="14"/>
        <v>0.52000000000000024</v>
      </c>
      <c r="B80" s="20">
        <f t="shared" si="4"/>
        <v>312.00000000000017</v>
      </c>
      <c r="C80" s="20">
        <f t="shared" si="5"/>
        <v>249.60000000000014</v>
      </c>
      <c r="D80" s="24">
        <f t="shared" si="6"/>
        <v>1.4019958457774899</v>
      </c>
      <c r="E80" s="20">
        <f t="shared" si="7"/>
        <v>111274.52675182497</v>
      </c>
      <c r="F80" s="24">
        <f t="shared" si="8"/>
        <v>0.39355313272809528</v>
      </c>
      <c r="G80" s="16">
        <f t="shared" si="9"/>
        <v>154.96228183608659</v>
      </c>
      <c r="H80" s="24">
        <f t="shared" si="10"/>
        <v>0.10164315245214316</v>
      </c>
      <c r="I80" s="24" cm="1">
        <f t="array" ref="I80">_xlfn.LET(_xlpm.x,$B80,_xlpm.dep,$H$6:$H$29,_xlpm.e,IF(_xlpm.x&lt;=$C$5,$C$12*(_xlpm.x-_xlpm.dep)/_xlpm.x,$C$13*(_xlpm.x-_xlpm.dep)/(_xlpm.x-3*$C$5/7))/$C$14,_xlpm.s,(_xlpm.e&gt;=1)*1+(_xlpm.e&lt;=-1)*(-1)+(ABS(_xlpm.e)&lt;1)*_xlpm.e,AVERAGE(_xlpm.s))</f>
        <v>3.8961216073350596E-2</v>
      </c>
      <c r="J80" s="24" cm="1">
        <f t="array" ref="J80">_xlfn.LET(_xlpm.x,$B80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0.20999293067370228</v>
      </c>
      <c r="K80" s="24">
        <f t="shared" si="11"/>
        <v>-3.6933734245875431</v>
      </c>
      <c r="L80" s="24" t="str">
        <f t="shared" si="12"/>
        <v/>
      </c>
      <c r="M80" s="24">
        <f t="shared" si="13"/>
        <v>1000000000</v>
      </c>
    </row>
    <row r="81" spans="1:13" x14ac:dyDescent="0.3">
      <c r="A81" s="24">
        <f t="shared" si="14"/>
        <v>0.53000000000000025</v>
      </c>
      <c r="B81" s="20">
        <f t="shared" si="4"/>
        <v>318.00000000000017</v>
      </c>
      <c r="C81" s="20">
        <f t="shared" si="5"/>
        <v>254.40000000000015</v>
      </c>
      <c r="D81" s="24">
        <f t="shared" si="6"/>
        <v>1.4182048551751854</v>
      </c>
      <c r="E81" s="20">
        <f t="shared" si="7"/>
        <v>114117.39181421131</v>
      </c>
      <c r="F81" s="24">
        <f t="shared" si="8"/>
        <v>0.40360771111080718</v>
      </c>
      <c r="G81" s="16">
        <f t="shared" si="9"/>
        <v>152.29763697468161</v>
      </c>
      <c r="H81" s="24">
        <f t="shared" si="10"/>
        <v>0.1024475011115598</v>
      </c>
      <c r="I81" s="24" cm="1">
        <f t="array" ref="I81">_xlfn.LET(_xlpm.x,$B81,_xlpm.dep,$H$6:$H$29,_xlpm.e,IF(_xlpm.x&lt;=$C$5,$C$12*(_xlpm.x-_xlpm.dep)/_xlpm.x,$C$13*(_xlpm.x-_xlpm.dep)/(_xlpm.x-3*$C$5/7))/$C$14,_xlpm.s,(_xlpm.e&gt;=1)*1+(_xlpm.e&lt;=-1)*(-1)+(ABS(_xlpm.e)&lt;1)*_xlpm.e,AVERAGE(_xlpm.s))</f>
        <v>6.0049998160016903E-2</v>
      </c>
      <c r="J81" s="24" cm="1">
        <f t="array" ref="J81">_xlfn.LET(_xlpm.x,$B81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0.20747949622687667</v>
      </c>
      <c r="K81" s="24">
        <f t="shared" si="11"/>
        <v>-2.5637452645276597</v>
      </c>
      <c r="L81" s="24" t="str">
        <f t="shared" si="12"/>
        <v/>
      </c>
      <c r="M81" s="24">
        <f t="shared" si="13"/>
        <v>1000000000</v>
      </c>
    </row>
    <row r="82" spans="1:13" x14ac:dyDescent="0.3">
      <c r="A82" s="24">
        <f t="shared" si="14"/>
        <v>0.54000000000000026</v>
      </c>
      <c r="B82" s="20">
        <f t="shared" si="4"/>
        <v>324.00000000000017</v>
      </c>
      <c r="C82" s="20">
        <f t="shared" si="5"/>
        <v>259.20000000000016</v>
      </c>
      <c r="D82" s="24">
        <f t="shared" si="6"/>
        <v>1.434373555780329</v>
      </c>
      <c r="E82" s="20">
        <f t="shared" si="7"/>
        <v>116967.34385355754</v>
      </c>
      <c r="F82" s="24">
        <f t="shared" si="8"/>
        <v>0.41368735454718009</v>
      </c>
      <c r="G82" s="16">
        <f t="shared" si="9"/>
        <v>149.63941028545145</v>
      </c>
      <c r="H82" s="24">
        <f t="shared" si="10"/>
        <v>0.10317321962831416</v>
      </c>
      <c r="I82" s="24" cm="1">
        <f t="array" ref="I82">_xlfn.LET(_xlpm.x,$B82,_xlpm.dep,$H$6:$H$29,_xlpm.e,IF(_xlpm.x&lt;=$C$5,$C$12*(_xlpm.x-_xlpm.dep)/_xlpm.x,$C$13*(_xlpm.x-_xlpm.dep)/(_xlpm.x-3*$C$5/7))/$C$14,_xlpm.s,(_xlpm.e&gt;=1)*1+(_xlpm.e&lt;=-1)*(-1)+(ABS(_xlpm.e)&lt;1)*_xlpm.e,AVERAGE(_xlpm.s))</f>
        <v>8.1632834234512119E-2</v>
      </c>
      <c r="J82" s="24" cm="1">
        <f t="array" ref="J82">_xlfn.LET(_xlpm.x,$B82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0.2045870112678797</v>
      </c>
      <c r="K82" s="24">
        <f t="shared" si="11"/>
        <v>-2.0093941781169038</v>
      </c>
      <c r="L82" s="24" t="str">
        <f t="shared" si="12"/>
        <v/>
      </c>
      <c r="M82" s="24">
        <f t="shared" si="13"/>
        <v>1000000000</v>
      </c>
    </row>
    <row r="83" spans="1:13" x14ac:dyDescent="0.3">
      <c r="A83" s="24">
        <f t="shared" si="14"/>
        <v>0.55000000000000027</v>
      </c>
      <c r="B83" s="20">
        <f t="shared" si="4"/>
        <v>330.00000000000017</v>
      </c>
      <c r="C83" s="20">
        <f t="shared" si="5"/>
        <v>264.00000000000017</v>
      </c>
      <c r="D83" s="24">
        <f t="shared" si="6"/>
        <v>1.450506444400109</v>
      </c>
      <c r="E83" s="20">
        <f t="shared" si="7"/>
        <v>119823.62196587375</v>
      </c>
      <c r="F83" s="24">
        <f t="shared" si="8"/>
        <v>0.42378937188985372</v>
      </c>
      <c r="G83" s="16">
        <f t="shared" si="9"/>
        <v>146.98773721361644</v>
      </c>
      <c r="H83" s="24">
        <f t="shared" si="10"/>
        <v>0.10381973471544899</v>
      </c>
      <c r="I83" s="24" cm="1">
        <f t="array" ref="I83">_xlfn.LET(_xlpm.x,$B83,_xlpm.dep,$H$6:$H$29,_xlpm.e,IF(_xlpm.x&lt;=$C$5,$C$12*(_xlpm.x-_xlpm.dep)/_xlpm.x,$C$13*(_xlpm.x-_xlpm.dep)/(_xlpm.x-3*$C$5/7))/$C$14,_xlpm.s,(_xlpm.e&gt;=1)*1+(_xlpm.e&lt;=-1)*(-1)+(ABS(_xlpm.e)&lt;1)*_xlpm.e,AVERAGE(_xlpm.s))</f>
        <v>0.10614355037974321</v>
      </c>
      <c r="J83" s="24" cm="1">
        <f t="array" ref="J83">_xlfn.LET(_xlpm.x,$B83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0.20041180275262371</v>
      </c>
      <c r="K83" s="24">
        <f t="shared" si="11"/>
        <v>-1.6405571377035544</v>
      </c>
      <c r="L83" s="24" t="str">
        <f t="shared" si="12"/>
        <v/>
      </c>
      <c r="M83" s="24">
        <f t="shared" si="13"/>
        <v>1000000000</v>
      </c>
    </row>
    <row r="84" spans="1:13" x14ac:dyDescent="0.3">
      <c r="A84" s="24">
        <f t="shared" si="14"/>
        <v>0.56000000000000028</v>
      </c>
      <c r="B84" s="20">
        <f t="shared" si="4"/>
        <v>336.00000000000017</v>
      </c>
      <c r="C84" s="20">
        <f t="shared" si="5"/>
        <v>268.80000000000013</v>
      </c>
      <c r="D84" s="24">
        <f t="shared" si="6"/>
        <v>1.4666079310536011</v>
      </c>
      <c r="E84" s="20">
        <f t="shared" si="7"/>
        <v>122685.4702935293</v>
      </c>
      <c r="F84" s="24">
        <f t="shared" si="8"/>
        <v>0.4339110898393127</v>
      </c>
      <c r="G84" s="16">
        <f t="shared" si="9"/>
        <v>144.34275747118338</v>
      </c>
      <c r="H84" s="24">
        <f t="shared" si="10"/>
        <v>0.10438653867455462</v>
      </c>
      <c r="I84" s="24" cm="1">
        <f t="array" ref="I84">_xlfn.LET(_xlpm.x,$B84,_xlpm.dep,$H$6:$H$29,_xlpm.e,IF(_xlpm.x&lt;=$C$5,$C$12*(_xlpm.x-_xlpm.dep)/_xlpm.x,$C$13*(_xlpm.x-_xlpm.dep)/(_xlpm.x-3*$C$5/7))/$C$14,_xlpm.s,(_xlpm.e&gt;=1)*1+(_xlpm.e&lt;=-1)*(-1)+(ABS(_xlpm.e)&lt;1)*_xlpm.e,AVERAGE(_xlpm.s))</f>
        <v>0.13072878459915252</v>
      </c>
      <c r="J84" s="24" cm="1">
        <f t="array" ref="J84">_xlfn.LET(_xlpm.x,$B84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0.19602158018963206</v>
      </c>
      <c r="K84" s="24">
        <f t="shared" si="11"/>
        <v>-1.4094545261100671</v>
      </c>
      <c r="L84" s="24" t="str">
        <f t="shared" si="12"/>
        <v/>
      </c>
      <c r="M84" s="24">
        <f t="shared" si="13"/>
        <v>1000000000</v>
      </c>
    </row>
    <row r="85" spans="1:13" x14ac:dyDescent="0.3">
      <c r="A85" s="24">
        <f t="shared" si="14"/>
        <v>0.57000000000000028</v>
      </c>
      <c r="B85" s="20">
        <f t="shared" si="4"/>
        <v>342.00000000000017</v>
      </c>
      <c r="C85" s="20">
        <f t="shared" si="5"/>
        <v>273.60000000000014</v>
      </c>
      <c r="D85" s="24">
        <f t="shared" si="6"/>
        <v>1.4826823504951778</v>
      </c>
      <c r="E85" s="20">
        <f t="shared" si="7"/>
        <v>125552.13738540538</v>
      </c>
      <c r="F85" s="24">
        <f t="shared" si="8"/>
        <v>0.44404985068088926</v>
      </c>
      <c r="G85" s="16">
        <f t="shared" si="9"/>
        <v>141.70461522078264</v>
      </c>
      <c r="H85" s="24">
        <f t="shared" si="10"/>
        <v>0.104873188715969</v>
      </c>
      <c r="I85" s="24" cm="1">
        <f t="array" ref="I85">_xlfn.LET(_xlpm.x,$B85,_xlpm.dep,$H$6:$H$29,_xlpm.e,IF(_xlpm.x&lt;=$C$5,$C$12*(_xlpm.x-_xlpm.dep)/_xlpm.x,$C$13*(_xlpm.x-_xlpm.dep)/(_xlpm.x-3*$C$5/7))/$C$14,_xlpm.s,(_xlpm.e&gt;=1)*1+(_xlpm.e&lt;=-1)*(-1)+(ABS(_xlpm.e)&lt;1)*_xlpm.e,AVERAGE(_xlpm.s))</f>
        <v>0.15445137902138964</v>
      </c>
      <c r="J85" s="24" cm="1">
        <f t="array" ref="J85">_xlfn.LET(_xlpm.x,$B85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0.19178540052358761</v>
      </c>
      <c r="K85" s="24">
        <f t="shared" si="11"/>
        <v>-1.2586163957836773</v>
      </c>
      <c r="L85" s="24" t="str">
        <f t="shared" si="12"/>
        <v/>
      </c>
      <c r="M85" s="24">
        <f t="shared" si="13"/>
        <v>1000000000</v>
      </c>
    </row>
    <row r="86" spans="1:13" x14ac:dyDescent="0.3">
      <c r="A86" s="24">
        <f t="shared" si="14"/>
        <v>0.58000000000000029</v>
      </c>
      <c r="B86" s="20">
        <f t="shared" si="4"/>
        <v>348.00000000000017</v>
      </c>
      <c r="C86" s="20">
        <f t="shared" si="5"/>
        <v>278.40000000000015</v>
      </c>
      <c r="D86" s="24">
        <f t="shared" si="6"/>
        <v>1.4987339732266935</v>
      </c>
      <c r="E86" s="20">
        <f t="shared" si="7"/>
        <v>128422.87557483149</v>
      </c>
      <c r="F86" s="24">
        <f t="shared" si="8"/>
        <v>0.45420301008466357</v>
      </c>
      <c r="G86" s="16">
        <f t="shared" si="9"/>
        <v>139.07345926976015</v>
      </c>
      <c r="H86" s="24">
        <f t="shared" si="10"/>
        <v>0.10527930637201986</v>
      </c>
      <c r="I86" s="24" cm="1">
        <f t="array" ref="I86">_xlfn.LET(_xlpm.x,$B86,_xlpm.dep,$H$6:$H$29,_xlpm.e,IF(_xlpm.x&lt;=$C$5,$C$12*(_xlpm.x-_xlpm.dep)/_xlpm.x,$C$13*(_xlpm.x-_xlpm.dep)/(_xlpm.x-3*$C$5/7))/$C$14,_xlpm.s,(_xlpm.e&gt;=1)*1+(_xlpm.e&lt;=-1)*(-1)+(ABS(_xlpm.e)&lt;1)*_xlpm.e,AVERAGE(_xlpm.s))</f>
        <v>0.17735595294630815</v>
      </c>
      <c r="J86" s="24" cm="1">
        <f t="array" ref="J86">_xlfn.LET(_xlpm.x,$B86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0.18769529601844123</v>
      </c>
      <c r="K86" s="24">
        <f t="shared" si="11"/>
        <v>-1.1533201676823235</v>
      </c>
      <c r="L86" s="24" t="str">
        <f t="shared" si="12"/>
        <v/>
      </c>
      <c r="M86" s="24">
        <f t="shared" si="13"/>
        <v>1000000000</v>
      </c>
    </row>
    <row r="87" spans="1:13" x14ac:dyDescent="0.3">
      <c r="A87" s="24">
        <f t="shared" si="14"/>
        <v>0.5900000000000003</v>
      </c>
      <c r="B87" s="20">
        <f t="shared" si="4"/>
        <v>354.00000000000017</v>
      </c>
      <c r="C87" s="20">
        <f t="shared" si="5"/>
        <v>283.20000000000016</v>
      </c>
      <c r="D87" s="24">
        <f t="shared" si="6"/>
        <v>1.5147670160794131</v>
      </c>
      <c r="E87" s="20">
        <f t="shared" si="7"/>
        <v>131296.9403726137</v>
      </c>
      <c r="F87" s="24">
        <f t="shared" si="8"/>
        <v>0.46436793495874018</v>
      </c>
      <c r="G87" s="16">
        <f t="shared" si="9"/>
        <v>136.44944327523581</v>
      </c>
      <c r="H87" s="24">
        <f t="shared" si="10"/>
        <v>0.10560457699998502</v>
      </c>
      <c r="I87" s="24" cm="1">
        <f t="array" ref="I87">_xlfn.LET(_xlpm.x,$B87,_xlpm.dep,$H$6:$H$29,_xlpm.e,IF(_xlpm.x&lt;=$C$5,$C$12*(_xlpm.x-_xlpm.dep)/_xlpm.x,$C$13*(_xlpm.x-_xlpm.dep)/(_xlpm.x-3*$C$5/7))/$C$14,_xlpm.s,(_xlpm.e&gt;=1)*1+(_xlpm.e&lt;=-1)*(-1)+(ABS(_xlpm.e)&lt;1)*_xlpm.e,AVERAGE(_xlpm.s))</f>
        <v>0.1994841006364837</v>
      </c>
      <c r="J87" s="24" cm="1">
        <f t="array" ref="J87">_xlfn.LET(_xlpm.x,$B87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0.1837438391236387</v>
      </c>
      <c r="K87" s="24">
        <f t="shared" si="11"/>
        <v>-1.0763420321744783</v>
      </c>
      <c r="L87" s="24" t="str">
        <f t="shared" si="12"/>
        <v/>
      </c>
      <c r="M87" s="24">
        <f t="shared" si="13"/>
        <v>1000000000</v>
      </c>
    </row>
    <row r="88" spans="1:13" x14ac:dyDescent="0.3">
      <c r="A88" s="24">
        <f t="shared" si="14"/>
        <v>0.60000000000000031</v>
      </c>
      <c r="B88" s="20">
        <f t="shared" si="4"/>
        <v>360.00000000000017</v>
      </c>
      <c r="C88" s="20">
        <f t="shared" si="5"/>
        <v>288.00000000000017</v>
      </c>
      <c r="D88" s="24">
        <f t="shared" si="6"/>
        <v>1.5307856524409083</v>
      </c>
      <c r="E88" s="20">
        <f t="shared" si="7"/>
        <v>134173.58987260432</v>
      </c>
      <c r="F88" s="24">
        <f t="shared" si="8"/>
        <v>0.47454200134688101</v>
      </c>
      <c r="G88" s="16">
        <f t="shared" si="9"/>
        <v>133.83272596090242</v>
      </c>
      <c r="H88" s="24">
        <f t="shared" si="10"/>
        <v>0.10584874937199219</v>
      </c>
      <c r="I88" s="24" cm="1">
        <f t="array" ref="I88">_xlfn.LET(_xlpm.x,$B88,_xlpm.dep,$H$6:$H$29,_xlpm.e,IF(_xlpm.x&lt;=$C$5,$C$12*(_xlpm.x-_xlpm.dep)/_xlpm.x,$C$13*(_xlpm.x-_xlpm.dep)/(_xlpm.x-3*$C$5/7))/$C$14,_xlpm.s,(_xlpm.e&gt;=1)*1+(_xlpm.e&lt;=-1)*(-1)+(ABS(_xlpm.e)&lt;1)*_xlpm.e,AVERAGE(_xlpm.s))</f>
        <v>0.22087464340365334</v>
      </c>
      <c r="J88" s="24" cm="1">
        <f t="array" ref="J88">_xlfn.LET(_xlpm.x,$B88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0.17992409745866297</v>
      </c>
      <c r="K88" s="24">
        <f t="shared" si="11"/>
        <v>-1.0181666178979427</v>
      </c>
      <c r="L88" s="24" t="str">
        <f t="shared" si="12"/>
        <v/>
      </c>
      <c r="M88" s="24">
        <f t="shared" si="13"/>
        <v>1000000000</v>
      </c>
    </row>
    <row r="89" spans="1:13" x14ac:dyDescent="0.3">
      <c r="A89" s="24">
        <f t="shared" si="14"/>
        <v>0.61000000000000032</v>
      </c>
      <c r="B89" s="20">
        <f t="shared" si="4"/>
        <v>366.00000000000017</v>
      </c>
      <c r="C89" s="20">
        <f t="shared" si="5"/>
        <v>292.80000000000013</v>
      </c>
      <c r="D89" s="24">
        <f t="shared" si="6"/>
        <v>1.5467940221974954</v>
      </c>
      <c r="E89" s="20">
        <f t="shared" si="7"/>
        <v>137052.08416737997</v>
      </c>
      <c r="F89" s="24">
        <f t="shared" si="8"/>
        <v>0.48472259236188908</v>
      </c>
      <c r="G89" s="16">
        <f t="shared" si="9"/>
        <v>131.2234713464033</v>
      </c>
      <c r="H89" s="24">
        <f t="shared" si="10"/>
        <v>0.10601163534959113</v>
      </c>
      <c r="I89" s="24" cm="1">
        <f t="array" ref="I89">_xlfn.LET(_xlpm.x,$B89,_xlpm.dep,$H$6:$H$29,_xlpm.e,IF(_xlpm.x&lt;=$C$5,$C$12*(_xlpm.x-_xlpm.dep)/_xlpm.x,$C$13*(_xlpm.x-_xlpm.dep)/(_xlpm.x-3*$C$5/7))/$C$14,_xlpm.s,(_xlpm.e&gt;=1)*1+(_xlpm.e&lt;=-1)*(-1)+(ABS(_xlpm.e)&lt;1)*_xlpm.e,AVERAGE(_xlpm.s))</f>
        <v>0.24108534117267857</v>
      </c>
      <c r="J89" s="24" cm="1">
        <f t="array" ref="J89">_xlfn.LET(_xlpm.x,$B89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0.17609988790103945</v>
      </c>
      <c r="K89" s="24">
        <f t="shared" si="11"/>
        <v>-0.97503970388789196</v>
      </c>
      <c r="L89" s="24" t="str">
        <f t="shared" si="12"/>
        <v/>
      </c>
      <c r="M89" s="24">
        <f t="shared" si="13"/>
        <v>1000000000</v>
      </c>
    </row>
    <row r="90" spans="1:13" x14ac:dyDescent="0.3">
      <c r="A90" s="24">
        <f t="shared" si="14"/>
        <v>0.62000000000000033</v>
      </c>
      <c r="B90" s="20">
        <f t="shared" si="4"/>
        <v>372.00000000000017</v>
      </c>
      <c r="C90" s="20">
        <f t="shared" si="5"/>
        <v>297.60000000000014</v>
      </c>
      <c r="D90" s="24">
        <f t="shared" si="6"/>
        <v>1.5627962414591059</v>
      </c>
      <c r="E90" s="20">
        <f t="shared" si="7"/>
        <v>139931.68477168819</v>
      </c>
      <c r="F90" s="24">
        <f t="shared" si="8"/>
        <v>0.49490709614646822</v>
      </c>
      <c r="G90" s="16">
        <f t="shared" si="9"/>
        <v>128.62184899019962</v>
      </c>
      <c r="H90" s="24">
        <f t="shared" si="10"/>
        <v>0.10609310964121541</v>
      </c>
      <c r="I90" s="24" cm="1">
        <f t="array" ref="I90">_xlfn.LET(_xlpm.x,$B90,_xlpm.dep,$H$6:$H$29,_xlpm.e,IF(_xlpm.x&lt;=$C$5,$C$12*(_xlpm.x-_xlpm.dep)/_xlpm.x,$C$13*(_xlpm.x-_xlpm.dep)/(_xlpm.x-3*$C$5/7))/$C$14,_xlpm.s,(_xlpm.e&gt;=1)*1+(_xlpm.e&lt;=-1)*(-1)+(ABS(_xlpm.e)&lt;1)*_xlpm.e,AVERAGE(_xlpm.s))</f>
        <v>0.26029498620752783</v>
      </c>
      <c r="J90" s="24" cm="1">
        <f t="array" ref="J90">_xlfn.LET(_xlpm.x,$B90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0.17230441515940131</v>
      </c>
      <c r="K90" s="24">
        <f t="shared" si="11"/>
        <v>-0.9422090184163765</v>
      </c>
      <c r="L90" s="24" t="str">
        <f t="shared" si="12"/>
        <v/>
      </c>
      <c r="M90" s="24">
        <f t="shared" si="13"/>
        <v>1000000000</v>
      </c>
    </row>
    <row r="91" spans="1:13" x14ac:dyDescent="0.3">
      <c r="A91" s="24">
        <f t="shared" si="14"/>
        <v>0.63000000000000034</v>
      </c>
      <c r="B91" s="20">
        <f t="shared" si="4"/>
        <v>378.00000000000023</v>
      </c>
      <c r="C91" s="20">
        <f t="shared" si="5"/>
        <v>302.4000000000002</v>
      </c>
      <c r="D91" s="24">
        <f t="shared" si="6"/>
        <v>1.5787964121306883</v>
      </c>
      <c r="E91" s="20">
        <f t="shared" si="7"/>
        <v>142811.65405139336</v>
      </c>
      <c r="F91" s="24">
        <f t="shared" si="8"/>
        <v>0.50509290385353234</v>
      </c>
      <c r="G91" s="16">
        <f t="shared" si="9"/>
        <v>126.02803424692001</v>
      </c>
      <c r="H91" s="24">
        <f t="shared" si="10"/>
        <v>0.10609310964121542</v>
      </c>
      <c r="I91" s="24" cm="1">
        <f t="array" ref="I91">_xlfn.LET(_xlpm.x,$B91,_xlpm.dep,$H$6:$H$29,_xlpm.e,IF(_xlpm.x&lt;=$C$5,$C$12*(_xlpm.x-_xlpm.dep)/_xlpm.x,$C$13*(_xlpm.x-_xlpm.dep)/(_xlpm.x-3*$C$5/7))/$C$14,_xlpm.s,(_xlpm.e&gt;=1)*1+(_xlpm.e&lt;=-1)*(-1)+(ABS(_xlpm.e)&lt;1)*_xlpm.e,AVERAGE(_xlpm.s))</f>
        <v>0.27889480124127092</v>
      </c>
      <c r="J91" s="24" cm="1">
        <f t="array" ref="J91">_xlfn.LET(_xlpm.x,$B91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0.1686294336159104</v>
      </c>
      <c r="K91" s="24">
        <f t="shared" si="11"/>
        <v>-0.91589405762850562</v>
      </c>
      <c r="L91" s="24" t="str">
        <f t="shared" si="12"/>
        <v/>
      </c>
      <c r="M91" s="24">
        <f t="shared" si="13"/>
        <v>1000000000</v>
      </c>
    </row>
    <row r="92" spans="1:13" x14ac:dyDescent="0.3">
      <c r="A92" s="24">
        <f t="shared" si="14"/>
        <v>0.64000000000000035</v>
      </c>
      <c r="B92" s="20">
        <f t="shared" si="4"/>
        <v>384.00000000000023</v>
      </c>
      <c r="C92" s="20">
        <f t="shared" si="5"/>
        <v>307.20000000000022</v>
      </c>
      <c r="D92" s="24">
        <f t="shared" si="6"/>
        <v>1.5947986313922988</v>
      </c>
      <c r="E92" s="20">
        <f t="shared" si="7"/>
        <v>145691.25465570163</v>
      </c>
      <c r="F92" s="24">
        <f t="shared" si="8"/>
        <v>0.5152774076381117</v>
      </c>
      <c r="G92" s="16">
        <f t="shared" si="9"/>
        <v>123.44220854027229</v>
      </c>
      <c r="H92" s="24">
        <f t="shared" si="10"/>
        <v>0.10601163534959113</v>
      </c>
      <c r="I92" s="24" cm="1">
        <f t="array" ref="I92">_xlfn.LET(_xlpm.x,$B92,_xlpm.dep,$H$6:$H$29,_xlpm.e,IF(_xlpm.x&lt;=$C$5,$C$12*(_xlpm.x-_xlpm.dep)/_xlpm.x,$C$13*(_xlpm.x-_xlpm.dep)/(_xlpm.x-3*$C$5/7))/$C$14,_xlpm.s,(_xlpm.e&gt;=1)*1+(_xlpm.e&lt;=-1)*(-1)+(ABS(_xlpm.e)&lt;1)*_xlpm.e,AVERAGE(_xlpm.s))</f>
        <v>0.29691337205520946</v>
      </c>
      <c r="J92" s="24" cm="1">
        <f t="array" ref="J92">_xlfn.LET(_xlpm.x,$B92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0.16506929524565359</v>
      </c>
      <c r="K92" s="24">
        <f t="shared" si="11"/>
        <v>-0.89461310922551329</v>
      </c>
      <c r="L92" s="24" t="str">
        <f t="shared" si="12"/>
        <v/>
      </c>
      <c r="M92" s="24">
        <f t="shared" si="13"/>
        <v>1000000000</v>
      </c>
    </row>
    <row r="93" spans="1:13" x14ac:dyDescent="0.3">
      <c r="A93" s="24">
        <f t="shared" si="14"/>
        <v>0.65000000000000036</v>
      </c>
      <c r="B93" s="20">
        <f t="shared" si="4"/>
        <v>390.00000000000023</v>
      </c>
      <c r="C93" s="20">
        <f t="shared" si="5"/>
        <v>312.00000000000023</v>
      </c>
      <c r="D93" s="24">
        <f t="shared" si="6"/>
        <v>1.6108070011488862</v>
      </c>
      <c r="E93" s="20">
        <f t="shared" si="7"/>
        <v>148569.74895047731</v>
      </c>
      <c r="F93" s="24">
        <f t="shared" si="8"/>
        <v>0.52545799865311982</v>
      </c>
      <c r="G93" s="16">
        <f t="shared" si="9"/>
        <v>120.8645596526942</v>
      </c>
      <c r="H93" s="24">
        <f t="shared" si="10"/>
        <v>0.10584874937199218</v>
      </c>
      <c r="I93" s="24" cm="1">
        <f t="array" ref="I93">_xlfn.LET(_xlpm.x,$B93,_xlpm.dep,$H$6:$H$29,_xlpm.e,IF(_xlpm.x&lt;=$C$5,$C$12*(_xlpm.x-_xlpm.dep)/_xlpm.x,$C$13*(_xlpm.x-_xlpm.dep)/(_xlpm.x-3*$C$5/7))/$C$14,_xlpm.s,(_xlpm.e&gt;=1)*1+(_xlpm.e&lt;=-1)*(-1)+(ABS(_xlpm.e)&lt;1)*_xlpm.e,AVERAGE(_xlpm.s))</f>
        <v>0.314377525305642</v>
      </c>
      <c r="J93" s="24" cm="1">
        <f t="array" ref="J93">_xlfn.LET(_xlpm.x,$B93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0.16161869959448155</v>
      </c>
      <c r="K93" s="24">
        <f t="shared" si="11"/>
        <v>-0.87729930977671244</v>
      </c>
      <c r="L93" s="24" t="str">
        <f t="shared" si="12"/>
        <v/>
      </c>
      <c r="M93" s="24">
        <f t="shared" si="13"/>
        <v>1000000000</v>
      </c>
    </row>
    <row r="94" spans="1:13" x14ac:dyDescent="0.3">
      <c r="A94" s="24">
        <f t="shared" si="14"/>
        <v>0.66000000000000036</v>
      </c>
      <c r="B94" s="20">
        <f t="shared" si="4"/>
        <v>396.00000000000023</v>
      </c>
      <c r="C94" s="20">
        <f t="shared" si="5"/>
        <v>316.80000000000018</v>
      </c>
      <c r="D94" s="24">
        <f t="shared" si="6"/>
        <v>1.6268256375103811</v>
      </c>
      <c r="E94" s="20">
        <f t="shared" si="7"/>
        <v>151446.39845046788</v>
      </c>
      <c r="F94" s="24">
        <f t="shared" si="8"/>
        <v>0.53563206504126049</v>
      </c>
      <c r="G94" s="16">
        <f t="shared" si="9"/>
        <v>118.29528203303151</v>
      </c>
      <c r="H94" s="24">
        <f t="shared" si="10"/>
        <v>0.10560457699998498</v>
      </c>
      <c r="I94" s="24" cm="1">
        <f t="array" ref="I94">_xlfn.LET(_xlpm.x,$B94,_xlpm.dep,$H$6:$H$29,_xlpm.e,IF(_xlpm.x&lt;=$C$5,$C$12*(_xlpm.x-_xlpm.dep)/_xlpm.x,$C$13*(_xlpm.x-_xlpm.dep)/(_xlpm.x-3*$C$5/7))/$C$14,_xlpm.s,(_xlpm.e&gt;=1)*1+(_xlpm.e&lt;=-1)*(-1)+(ABS(_xlpm.e)&lt;1)*_xlpm.e,AVERAGE(_xlpm.s))</f>
        <v>0.33131246179091017</v>
      </c>
      <c r="J94" s="24" cm="1">
        <f t="array" ref="J94">_xlfn.LET(_xlpm.x,$B94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0.15827266744789056</v>
      </c>
      <c r="K94" s="24">
        <f t="shared" si="11"/>
        <v>-0.86316479254127887</v>
      </c>
      <c r="L94" s="24" t="str">
        <f t="shared" si="12"/>
        <v/>
      </c>
      <c r="M94" s="24">
        <f t="shared" si="13"/>
        <v>1000000000</v>
      </c>
    </row>
    <row r="95" spans="1:13" x14ac:dyDescent="0.3">
      <c r="A95" s="24">
        <f t="shared" si="14"/>
        <v>0.67000000000000037</v>
      </c>
      <c r="B95" s="20">
        <f t="shared" si="4"/>
        <v>402.00000000000023</v>
      </c>
      <c r="C95" s="20">
        <f t="shared" si="5"/>
        <v>321.60000000000019</v>
      </c>
      <c r="D95" s="24">
        <f t="shared" si="6"/>
        <v>1.6428586803631007</v>
      </c>
      <c r="E95" s="20">
        <f t="shared" si="7"/>
        <v>154320.46324825007</v>
      </c>
      <c r="F95" s="24">
        <f t="shared" si="8"/>
        <v>0.54579698991533698</v>
      </c>
      <c r="G95" s="16">
        <f t="shared" si="9"/>
        <v>115.73457712364871</v>
      </c>
      <c r="H95" s="24">
        <f t="shared" si="10"/>
        <v>0.10527930637201981</v>
      </c>
      <c r="I95" s="24" cm="1">
        <f t="array" ref="I95">_xlfn.LET(_xlpm.x,$B95,_xlpm.dep,$H$6:$H$29,_xlpm.e,IF(_xlpm.x&lt;=$C$5,$C$12*(_xlpm.x-_xlpm.dep)/_xlpm.x,$C$13*(_xlpm.x-_xlpm.dep)/(_xlpm.x-3*$C$5/7))/$C$14,_xlpm.s,(_xlpm.e&gt;=1)*1+(_xlpm.e&lt;=-1)*(-1)+(ABS(_xlpm.e)&lt;1)*_xlpm.e,AVERAGE(_xlpm.s))</f>
        <v>0.34774187778408061</v>
      </c>
      <c r="J95" s="24" cm="1">
        <f t="array" ref="J95">_xlfn.LET(_xlpm.x,$B95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0.15502651685791419</v>
      </c>
      <c r="K95" s="24">
        <f t="shared" si="11"/>
        <v>-0.85161493665726395</v>
      </c>
      <c r="L95" s="24" t="str">
        <f t="shared" si="12"/>
        <v/>
      </c>
      <c r="M95" s="24">
        <f t="shared" si="13"/>
        <v>1000000000</v>
      </c>
    </row>
    <row r="96" spans="1:13" x14ac:dyDescent="0.3">
      <c r="A96" s="24">
        <f t="shared" si="14"/>
        <v>0.68000000000000038</v>
      </c>
      <c r="B96" s="20">
        <f t="shared" si="4"/>
        <v>408.00000000000023</v>
      </c>
      <c r="C96" s="20">
        <f t="shared" si="5"/>
        <v>326.4000000000002</v>
      </c>
      <c r="D96" s="24">
        <f t="shared" si="6"/>
        <v>1.6589103030946166</v>
      </c>
      <c r="E96" s="20">
        <f t="shared" si="7"/>
        <v>157191.20143767621</v>
      </c>
      <c r="F96" s="24">
        <f t="shared" si="8"/>
        <v>0.55595014931911135</v>
      </c>
      <c r="G96" s="16">
        <f t="shared" si="9"/>
        <v>113.18265370851357</v>
      </c>
      <c r="H96" s="24">
        <f t="shared" si="10"/>
        <v>0.10487318871596898</v>
      </c>
      <c r="I96" s="24" cm="1">
        <f t="array" ref="I96">_xlfn.LET(_xlpm.x,$B96,_xlpm.dep,$H$6:$H$29,_xlpm.e,IF(_xlpm.x&lt;=$C$5,$C$12*(_xlpm.x-_xlpm.dep)/_xlpm.x,$C$13*(_xlpm.x-_xlpm.dep)/(_xlpm.x-3*$C$5/7))/$C$14,_xlpm.s,(_xlpm.e&gt;=1)*1+(_xlpm.e&lt;=-1)*(-1)+(ABS(_xlpm.e)&lt;1)*_xlpm.e,AVERAGE(_xlpm.s))</f>
        <v>0.36368807565980488</v>
      </c>
      <c r="J96" s="24" cm="1">
        <f t="array" ref="J96">_xlfn.LET(_xlpm.x,$B96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0.15187584128529011</v>
      </c>
      <c r="K96" s="24">
        <f t="shared" si="11"/>
        <v>-0.84219240916892746</v>
      </c>
      <c r="L96" s="24" t="str">
        <f t="shared" si="12"/>
        <v/>
      </c>
      <c r="M96" s="24">
        <f t="shared" si="13"/>
        <v>1000000000</v>
      </c>
    </row>
    <row r="97" spans="1:13" x14ac:dyDescent="0.3">
      <c r="A97" s="24">
        <f t="shared" si="14"/>
        <v>0.69000000000000039</v>
      </c>
      <c r="B97" s="20">
        <f t="shared" si="4"/>
        <v>414.00000000000023</v>
      </c>
      <c r="C97" s="20">
        <f t="shared" si="5"/>
        <v>331.20000000000022</v>
      </c>
      <c r="D97" s="24">
        <f t="shared" si="6"/>
        <v>1.6749847225361931</v>
      </c>
      <c r="E97" s="20">
        <f t="shared" si="7"/>
        <v>160057.86852955227</v>
      </c>
      <c r="F97" s="24">
        <f t="shared" si="8"/>
        <v>0.56608891016068796</v>
      </c>
      <c r="G97" s="16">
        <f t="shared" si="9"/>
        <v>110.63972828394445</v>
      </c>
      <c r="H97" s="24">
        <f t="shared" si="10"/>
        <v>0.10438653867455459</v>
      </c>
      <c r="I97" s="24" cm="1">
        <f t="array" ref="I97">_xlfn.LET(_xlpm.x,$B97,_xlpm.dep,$H$6:$H$29,_xlpm.e,IF(_xlpm.x&lt;=$C$5,$C$12*(_xlpm.x-_xlpm.dep)/_xlpm.x,$C$13*(_xlpm.x-_xlpm.dep)/(_xlpm.x-3*$C$5/7))/$C$14,_xlpm.s,(_xlpm.e&gt;=1)*1+(_xlpm.e&lt;=-1)*(-1)+(ABS(_xlpm.e)&lt;1)*_xlpm.e,AVERAGE(_xlpm.s))</f>
        <v>0.37917206490145022</v>
      </c>
      <c r="J97" s="24" cm="1">
        <f t="array" ref="J97">_xlfn.LET(_xlpm.x,$B97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0.14881648964230723</v>
      </c>
      <c r="K97" s="24">
        <f t="shared" si="11"/>
        <v>-0.83453958442260912</v>
      </c>
      <c r="L97" s="24" t="str">
        <f t="shared" si="12"/>
        <v/>
      </c>
      <c r="M97" s="24">
        <f t="shared" si="13"/>
        <v>1000000000</v>
      </c>
    </row>
    <row r="98" spans="1:13" x14ac:dyDescent="0.3">
      <c r="A98" s="24">
        <f t="shared" si="14"/>
        <v>0.7000000000000004</v>
      </c>
      <c r="B98" s="20">
        <f t="shared" ref="B98:B161" si="15">A98*$C$5</f>
        <v>420.00000000000023</v>
      </c>
      <c r="C98" s="20">
        <f t="shared" ref="C98:C161" si="16">MIN(0.8*B98,$C$5)</f>
        <v>336.00000000000023</v>
      </c>
      <c r="D98" s="24">
        <f t="shared" ref="D98:D161" si="17">ACOS(MAX(-1,($C$7-C98)/$C$7))</f>
        <v>1.6910862091896854</v>
      </c>
      <c r="E98" s="20">
        <f t="shared" ref="E98:E161" si="18">$C$7^2*(D98-SIN(D98)*COS(D98))</f>
        <v>162919.71685720785</v>
      </c>
      <c r="F98" s="24">
        <f t="shared" ref="F98:F161" si="19">E98/$C$9</f>
        <v>0.57621062811014701</v>
      </c>
      <c r="G98" s="16">
        <f t="shared" ref="G98:G161" si="20">IF(E98&gt;0,2*$C$7^3*SIN(D98)^3/(3*E98),0)</f>
        <v>108.10602545387586</v>
      </c>
      <c r="H98" s="24">
        <f t="shared" ref="H98:H161" si="21">F98*G98/$C$5</f>
        <v>0.10381973471544891</v>
      </c>
      <c r="I98" s="24" cm="1">
        <f t="array" ref="I98">_xlfn.LET(_xlpm.x,$B98,_xlpm.dep,$H$6:$H$29,_xlpm.e,IF(_xlpm.x&lt;=$C$5,$C$12*(_xlpm.x-_xlpm.dep)/_xlpm.x,$C$13*(_xlpm.x-_xlpm.dep)/(_xlpm.x-3*$C$5/7))/$C$14,_xlpm.s,(_xlpm.e&gt;=1)*1+(_xlpm.e&lt;=-1)*(-1)+(ABS(_xlpm.e)&lt;1)*_xlpm.e,AVERAGE(_xlpm.s))</f>
        <v>0.39421365445047712</v>
      </c>
      <c r="J98" s="24" cm="1">
        <f t="array" ref="J98">_xlfn.LET(_xlpm.x,$B98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0.14584454804626676</v>
      </c>
      <c r="K98" s="24">
        <f t="shared" ref="K98:K161" si="22">IFERROR(($C$15-F98)/I98,"")</f>
        <v>-0.8283726647474644</v>
      </c>
      <c r="L98" s="24" t="str">
        <f t="shared" ref="L98:L161" si="23">IF(AND(ISNUMBER(K98),N(K98)&gt;0),H98+K98*J98,"")</f>
        <v/>
      </c>
      <c r="M98" s="24">
        <f t="shared" ref="M98:M161" si="24">IF(ISNUMBER(L98),ABS(L98-$C$16),1000000000)</f>
        <v>1000000000</v>
      </c>
    </row>
    <row r="99" spans="1:13" x14ac:dyDescent="0.3">
      <c r="A99" s="24">
        <f t="shared" ref="A99:A162" si="25">A98+0.01</f>
        <v>0.71000000000000041</v>
      </c>
      <c r="B99" s="20">
        <f t="shared" si="15"/>
        <v>426.00000000000023</v>
      </c>
      <c r="C99" s="20">
        <f t="shared" si="16"/>
        <v>340.80000000000018</v>
      </c>
      <c r="D99" s="24">
        <f t="shared" si="17"/>
        <v>1.7072190978094652</v>
      </c>
      <c r="E99" s="20">
        <f t="shared" si="18"/>
        <v>165775.99496952404</v>
      </c>
      <c r="F99" s="24">
        <f t="shared" si="19"/>
        <v>0.58631264545282058</v>
      </c>
      <c r="G99" s="16">
        <f t="shared" si="20"/>
        <v>105.5817783516828</v>
      </c>
      <c r="H99" s="24">
        <f t="shared" si="21"/>
        <v>0.10317321962831415</v>
      </c>
      <c r="I99" s="24" cm="1">
        <f t="array" ref="I99">_xlfn.LET(_xlpm.x,$B99,_xlpm.dep,$H$6:$H$29,_xlpm.e,IF(_xlpm.x&lt;=$C$5,$C$12*(_xlpm.x-_xlpm.dep)/_xlpm.x,$C$13*(_xlpm.x-_xlpm.dep)/(_xlpm.x-3*$C$5/7))/$C$14,_xlpm.s,(_xlpm.e&gt;=1)*1+(_xlpm.e&lt;=-1)*(-1)+(ABS(_xlpm.e)&lt;1)*_xlpm.e,AVERAGE(_xlpm.s))</f>
        <v>0.40883153725164406</v>
      </c>
      <c r="J99" s="24" cm="1">
        <f t="array" ref="J99">_xlfn.LET(_xlpm.x,$B99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0.1429563231149035</v>
      </c>
      <c r="K99" s="24">
        <f t="shared" si="22"/>
        <v>-0.82346346131421788</v>
      </c>
      <c r="L99" s="24" t="str">
        <f t="shared" si="23"/>
        <v/>
      </c>
      <c r="M99" s="24">
        <f t="shared" si="24"/>
        <v>1000000000</v>
      </c>
    </row>
    <row r="100" spans="1:13" x14ac:dyDescent="0.3">
      <c r="A100" s="24">
        <f t="shared" si="25"/>
        <v>0.72000000000000042</v>
      </c>
      <c r="B100" s="20">
        <f t="shared" si="15"/>
        <v>432.00000000000023</v>
      </c>
      <c r="C100" s="20">
        <f t="shared" si="16"/>
        <v>345.60000000000019</v>
      </c>
      <c r="D100" s="24">
        <f t="shared" si="17"/>
        <v>1.7233877984146089</v>
      </c>
      <c r="E100" s="20">
        <f t="shared" si="18"/>
        <v>168625.94700887025</v>
      </c>
      <c r="F100" s="24">
        <f t="shared" si="19"/>
        <v>0.59639228888919338</v>
      </c>
      <c r="G100" s="16">
        <f t="shared" si="20"/>
        <v>103.06722909081138</v>
      </c>
      <c r="H100" s="24">
        <f t="shared" si="21"/>
        <v>0.10244750111155977</v>
      </c>
      <c r="I100" s="24" cm="1">
        <f t="array" ref="I100">_xlfn.LET(_xlpm.x,$B100,_xlpm.dep,$H$6:$H$29,_xlpm.e,IF(_xlpm.x&lt;=$C$5,$C$12*(_xlpm.x-_xlpm.dep)/_xlpm.x,$C$13*(_xlpm.x-_xlpm.dep)/(_xlpm.x-3*$C$5/7))/$C$14,_xlpm.s,(_xlpm.e&gt;=1)*1+(_xlpm.e&lt;=-1)*(-1)+(ABS(_xlpm.e)&lt;1)*_xlpm.e,AVERAGE(_xlpm.s))</f>
        <v>0.42304336775277873</v>
      </c>
      <c r="J100" s="24" cm="1">
        <f t="array" ref="J100">_xlfn.LET(_xlpm.x,$B100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0.14014832665385582</v>
      </c>
      <c r="K100" s="24">
        <f t="shared" si="22"/>
        <v>-0.81962631405358255</v>
      </c>
      <c r="L100" s="24" t="str">
        <f t="shared" si="23"/>
        <v/>
      </c>
      <c r="M100" s="24">
        <f t="shared" si="24"/>
        <v>1000000000</v>
      </c>
    </row>
    <row r="101" spans="1:13" x14ac:dyDescent="0.3">
      <c r="A101" s="24">
        <f t="shared" si="25"/>
        <v>0.73000000000000043</v>
      </c>
      <c r="B101" s="20">
        <f t="shared" si="15"/>
        <v>438.00000000000023</v>
      </c>
      <c r="C101" s="20">
        <f t="shared" si="16"/>
        <v>350.4000000000002</v>
      </c>
      <c r="D101" s="24">
        <f t="shared" si="17"/>
        <v>1.7395968078123043</v>
      </c>
      <c r="E101" s="20">
        <f t="shared" si="18"/>
        <v>171468.81207125657</v>
      </c>
      <c r="F101" s="24">
        <f t="shared" si="19"/>
        <v>0.60644686727190522</v>
      </c>
      <c r="G101" s="16">
        <f t="shared" si="20"/>
        <v>100.56262924669764</v>
      </c>
      <c r="H101" s="24">
        <f t="shared" si="21"/>
        <v>0.1016431524521431</v>
      </c>
      <c r="I101" s="24" cm="1">
        <f t="array" ref="I101">_xlfn.LET(_xlpm.x,$B101,_xlpm.dep,$H$6:$H$29,_xlpm.e,IF(_xlpm.x&lt;=$C$5,$C$12*(_xlpm.x-_xlpm.dep)/_xlpm.x,$C$13*(_xlpm.x-_xlpm.dep)/(_xlpm.x-3*$C$5/7))/$C$14,_xlpm.s,(_xlpm.e&gt;=1)*1+(_xlpm.e&lt;=-1)*(-1)+(ABS(_xlpm.e)&lt;1)*_xlpm.e,AVERAGE(_xlpm.s))</f>
        <v>0.43686583303470411</v>
      </c>
      <c r="J101" s="24" cm="1">
        <f t="array" ref="J101">_xlfn.LET(_xlpm.x,$B101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0.13741726160269999</v>
      </c>
      <c r="K101" s="24">
        <f t="shared" si="22"/>
        <v>-0.81670853520465847</v>
      </c>
      <c r="L101" s="24" t="str">
        <f t="shared" si="23"/>
        <v/>
      </c>
      <c r="M101" s="24">
        <f t="shared" si="24"/>
        <v>1000000000</v>
      </c>
    </row>
    <row r="102" spans="1:13" x14ac:dyDescent="0.3">
      <c r="A102" s="24">
        <f t="shared" si="25"/>
        <v>0.74000000000000044</v>
      </c>
      <c r="B102" s="20">
        <f t="shared" si="15"/>
        <v>444.00000000000028</v>
      </c>
      <c r="C102" s="20">
        <f t="shared" si="16"/>
        <v>355.20000000000027</v>
      </c>
      <c r="D102" s="24">
        <f t="shared" si="17"/>
        <v>1.7558507217203894</v>
      </c>
      <c r="E102" s="20">
        <f t="shared" si="18"/>
        <v>174303.82354583871</v>
      </c>
      <c r="F102" s="24">
        <f t="shared" si="19"/>
        <v>0.61647366926972724</v>
      </c>
      <c r="G102" s="16">
        <f t="shared" si="20"/>
        <v>98.068240372715493</v>
      </c>
      <c r="H102" s="24">
        <f t="shared" si="21"/>
        <v>0.10076081330232253</v>
      </c>
      <c r="I102" s="24" cm="1">
        <f t="array" ref="I102">_xlfn.LET(_xlpm.x,$B102,_xlpm.dep,$H$6:$H$29,_xlpm.e,IF(_xlpm.x&lt;=$C$5,$C$12*(_xlpm.x-_xlpm.dep)/_xlpm.x,$C$13*(_xlpm.x-_xlpm.dep)/(_xlpm.x-3*$C$5/7))/$C$14,_xlpm.s,(_xlpm.e&gt;=1)*1+(_xlpm.e&lt;=-1)*(-1)+(ABS(_xlpm.e)&lt;1)*_xlpm.e,AVERAGE(_xlpm.s))</f>
        <v>0.45031471817387486</v>
      </c>
      <c r="J102" s="24" cm="1">
        <f t="array" ref="J102">_xlfn.LET(_xlpm.x,$B102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0.13476000912049421</v>
      </c>
      <c r="K102" s="24">
        <f t="shared" si="22"/>
        <v>-0.81458331645052418</v>
      </c>
      <c r="L102" s="24" t="str">
        <f t="shared" si="23"/>
        <v/>
      </c>
      <c r="M102" s="24">
        <f t="shared" si="24"/>
        <v>1000000000</v>
      </c>
    </row>
    <row r="103" spans="1:13" x14ac:dyDescent="0.3">
      <c r="A103" s="24">
        <f t="shared" si="25"/>
        <v>0.75000000000000044</v>
      </c>
      <c r="B103" s="20">
        <f t="shared" si="15"/>
        <v>450.00000000000028</v>
      </c>
      <c r="C103" s="20">
        <f t="shared" si="16"/>
        <v>360.00000000000023</v>
      </c>
      <c r="D103" s="24">
        <f t="shared" si="17"/>
        <v>1.7721542475852281</v>
      </c>
      <c r="E103" s="20">
        <f t="shared" si="18"/>
        <v>177130.20843070946</v>
      </c>
      <c r="F103" s="24">
        <f t="shared" si="19"/>
        <v>0.62646996094766938</v>
      </c>
      <c r="G103" s="16">
        <f t="shared" si="20"/>
        <v>95.584334553190615</v>
      </c>
      <c r="H103" s="24">
        <f t="shared" si="21"/>
        <v>9.980119055791048E-2</v>
      </c>
      <c r="I103" s="24" cm="1">
        <f t="array" ref="I103">_xlfn.LET(_xlpm.x,$B103,_xlpm.dep,$H$6:$H$29,_xlpm.e,IF(_xlpm.x&lt;=$C$5,$C$12*(_xlpm.x-_xlpm.dep)/_xlpm.x,$C$13*(_xlpm.x-_xlpm.dep)/(_xlpm.x-3*$C$5/7))/$C$14,_xlpm.s,(_xlpm.e&gt;=1)*1+(_xlpm.e&lt;=-1)*(-1)+(ABS(_xlpm.e)&lt;1)*_xlpm.e,AVERAGE(_xlpm.s))</f>
        <v>0.46340496637600093</v>
      </c>
      <c r="J103" s="24" cm="1">
        <f t="array" ref="J103">_xlfn.LET(_xlpm.x,$B103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0.13217361670448061</v>
      </c>
      <c r="K103" s="24">
        <f t="shared" si="22"/>
        <v>-0.81314438902399933</v>
      </c>
      <c r="L103" s="24" t="str">
        <f t="shared" si="23"/>
        <v/>
      </c>
      <c r="M103" s="24">
        <f t="shared" si="24"/>
        <v>1000000000</v>
      </c>
    </row>
    <row r="104" spans="1:13" x14ac:dyDescent="0.3">
      <c r="A104" s="24">
        <f t="shared" si="25"/>
        <v>0.76000000000000045</v>
      </c>
      <c r="B104" s="20">
        <f t="shared" si="15"/>
        <v>456.00000000000028</v>
      </c>
      <c r="C104" s="20">
        <f t="shared" si="16"/>
        <v>364.80000000000024</v>
      </c>
      <c r="D104" s="24">
        <f t="shared" si="17"/>
        <v>1.7885122182010067</v>
      </c>
      <c r="E104" s="20">
        <f t="shared" si="18"/>
        <v>179947.18662167515</v>
      </c>
      <c r="F104" s="24">
        <f t="shared" si="19"/>
        <v>0.63643298325154174</v>
      </c>
      <c r="G104" s="16">
        <f t="shared" si="20"/>
        <v>93.111194996848795</v>
      </c>
      <c r="H104" s="24">
        <f t="shared" si="21"/>
        <v>9.8765059343267514E-2</v>
      </c>
      <c r="I104" s="24" cm="1">
        <f t="array" ref="I104">_xlfn.LET(_xlpm.x,$B104,_xlpm.dep,$H$6:$H$29,_xlpm.e,IF(_xlpm.x&lt;=$C$5,$C$12*(_xlpm.x-_xlpm.dep)/_xlpm.x,$C$13*(_xlpm.x-_xlpm.dep)/(_xlpm.x-3*$C$5/7))/$C$14,_xlpm.s,(_xlpm.e&gt;=1)*1+(_xlpm.e&lt;=-1)*(-1)+(ABS(_xlpm.e)&lt;1)*_xlpm.e,AVERAGE(_xlpm.s))</f>
        <v>0.47615073436228156</v>
      </c>
      <c r="J104" s="24" cm="1">
        <f t="array" ref="J104">_xlfn.LET(_xlpm.x,$B104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0.12965528724678316</v>
      </c>
      <c r="K104" s="24">
        <f t="shared" si="22"/>
        <v>-0.81230195113820947</v>
      </c>
      <c r="L104" s="24" t="str">
        <f t="shared" si="23"/>
        <v/>
      </c>
      <c r="M104" s="24">
        <f t="shared" si="24"/>
        <v>1000000000</v>
      </c>
    </row>
    <row r="105" spans="1:13" x14ac:dyDescent="0.3">
      <c r="A105" s="24">
        <f t="shared" si="25"/>
        <v>0.77000000000000046</v>
      </c>
      <c r="B105" s="20">
        <f t="shared" si="15"/>
        <v>462.00000000000028</v>
      </c>
      <c r="C105" s="20">
        <f t="shared" si="16"/>
        <v>369.60000000000025</v>
      </c>
      <c r="D105" s="24">
        <f t="shared" si="17"/>
        <v>1.8049296062481868</v>
      </c>
      <c r="E105" s="20">
        <f t="shared" si="18"/>
        <v>182753.97017043643</v>
      </c>
      <c r="F105" s="24">
        <f t="shared" si="19"/>
        <v>0.64635994938430552</v>
      </c>
      <c r="G105" s="16">
        <f t="shared" si="20"/>
        <v>90.649116674443036</v>
      </c>
      <c r="H105" s="24">
        <f t="shared" si="21"/>
        <v>9.7653264109041682E-2</v>
      </c>
      <c r="I105" s="24" cm="1">
        <f t="array" ref="I105">_xlfn.LET(_xlpm.x,$B105,_xlpm.dep,$H$6:$H$29,_xlpm.e,IF(_xlpm.x&lt;=$C$5,$C$12*(_xlpm.x-_xlpm.dep)/_xlpm.x,$C$13*(_xlpm.x-_xlpm.dep)/(_xlpm.x-3*$C$5/7))/$C$14,_xlpm.s,(_xlpm.e&gt;=1)*1+(_xlpm.e&lt;=-1)*(-1)+(ABS(_xlpm.e)&lt;1)*_xlpm.e,AVERAGE(_xlpm.s))</f>
        <v>0.48856544343982772</v>
      </c>
      <c r="J105" s="24" cm="1">
        <f t="array" ref="J105">_xlfn.LET(_xlpm.x,$B105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0.12720236894383105</v>
      </c>
      <c r="K105" s="24">
        <f t="shared" si="22"/>
        <v>-0.81197952499068848</v>
      </c>
      <c r="L105" s="24" t="str">
        <f t="shared" si="23"/>
        <v/>
      </c>
      <c r="M105" s="24">
        <f t="shared" si="24"/>
        <v>1000000000</v>
      </c>
    </row>
    <row r="106" spans="1:13" x14ac:dyDescent="0.3">
      <c r="A106" s="24">
        <f t="shared" si="25"/>
        <v>0.78000000000000047</v>
      </c>
      <c r="B106" s="20">
        <f t="shared" si="15"/>
        <v>468.00000000000028</v>
      </c>
      <c r="C106" s="20">
        <f t="shared" si="16"/>
        <v>374.40000000000026</v>
      </c>
      <c r="D106" s="24">
        <f t="shared" si="17"/>
        <v>1.8214115398826127</v>
      </c>
      <c r="E106" s="20">
        <f t="shared" si="18"/>
        <v>185549.76250827577</v>
      </c>
      <c r="F106" s="24">
        <f t="shared" si="19"/>
        <v>0.65624804206042942</v>
      </c>
      <c r="G106" s="16">
        <f t="shared" si="20"/>
        <v>88.198407004728566</v>
      </c>
      <c r="H106" s="24">
        <f t="shared" si="21"/>
        <v>9.6466719849503307E-2</v>
      </c>
      <c r="I106" s="24" cm="1">
        <f t="array" ref="I106">_xlfn.LET(_xlpm.x,$B106,_xlpm.dep,$H$6:$H$29,_xlpm.e,IF(_xlpm.x&lt;=$C$5,$C$12*(_xlpm.x-_xlpm.dep)/_xlpm.x,$C$13*(_xlpm.x-_xlpm.dep)/(_xlpm.x-3*$C$5/7))/$C$14,_xlpm.s,(_xlpm.e&gt;=1)*1+(_xlpm.e&lt;=-1)*(-1)+(ABS(_xlpm.e)&lt;1)*_xlpm.e,AVERAGE(_xlpm.s))</f>
        <v>0.5006618266435906</v>
      </c>
      <c r="J106" s="24" cm="1">
        <f t="array" ref="J106">_xlfn.LET(_xlpm.x,$B106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0.12481234598198034</v>
      </c>
      <c r="K106" s="24">
        <f t="shared" si="22"/>
        <v>-0.81211150467180404</v>
      </c>
      <c r="L106" s="24" t="str">
        <f t="shared" si="23"/>
        <v/>
      </c>
      <c r="M106" s="24">
        <f t="shared" si="24"/>
        <v>1000000000</v>
      </c>
    </row>
    <row r="107" spans="1:13" x14ac:dyDescent="0.3">
      <c r="A107" s="24">
        <f t="shared" si="25"/>
        <v>0.79000000000000048</v>
      </c>
      <c r="B107" s="20">
        <f t="shared" si="15"/>
        <v>474.00000000000028</v>
      </c>
      <c r="C107" s="20">
        <f t="shared" si="16"/>
        <v>379.20000000000027</v>
      </c>
      <c r="D107" s="24">
        <f t="shared" si="17"/>
        <v>1.8379633195229543</v>
      </c>
      <c r="E107" s="20">
        <f t="shared" si="18"/>
        <v>188333.75763097906</v>
      </c>
      <c r="F107" s="24">
        <f t="shared" si="19"/>
        <v>0.66609441062313957</v>
      </c>
      <c r="G107" s="16">
        <f t="shared" si="20"/>
        <v>85.759386593439899</v>
      </c>
      <c r="H107" s="24">
        <f t="shared" si="21"/>
        <v>9.5206413447265548E-2</v>
      </c>
      <c r="I107" s="24" cm="1">
        <f t="array" ref="I107">_xlfn.LET(_xlpm.x,$B107,_xlpm.dep,$H$6:$H$29,_xlpm.e,IF(_xlpm.x&lt;=$C$5,$C$12*(_xlpm.x-_xlpm.dep)/_xlpm.x,$C$13*(_xlpm.x-_xlpm.dep)/(_xlpm.x-3*$C$5/7))/$C$14,_xlpm.s,(_xlpm.e&gt;=1)*1+(_xlpm.e&lt;=-1)*(-1)+(ABS(_xlpm.e)&lt;1)*_xlpm.e,AVERAGE(_xlpm.s))</f>
        <v>0.51245197229789108</v>
      </c>
      <c r="J107" s="24" cm="1">
        <f t="array" ref="J107">_xlfn.LET(_xlpm.x,$B107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0.12248282993055623</v>
      </c>
      <c r="K107" s="24">
        <f t="shared" si="22"/>
        <v>-0.81264122384505499</v>
      </c>
      <c r="L107" s="24" t="str">
        <f t="shared" si="23"/>
        <v/>
      </c>
      <c r="M107" s="24">
        <f t="shared" si="24"/>
        <v>1000000000</v>
      </c>
    </row>
    <row r="108" spans="1:13" x14ac:dyDescent="0.3">
      <c r="A108" s="24">
        <f t="shared" si="25"/>
        <v>0.80000000000000049</v>
      </c>
      <c r="B108" s="20">
        <f t="shared" si="15"/>
        <v>480.00000000000028</v>
      </c>
      <c r="C108" s="20">
        <f t="shared" si="16"/>
        <v>384.00000000000023</v>
      </c>
      <c r="D108" s="24">
        <f t="shared" si="17"/>
        <v>1.8545904360032253</v>
      </c>
      <c r="E108" s="20">
        <f t="shared" si="18"/>
        <v>191105.13924029036</v>
      </c>
      <c r="F108" s="24">
        <f t="shared" si="19"/>
        <v>0.6758961680079365</v>
      </c>
      <c r="G108" s="16">
        <f t="shared" si="20"/>
        <v>83.332390030474372</v>
      </c>
      <c r="H108" s="24">
        <f t="shared" si="21"/>
        <v>9.3873405154233994E-2</v>
      </c>
      <c r="I108" s="24" cm="1">
        <f t="array" ref="I108">_xlfn.LET(_xlpm.x,$B108,_xlpm.dep,$H$6:$H$29,_xlpm.e,IF(_xlpm.x&lt;=$C$5,$C$12*(_xlpm.x-_xlpm.dep)/_xlpm.x,$C$13*(_xlpm.x-_xlpm.dep)/(_xlpm.x-3*$C$5/7))/$C$14,_xlpm.s,(_xlpm.e&gt;=1)*1+(_xlpm.e&lt;=-1)*(-1)+(ABS(_xlpm.e)&lt;1)*_xlpm.e,AVERAGE(_xlpm.s))</f>
        <v>0.52394736431083422</v>
      </c>
      <c r="J108" s="24" cm="1">
        <f t="array" ref="J108">_xlfn.LET(_xlpm.x,$B108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0.12021155178041769</v>
      </c>
      <c r="K108" s="24">
        <f t="shared" si="22"/>
        <v>-0.81351941883593037</v>
      </c>
      <c r="L108" s="24" t="str">
        <f t="shared" si="23"/>
        <v/>
      </c>
      <c r="M108" s="24">
        <f t="shared" si="24"/>
        <v>1000000000</v>
      </c>
    </row>
    <row r="109" spans="1:13" x14ac:dyDescent="0.3">
      <c r="A109" s="24">
        <f t="shared" si="25"/>
        <v>0.8100000000000005</v>
      </c>
      <c r="B109" s="20">
        <f t="shared" si="15"/>
        <v>486.00000000000028</v>
      </c>
      <c r="C109" s="20">
        <f t="shared" si="16"/>
        <v>388.80000000000024</v>
      </c>
      <c r="D109" s="24">
        <f t="shared" si="17"/>
        <v>1.8712985902795767</v>
      </c>
      <c r="E109" s="20">
        <f t="shared" si="18"/>
        <v>193863.07983670151</v>
      </c>
      <c r="F109" s="24">
        <f t="shared" si="19"/>
        <v>0.68565038753399532</v>
      </c>
      <c r="G109" s="16">
        <f t="shared" si="20"/>
        <v>80.917766751116247</v>
      </c>
      <c r="H109" s="24">
        <f t="shared" si="21"/>
        <v>9.246883021881383E-2</v>
      </c>
      <c r="I109" s="24" cm="1">
        <f t="array" ref="I109">_xlfn.LET(_xlpm.x,$B109,_xlpm.dep,$H$6:$H$29,_xlpm.e,IF(_xlpm.x&lt;=$C$5,$C$12*(_xlpm.x-_xlpm.dep)/_xlpm.x,$C$13*(_xlpm.x-_xlpm.dep)/(_xlpm.x-3*$C$5/7))/$C$14,_xlpm.s,(_xlpm.e&gt;=1)*1+(_xlpm.e&lt;=-1)*(-1)+(ABS(_xlpm.e)&lt;1)*_xlpm.e,AVERAGE(_xlpm.s))</f>
        <v>0.53515891948395145</v>
      </c>
      <c r="J109" s="24" cm="1">
        <f t="array" ref="J109">_xlfn.LET(_xlpm.x,$B109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0.11799635457225791</v>
      </c>
      <c r="K109" s="24">
        <f t="shared" si="22"/>
        <v>-0.81470299562838733</v>
      </c>
      <c r="L109" s="24" t="str">
        <f t="shared" si="23"/>
        <v/>
      </c>
      <c r="M109" s="24">
        <f t="shared" si="24"/>
        <v>1000000000</v>
      </c>
    </row>
    <row r="110" spans="1:13" x14ac:dyDescent="0.3">
      <c r="A110" s="24">
        <f t="shared" si="25"/>
        <v>0.82000000000000051</v>
      </c>
      <c r="B110" s="20">
        <f t="shared" si="15"/>
        <v>492.00000000000028</v>
      </c>
      <c r="C110" s="20">
        <f t="shared" si="16"/>
        <v>393.60000000000025</v>
      </c>
      <c r="D110" s="24">
        <f t="shared" si="17"/>
        <v>1.8880937149070367</v>
      </c>
      <c r="E110" s="20">
        <f t="shared" si="18"/>
        <v>196606.73975780248</v>
      </c>
      <c r="F110" s="24">
        <f t="shared" si="19"/>
        <v>0.69535409950302507</v>
      </c>
      <c r="G110" s="16">
        <f t="shared" si="20"/>
        <v>78.515881967856444</v>
      </c>
      <c r="H110" s="24">
        <f t="shared" si="21"/>
        <v>9.0993900670741035E-2</v>
      </c>
      <c r="I110" s="24" cm="1">
        <f t="array" ref="I110">_xlfn.LET(_xlpm.x,$B110,_xlpm.dep,$H$6:$H$29,_xlpm.e,IF(_xlpm.x&lt;=$C$5,$C$12*(_xlpm.x-_xlpm.dep)/_xlpm.x,$C$13*(_xlpm.x-_xlpm.dep)/(_xlpm.x-3*$C$5/7))/$C$14,_xlpm.s,(_xlpm.e&gt;=1)*1+(_xlpm.e&lt;=-1)*(-1)+(ABS(_xlpm.e)&lt;1)*_xlpm.e,AVERAGE(_xlpm.s))</f>
        <v>0.54571253699701983</v>
      </c>
      <c r="J110" s="24" cm="1">
        <f t="array" ref="J110">_xlfn.LET(_xlpm.x,$B110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0.11576149358778402</v>
      </c>
      <c r="K110" s="24">
        <f t="shared" si="22"/>
        <v>-0.81672905897027237</v>
      </c>
      <c r="L110" s="24" t="str">
        <f t="shared" si="23"/>
        <v/>
      </c>
      <c r="M110" s="24">
        <f t="shared" si="24"/>
        <v>1000000000</v>
      </c>
    </row>
    <row r="111" spans="1:13" x14ac:dyDescent="0.3">
      <c r="A111" s="24">
        <f t="shared" si="25"/>
        <v>0.83000000000000052</v>
      </c>
      <c r="B111" s="20">
        <f t="shared" si="15"/>
        <v>498.00000000000028</v>
      </c>
      <c r="C111" s="20">
        <f t="shared" si="16"/>
        <v>398.40000000000026</v>
      </c>
      <c r="D111" s="24">
        <f t="shared" si="17"/>
        <v>1.9049819975331768</v>
      </c>
      <c r="E111" s="20">
        <f t="shared" si="18"/>
        <v>199335.26615575139</v>
      </c>
      <c r="F111" s="24">
        <f t="shared" si="19"/>
        <v>0.70500428758280942</v>
      </c>
      <c r="G111" s="16">
        <f t="shared" si="20"/>
        <v>76.127117680191404</v>
      </c>
      <c r="H111" s="24">
        <f t="shared" si="21"/>
        <v>8.9449907276426724E-2</v>
      </c>
      <c r="I111" s="24" cm="1">
        <f t="array" ref="I111">_xlfn.LET(_xlpm.x,$B111,_xlpm.dep,$H$6:$H$29,_xlpm.e,IF(_xlpm.x&lt;=$C$5,$C$12*(_xlpm.x-_xlpm.dep)/_xlpm.x,$C$13*(_xlpm.x-_xlpm.dep)/(_xlpm.x-3*$C$5/7))/$C$14,_xlpm.s,(_xlpm.e&gt;=1)*1+(_xlpm.e&lt;=-1)*(-1)+(ABS(_xlpm.e)&lt;1)*_xlpm.e,AVERAGE(_xlpm.s))</f>
        <v>0.55577925341874235</v>
      </c>
      <c r="J111" s="24" cm="1">
        <f t="array" ref="J111">_xlfn.LET(_xlpm.x,$B111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0.11353590357303865</v>
      </c>
      <c r="K111" s="24">
        <f t="shared" si="22"/>
        <v>-0.81929915895324912</v>
      </c>
      <c r="L111" s="24" t="str">
        <f t="shared" si="23"/>
        <v/>
      </c>
      <c r="M111" s="24">
        <f t="shared" si="24"/>
        <v>1000000000</v>
      </c>
    </row>
    <row r="112" spans="1:13" x14ac:dyDescent="0.3">
      <c r="A112" s="24">
        <f t="shared" si="25"/>
        <v>0.84000000000000052</v>
      </c>
      <c r="B112" s="20">
        <f t="shared" si="15"/>
        <v>504.00000000000034</v>
      </c>
      <c r="C112" s="20">
        <f t="shared" si="16"/>
        <v>403.20000000000027</v>
      </c>
      <c r="D112" s="24">
        <f t="shared" si="17"/>
        <v>1.9219699066927667</v>
      </c>
      <c r="E112" s="20">
        <f t="shared" si="18"/>
        <v>202047.79190665067</v>
      </c>
      <c r="F112" s="24">
        <f t="shared" si="19"/>
        <v>0.71459788494991328</v>
      </c>
      <c r="G112" s="16">
        <f t="shared" si="20"/>
        <v>73.751873770738129</v>
      </c>
      <c r="H112" s="24">
        <f t="shared" si="21"/>
        <v>8.7838221679437417E-2</v>
      </c>
      <c r="I112" s="24" cm="1">
        <f t="array" ref="I112">_xlfn.LET(_xlpm.x,$B112,_xlpm.dep,$H$6:$H$29,_xlpm.e,IF(_xlpm.x&lt;=$C$5,$C$12*(_xlpm.x-_xlpm.dep)/_xlpm.x,$C$13*(_xlpm.x-_xlpm.dep)/(_xlpm.x-3*$C$5/7))/$C$14,_xlpm.s,(_xlpm.e&gt;=1)*1+(_xlpm.e&lt;=-1)*(-1)+(ABS(_xlpm.e)&lt;1)*_xlpm.e,AVERAGE(_xlpm.s))</f>
        <v>0.5656062861161385</v>
      </c>
      <c r="J112" s="24" cm="1">
        <f t="array" ref="J112">_xlfn.LET(_xlpm.x,$B112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0.1113633037967396</v>
      </c>
      <c r="K112" s="24">
        <f t="shared" si="22"/>
        <v>-0.82202599877271387</v>
      </c>
      <c r="L112" s="24" t="str">
        <f t="shared" si="23"/>
        <v/>
      </c>
      <c r="M112" s="24">
        <f t="shared" si="24"/>
        <v>1000000000</v>
      </c>
    </row>
    <row r="113" spans="1:13" x14ac:dyDescent="0.3">
      <c r="A113" s="24">
        <f t="shared" si="25"/>
        <v>0.85000000000000053</v>
      </c>
      <c r="B113" s="20">
        <f t="shared" si="15"/>
        <v>510.00000000000034</v>
      </c>
      <c r="C113" s="20">
        <f t="shared" si="16"/>
        <v>408.00000000000028</v>
      </c>
      <c r="D113" s="24">
        <f t="shared" si="17"/>
        <v>1.9390642202315376</v>
      </c>
      <c r="E113" s="20">
        <f t="shared" si="18"/>
        <v>204743.43444371645</v>
      </c>
      <c r="F113" s="24">
        <f t="shared" si="19"/>
        <v>0.72413177016286434</v>
      </c>
      <c r="G113" s="16">
        <f t="shared" si="20"/>
        <v>71.390569197105762</v>
      </c>
      <c r="H113" s="24">
        <f t="shared" si="21"/>
        <v>8.616029874272442E-2</v>
      </c>
      <c r="I113" s="24" cm="1">
        <f t="array" ref="I113">_xlfn.LET(_xlpm.x,$B113,_xlpm.dep,$H$6:$H$29,_xlpm.e,IF(_xlpm.x&lt;=$C$5,$C$12*(_xlpm.x-_xlpm.dep)/_xlpm.x,$C$13*(_xlpm.x-_xlpm.dep)/(_xlpm.x-3*$C$5/7))/$C$14,_xlpm.s,(_xlpm.e&gt;=1)*1+(_xlpm.e&lt;=-1)*(-1)+(ABS(_xlpm.e)&lt;1)*_xlpm.e,AVERAGE(_xlpm.s))</f>
        <v>0.57520209451477211</v>
      </c>
      <c r="J113" s="24" cm="1">
        <f t="array" ref="J113">_xlfn.LET(_xlpm.x,$B113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0.10924182401517697</v>
      </c>
      <c r="K113" s="24">
        <f t="shared" si="22"/>
        <v>-0.82488739522055043</v>
      </c>
      <c r="L113" s="24" t="str">
        <f t="shared" si="23"/>
        <v/>
      </c>
      <c r="M113" s="24">
        <f t="shared" si="24"/>
        <v>1000000000</v>
      </c>
    </row>
    <row r="114" spans="1:13" x14ac:dyDescent="0.3">
      <c r="A114" s="24">
        <f t="shared" si="25"/>
        <v>0.86000000000000054</v>
      </c>
      <c r="B114" s="20">
        <f t="shared" si="15"/>
        <v>516.00000000000034</v>
      </c>
      <c r="C114" s="20">
        <f t="shared" si="16"/>
        <v>412.8000000000003</v>
      </c>
      <c r="D114" s="24">
        <f t="shared" si="17"/>
        <v>1.9562720567396901</v>
      </c>
      <c r="E114" s="20">
        <f t="shared" si="18"/>
        <v>207421.29450508082</v>
      </c>
      <c r="F114" s="24">
        <f t="shared" si="19"/>
        <v>0.73360276273340885</v>
      </c>
      <c r="G114" s="16">
        <f t="shared" si="20"/>
        <v>69.043643290242173</v>
      </c>
      <c r="H114" s="24">
        <f t="shared" si="21"/>
        <v>8.4417679111502747E-2</v>
      </c>
      <c r="I114" s="24" cm="1">
        <f t="array" ref="I114">_xlfn.LET(_xlpm.x,$B114,_xlpm.dep,$H$6:$H$29,_xlpm.e,IF(_xlpm.x&lt;=$C$5,$C$12*(_xlpm.x-_xlpm.dep)/_xlpm.x,$C$13*(_xlpm.x-_xlpm.dep)/(_xlpm.x-3*$C$5/7))/$C$14,_xlpm.s,(_xlpm.e&gt;=1)*1+(_xlpm.e&lt;=-1)*(-1)+(ABS(_xlpm.e)&lt;1)*_xlpm.e,AVERAGE(_xlpm.s))</f>
        <v>0.58457474457855374</v>
      </c>
      <c r="J114" s="24" cm="1">
        <f t="array" ref="J114">_xlfn.LET(_xlpm.x,$B114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0.10716968097272052</v>
      </c>
      <c r="K114" s="24">
        <f t="shared" si="22"/>
        <v>-0.82786325363600777</v>
      </c>
      <c r="L114" s="24" t="str">
        <f t="shared" si="23"/>
        <v/>
      </c>
      <c r="M114" s="24">
        <f t="shared" si="24"/>
        <v>1000000000</v>
      </c>
    </row>
    <row r="115" spans="1:13" x14ac:dyDescent="0.3">
      <c r="A115" s="24">
        <f t="shared" si="25"/>
        <v>0.87000000000000055</v>
      </c>
      <c r="B115" s="20">
        <f t="shared" si="15"/>
        <v>522.00000000000034</v>
      </c>
      <c r="C115" s="20">
        <f t="shared" si="16"/>
        <v>417.60000000000031</v>
      </c>
      <c r="D115" s="24">
        <f t="shared" si="17"/>
        <v>1.9736009104386105</v>
      </c>
      <c r="E115" s="20">
        <f t="shared" si="18"/>
        <v>210080.45478584216</v>
      </c>
      <c r="F115" s="24">
        <f t="shared" si="19"/>
        <v>0.74300761835911555</v>
      </c>
      <c r="G115" s="16">
        <f t="shared" si="20"/>
        <v>66.711557171462431</v>
      </c>
      <c r="H115" s="24">
        <f t="shared" si="21"/>
        <v>8.2611992018327127E-2</v>
      </c>
      <c r="I115" s="24" cm="1">
        <f t="array" ref="I115">_xlfn.LET(_xlpm.x,$B115,_xlpm.dep,$H$6:$H$29,_xlpm.e,IF(_xlpm.x&lt;=$C$5,$C$12*(_xlpm.x-_xlpm.dep)/_xlpm.x,$C$13*(_xlpm.x-_xlpm.dep)/(_xlpm.x-3*$C$5/7))/$C$14,_xlpm.s,(_xlpm.e&gt;=1)*1+(_xlpm.e&lt;=-1)*(-1)+(ABS(_xlpm.e)&lt;1)*_xlpm.e,AVERAGE(_xlpm.s))</f>
        <v>0.59373193142247838</v>
      </c>
      <c r="J115" s="24" cm="1">
        <f t="array" ref="J115">_xlfn.LET(_xlpm.x,$B115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0.10514517340250437</v>
      </c>
      <c r="K115" s="24">
        <f t="shared" si="22"/>
        <v>-0.83093527492105568</v>
      </c>
      <c r="L115" s="24" t="str">
        <f t="shared" si="23"/>
        <v/>
      </c>
      <c r="M115" s="24">
        <f t="shared" si="24"/>
        <v>1000000000</v>
      </c>
    </row>
    <row r="116" spans="1:13" x14ac:dyDescent="0.3">
      <c r="A116" s="24">
        <f t="shared" si="25"/>
        <v>0.88000000000000056</v>
      </c>
      <c r="B116" s="20">
        <f t="shared" si="15"/>
        <v>528.00000000000034</v>
      </c>
      <c r="C116" s="20">
        <f t="shared" si="16"/>
        <v>422.40000000000032</v>
      </c>
      <c r="D116" s="24">
        <f t="shared" si="17"/>
        <v>1.9910586900396918</v>
      </c>
      <c r="E116" s="20">
        <f t="shared" si="18"/>
        <v>212719.97848254646</v>
      </c>
      <c r="F116" s="24">
        <f t="shared" si="19"/>
        <v>0.75234302377553064</v>
      </c>
      <c r="G116" s="16">
        <f t="shared" si="20"/>
        <v>64.394795302102551</v>
      </c>
      <c r="H116" s="24">
        <f t="shared" si="21"/>
        <v>8.0744958354983604E-2</v>
      </c>
      <c r="I116" s="24" cm="1">
        <f t="array" ref="I116">_xlfn.LET(_xlpm.x,$B116,_xlpm.dep,$H$6:$H$29,_xlpm.e,IF(_xlpm.x&lt;=$C$5,$C$12*(_xlpm.x-_xlpm.dep)/_xlpm.x,$C$13*(_xlpm.x-_xlpm.dep)/(_xlpm.x-3*$C$5/7))/$C$14,_xlpm.s,(_xlpm.e&gt;=1)*1+(_xlpm.e&lt;=-1)*(-1)+(ABS(_xlpm.e)&lt;1)*_xlpm.e,AVERAGE(_xlpm.s))</f>
        <v>0.60268100038358663</v>
      </c>
      <c r="J116" s="24" cm="1">
        <f t="array" ref="J116">_xlfn.LET(_xlpm.x,$B116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0.103166677367975</v>
      </c>
      <c r="K116" s="24">
        <f t="shared" si="22"/>
        <v>-0.83408670716750155</v>
      </c>
      <c r="L116" s="24" t="str">
        <f t="shared" si="23"/>
        <v/>
      </c>
      <c r="M116" s="24">
        <f t="shared" si="24"/>
        <v>1000000000</v>
      </c>
    </row>
    <row r="117" spans="1:13" x14ac:dyDescent="0.3">
      <c r="A117" s="24">
        <f t="shared" si="25"/>
        <v>0.89000000000000057</v>
      </c>
      <c r="B117" s="20">
        <f t="shared" si="15"/>
        <v>534.00000000000034</v>
      </c>
      <c r="C117" s="20">
        <f t="shared" si="16"/>
        <v>427.20000000000027</v>
      </c>
      <c r="D117" s="24">
        <f t="shared" si="17"/>
        <v>2.0086537621851237</v>
      </c>
      <c r="E117" s="20">
        <f t="shared" si="18"/>
        <v>215338.90771659208</v>
      </c>
      <c r="F117" s="24">
        <f t="shared" si="19"/>
        <v>0.76160559118011362</v>
      </c>
      <c r="G117" s="16">
        <f t="shared" si="20"/>
        <v>62.09386718178002</v>
      </c>
      <c r="H117" s="24">
        <f t="shared" si="21"/>
        <v>7.8818394039398373E-2</v>
      </c>
      <c r="I117" s="24" cm="1">
        <f t="array" ref="I117">_xlfn.LET(_xlpm.x,$B117,_xlpm.dep,$H$6:$H$29,_xlpm.e,IF(_xlpm.x&lt;=$C$5,$C$12*(_xlpm.x-_xlpm.dep)/_xlpm.x,$C$13*(_xlpm.x-_xlpm.dep)/(_xlpm.x-3*$C$5/7))/$C$14,_xlpm.s,(_xlpm.e&gt;=1)*1+(_xlpm.e&lt;=-1)*(-1)+(ABS(_xlpm.e)&lt;1)*_xlpm.e,AVERAGE(_xlpm.s))</f>
        <v>0.61142896667141156</v>
      </c>
      <c r="J117" s="24" cm="1">
        <f t="array" ref="J117">_xlfn.LET(_xlpm.x,$B117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0.10123264191849121</v>
      </c>
      <c r="K117" s="24">
        <f t="shared" si="22"/>
        <v>-0.83730213384226571</v>
      </c>
      <c r="L117" s="24" t="str">
        <f t="shared" si="23"/>
        <v/>
      </c>
      <c r="M117" s="24">
        <f t="shared" si="24"/>
        <v>1000000000</v>
      </c>
    </row>
    <row r="118" spans="1:13" x14ac:dyDescent="0.3">
      <c r="A118" s="24">
        <f t="shared" si="25"/>
        <v>0.90000000000000058</v>
      </c>
      <c r="B118" s="20">
        <f t="shared" si="15"/>
        <v>540.00000000000034</v>
      </c>
      <c r="C118" s="20">
        <f t="shared" si="16"/>
        <v>432.00000000000028</v>
      </c>
      <c r="D118" s="24">
        <f t="shared" si="17"/>
        <v>2.0263950001907212</v>
      </c>
      <c r="E118" s="20">
        <f t="shared" si="18"/>
        <v>217936.26182106452</v>
      </c>
      <c r="F118" s="24">
        <f t="shared" si="19"/>
        <v>0.77079185217315382</v>
      </c>
      <c r="G118" s="16">
        <f t="shared" si="20"/>
        <v>59.809309213637221</v>
      </c>
      <c r="H118" s="24">
        <f t="shared" si="21"/>
        <v>7.6834213709960505E-2</v>
      </c>
      <c r="I118" s="24" cm="1">
        <f t="array" ref="I118">_xlfn.LET(_xlpm.x,$B118,_xlpm.dep,$H$6:$H$29,_xlpm.e,IF(_xlpm.x&lt;=$C$5,$C$12*(_xlpm.x-_xlpm.dep)/_xlpm.x,$C$13*(_xlpm.x-_xlpm.dep)/(_xlpm.x-3*$C$5/7))/$C$14,_xlpm.s,(_xlpm.e&gt;=1)*1+(_xlpm.e&lt;=-1)*(-1)+(ABS(_xlpm.e)&lt;1)*_xlpm.e,AVERAGE(_xlpm.s))</f>
        <v>0.61998253370839573</v>
      </c>
      <c r="J118" s="24" cm="1">
        <f t="array" ref="J118">_xlfn.LET(_xlpm.x,$B118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9.9341585034551511E-2</v>
      </c>
      <c r="K118" s="24">
        <f t="shared" si="22"/>
        <v>-0.84056729205390435</v>
      </c>
      <c r="L118" s="24" t="str">
        <f t="shared" si="23"/>
        <v/>
      </c>
      <c r="M118" s="24">
        <f t="shared" si="24"/>
        <v>1000000000</v>
      </c>
    </row>
    <row r="119" spans="1:13" x14ac:dyDescent="0.3">
      <c r="A119" s="24">
        <f t="shared" si="25"/>
        <v>0.91000000000000059</v>
      </c>
      <c r="B119" s="20">
        <f t="shared" si="15"/>
        <v>546.00000000000034</v>
      </c>
      <c r="C119" s="20">
        <f t="shared" si="16"/>
        <v>436.8000000000003</v>
      </c>
      <c r="D119" s="24">
        <f t="shared" si="17"/>
        <v>2.0442918389449538</v>
      </c>
      <c r="E119" s="20">
        <f t="shared" si="18"/>
        <v>220511.03547314287</v>
      </c>
      <c r="F119" s="24">
        <f t="shared" si="19"/>
        <v>0.77989825115251032</v>
      </c>
      <c r="G119" s="16">
        <f t="shared" si="20"/>
        <v>57.541686757779871</v>
      </c>
      <c r="H119" s="24">
        <f t="shared" si="21"/>
        <v>7.4794434784596797E-2</v>
      </c>
      <c r="I119" s="24" cm="1">
        <f t="array" ref="I119">_xlfn.LET(_xlpm.x,$B119,_xlpm.dep,$H$6:$H$29,_xlpm.e,IF(_xlpm.x&lt;=$C$5,$C$12*(_xlpm.x-_xlpm.dep)/_xlpm.x,$C$13*(_xlpm.x-_xlpm.dep)/(_xlpm.x-3*$C$5/7))/$C$14,_xlpm.s,(_xlpm.e&gt;=1)*1+(_xlpm.e&lt;=-1)*(-1)+(ABS(_xlpm.e)&lt;1)*_xlpm.e,AVERAGE(_xlpm.s))</f>
        <v>0.62834811026105075</v>
      </c>
      <c r="J119" s="24" cm="1">
        <f t="array" ref="J119">_xlfn.LET(_xlpm.x,$B119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9.7492089840368751E-2</v>
      </c>
      <c r="K119" s="24">
        <f t="shared" si="22"/>
        <v>-0.84386891565417232</v>
      </c>
      <c r="L119" s="24" t="str">
        <f t="shared" si="23"/>
        <v/>
      </c>
      <c r="M119" s="24">
        <f t="shared" si="24"/>
        <v>1000000000</v>
      </c>
    </row>
    <row r="120" spans="1:13" x14ac:dyDescent="0.3">
      <c r="A120" s="24">
        <f t="shared" si="25"/>
        <v>0.9200000000000006</v>
      </c>
      <c r="B120" s="20">
        <f t="shared" si="15"/>
        <v>552.00000000000034</v>
      </c>
      <c r="C120" s="20">
        <f t="shared" si="16"/>
        <v>441.60000000000031</v>
      </c>
      <c r="D120" s="24">
        <f t="shared" si="17"/>
        <v>2.0623543369824375</v>
      </c>
      <c r="E120" s="20">
        <f t="shared" si="18"/>
        <v>223062.19665141765</v>
      </c>
      <c r="F120" s="24">
        <f t="shared" si="19"/>
        <v>0.78892113808910092</v>
      </c>
      <c r="G120" s="16">
        <f t="shared" si="20"/>
        <v>55.291596397482934</v>
      </c>
      <c r="H120" s="24">
        <f t="shared" si="21"/>
        <v>7.2701181927775776E-2</v>
      </c>
      <c r="I120" s="24" cm="1">
        <f t="array" ref="I120">_xlfn.LET(_xlpm.x,$B120,_xlpm.dep,$H$6:$H$29,_xlpm.e,IF(_xlpm.x&lt;=$C$5,$C$12*(_xlpm.x-_xlpm.dep)/_xlpm.x,$C$13*(_xlpm.x-_xlpm.dep)/(_xlpm.x-3*$C$5/7))/$C$14,_xlpm.s,(_xlpm.e&gt;=1)*1+(_xlpm.e&lt;=-1)*(-1)+(ABS(_xlpm.e)&lt;1)*_xlpm.e,AVERAGE(_xlpm.s))</f>
        <v>0.63653182645386563</v>
      </c>
      <c r="J120" s="24" cm="1">
        <f t="array" ref="J120">_xlfn.LET(_xlpm.x,$B120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9.5682801063450812E-2</v>
      </c>
      <c r="K120" s="24">
        <f t="shared" si="22"/>
        <v>-0.84719459889413173</v>
      </c>
      <c r="L120" s="24" t="str">
        <f t="shared" si="23"/>
        <v/>
      </c>
      <c r="M120" s="24">
        <f t="shared" si="24"/>
        <v>1000000000</v>
      </c>
    </row>
    <row r="121" spans="1:13" x14ac:dyDescent="0.3">
      <c r="A121" s="24">
        <f t="shared" si="25"/>
        <v>0.9300000000000006</v>
      </c>
      <c r="B121" s="20">
        <f t="shared" si="15"/>
        <v>558.00000000000034</v>
      </c>
      <c r="C121" s="20">
        <f t="shared" si="16"/>
        <v>446.40000000000032</v>
      </c>
      <c r="D121" s="24">
        <f t="shared" si="17"/>
        <v>2.0805932469519299</v>
      </c>
      <c r="E121" s="20">
        <f t="shared" si="18"/>
        <v>225588.68439409733</v>
      </c>
      <c r="F121" s="24">
        <f t="shared" si="19"/>
        <v>0.79785676059817989</v>
      </c>
      <c r="G121" s="16">
        <f t="shared" si="20"/>
        <v>53.059668446750926</v>
      </c>
      <c r="H121" s="24">
        <f t="shared" si="21"/>
        <v>7.0556691975563593E-2</v>
      </c>
      <c r="I121" s="24" cm="1">
        <f t="array" ref="I121">_xlfn.LET(_xlpm.x,$B121,_xlpm.dep,$H$6:$H$29,_xlpm.e,IF(_xlpm.x&lt;=$C$5,$C$12*(_xlpm.x-_xlpm.dep)/_xlpm.x,$C$13*(_xlpm.x-_xlpm.dep)/(_xlpm.x-3*$C$5/7))/$C$14,_xlpm.s,(_xlpm.e&gt;=1)*1+(_xlpm.e&lt;=-1)*(-1)+(ABS(_xlpm.e)&lt;1)*_xlpm.e,AVERAGE(_xlpm.s))</f>
        <v>0.64453954875006048</v>
      </c>
      <c r="J121" s="24" cm="1">
        <f t="array" ref="J121">_xlfn.LET(_xlpm.x,$B121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9.3912421722595632E-2</v>
      </c>
      <c r="K121" s="24">
        <f t="shared" si="22"/>
        <v>-0.8505326771151982</v>
      </c>
      <c r="L121" s="24" t="str">
        <f t="shared" si="23"/>
        <v/>
      </c>
      <c r="M121" s="24">
        <f t="shared" si="24"/>
        <v>1000000000</v>
      </c>
    </row>
    <row r="122" spans="1:13" x14ac:dyDescent="0.3">
      <c r="A122" s="24">
        <f t="shared" si="25"/>
        <v>0.94000000000000061</v>
      </c>
      <c r="B122" s="20">
        <f t="shared" si="15"/>
        <v>564.00000000000034</v>
      </c>
      <c r="C122" s="20">
        <f t="shared" si="16"/>
        <v>451.20000000000027</v>
      </c>
      <c r="D122" s="24">
        <f t="shared" si="17"/>
        <v>2.0990200959485685</v>
      </c>
      <c r="E122" s="20">
        <f t="shared" si="18"/>
        <v>228089.40633005381</v>
      </c>
      <c r="F122" s="24">
        <f t="shared" si="19"/>
        <v>0.80670125520719793</v>
      </c>
      <c r="G122" s="16">
        <f t="shared" si="20"/>
        <v>50.846569732625149</v>
      </c>
      <c r="H122" s="24">
        <f t="shared" si="21"/>
        <v>6.8363319377148374E-2</v>
      </c>
      <c r="I122" s="24" cm="1">
        <f t="array" ref="I122">_xlfn.LET(_xlpm.x,$B122,_xlpm.dep,$H$6:$H$29,_xlpm.e,IF(_xlpm.x&lt;=$C$5,$C$12*(_xlpm.x-_xlpm.dep)/_xlpm.x,$C$13*(_xlpm.x-_xlpm.dep)/(_xlpm.x-3*$C$5/7))/$C$14,_xlpm.s,(_xlpm.e&gt;=1)*1+(_xlpm.e&lt;=-1)*(-1)+(ABS(_xlpm.e)&lt;1)*_xlpm.e,AVERAGE(_xlpm.s))</f>
        <v>0.65237689397612364</v>
      </c>
      <c r="J122" s="24" cm="1">
        <f t="array" ref="J122">_xlfn.LET(_xlpm.x,$B122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9.2179710027290571E-2</v>
      </c>
      <c r="K122" s="24">
        <f t="shared" si="22"/>
        <v>-0.85387212155680081</v>
      </c>
      <c r="L122" s="24" t="str">
        <f t="shared" si="23"/>
        <v/>
      </c>
      <c r="M122" s="24">
        <f t="shared" si="24"/>
        <v>1000000000</v>
      </c>
    </row>
    <row r="123" spans="1:13" x14ac:dyDescent="0.3">
      <c r="A123" s="24">
        <f t="shared" si="25"/>
        <v>0.95000000000000062</v>
      </c>
      <c r="B123" s="20">
        <f t="shared" si="15"/>
        <v>570.00000000000034</v>
      </c>
      <c r="C123" s="20">
        <f t="shared" si="16"/>
        <v>456.00000000000028</v>
      </c>
      <c r="D123" s="24">
        <f t="shared" si="17"/>
        <v>2.1176472774908417</v>
      </c>
      <c r="E123" s="20">
        <f t="shared" si="18"/>
        <v>230563.23594978102</v>
      </c>
      <c r="F123" s="24">
        <f t="shared" si="19"/>
        <v>0.81545063770379189</v>
      </c>
      <c r="G123" s="16">
        <f t="shared" si="20"/>
        <v>48.65300669142858</v>
      </c>
      <c r="H123" s="24">
        <f t="shared" si="21"/>
        <v>6.612354222122048E-2</v>
      </c>
      <c r="I123" s="24" cm="1">
        <f t="array" ref="I123">_xlfn.LET(_xlpm.x,$B123,_xlpm.dep,$H$6:$H$29,_xlpm.e,IF(_xlpm.x&lt;=$C$5,$C$12*(_xlpm.x-_xlpm.dep)/_xlpm.x,$C$13*(_xlpm.x-_xlpm.dep)/(_xlpm.x-3*$C$5/7))/$C$14,_xlpm.s,(_xlpm.e&gt;=1)*1+(_xlpm.e&lt;=-1)*(-1)+(ABS(_xlpm.e)&lt;1)*_xlpm.e,AVERAGE(_xlpm.s))</f>
        <v>0.66004924246058549</v>
      </c>
      <c r="J123" s="24" cm="1">
        <f t="array" ref="J123">_xlfn.LET(_xlpm.x,$B123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9.0483476472939264E-2</v>
      </c>
      <c r="K123" s="24">
        <f t="shared" si="22"/>
        <v>-0.857202445837833</v>
      </c>
      <c r="L123" s="24" t="str">
        <f t="shared" si="23"/>
        <v/>
      </c>
      <c r="M123" s="24">
        <f t="shared" si="24"/>
        <v>1000000000</v>
      </c>
    </row>
    <row r="124" spans="1:13" x14ac:dyDescent="0.3">
      <c r="A124" s="24">
        <f t="shared" si="25"/>
        <v>0.96000000000000063</v>
      </c>
      <c r="B124" s="20">
        <f t="shared" si="15"/>
        <v>576.00000000000034</v>
      </c>
      <c r="C124" s="20">
        <f t="shared" si="16"/>
        <v>460.8000000000003</v>
      </c>
      <c r="D124" s="24">
        <f t="shared" si="17"/>
        <v>2.136488157312173</v>
      </c>
      <c r="E124" s="20">
        <f t="shared" si="18"/>
        <v>233009.00957742907</v>
      </c>
      <c r="F124" s="24">
        <f t="shared" si="19"/>
        <v>0.8241007924265471</v>
      </c>
      <c r="G124" s="16">
        <f t="shared" si="20"/>
        <v>46.479728825159221</v>
      </c>
      <c r="H124" s="24">
        <f t="shared" si="21"/>
        <v>6.3839968927641225E-2</v>
      </c>
      <c r="I124" s="24" cm="1">
        <f t="array" ref="I124">_xlfn.LET(_xlpm.x,$B124,_xlpm.dep,$H$6:$H$29,_xlpm.e,IF(_xlpm.x&lt;=$C$5,$C$12*(_xlpm.x-_xlpm.dep)/_xlpm.x,$C$13*(_xlpm.x-_xlpm.dep)/(_xlpm.x-3*$C$5/7))/$C$14,_xlpm.s,(_xlpm.e&gt;=1)*1+(_xlpm.e&lt;=-1)*(-1)+(ABS(_xlpm.e)&lt;1)*_xlpm.e,AVERAGE(_xlpm.s))</f>
        <v>0.66756175035162091</v>
      </c>
      <c r="J124" s="24" cm="1">
        <f t="array" ref="J124">_xlfn.LET(_xlpm.x,$B124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8.8822581117636953E-2</v>
      </c>
      <c r="K124" s="24">
        <f t="shared" si="22"/>
        <v>-0.86051362204440773</v>
      </c>
      <c r="L124" s="24" t="str">
        <f t="shared" si="23"/>
        <v/>
      </c>
      <c r="M124" s="24">
        <f t="shared" si="24"/>
        <v>1000000000</v>
      </c>
    </row>
    <row r="125" spans="1:13" x14ac:dyDescent="0.3">
      <c r="A125" s="24">
        <f t="shared" si="25"/>
        <v>0.97000000000000064</v>
      </c>
      <c r="B125" s="20">
        <f t="shared" si="15"/>
        <v>582.00000000000034</v>
      </c>
      <c r="C125" s="20">
        <f t="shared" si="16"/>
        <v>465.60000000000031</v>
      </c>
      <c r="D125" s="24">
        <f t="shared" si="17"/>
        <v>2.1555571956282797</v>
      </c>
      <c r="E125" s="20">
        <f t="shared" si="18"/>
        <v>235425.52299784857</v>
      </c>
      <c r="F125" s="24">
        <f t="shared" si="19"/>
        <v>0.83264746033560633</v>
      </c>
      <c r="G125" s="16">
        <f t="shared" si="20"/>
        <v>44.327532572803229</v>
      </c>
      <c r="H125" s="24">
        <f t="shared" si="21"/>
        <v>6.1515345699480785E-2</v>
      </c>
      <c r="I125" s="24" cm="1">
        <f t="array" ref="I125">_xlfn.LET(_xlpm.x,$B125,_xlpm.dep,$H$6:$H$29,_xlpm.e,IF(_xlpm.x&lt;=$C$5,$C$12*(_xlpm.x-_xlpm.dep)/_xlpm.x,$C$13*(_xlpm.x-_xlpm.dep)/(_xlpm.x-3*$C$5/7))/$C$14,_xlpm.s,(_xlpm.e&gt;=1)*1+(_xlpm.e&lt;=-1)*(-1)+(ABS(_xlpm.e)&lt;1)*_xlpm.e,AVERAGE(_xlpm.s))</f>
        <v>0.67491936117273832</v>
      </c>
      <c r="J125" s="24" cm="1">
        <f t="array" ref="J125">_xlfn.LET(_xlpm.x,$B125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8.7195931027392454E-2</v>
      </c>
      <c r="K125" s="24">
        <f t="shared" si="22"/>
        <v>-0.86379600465073414</v>
      </c>
      <c r="L125" s="24" t="str">
        <f t="shared" si="23"/>
        <v/>
      </c>
      <c r="M125" s="24">
        <f t="shared" si="24"/>
        <v>1000000000</v>
      </c>
    </row>
    <row r="126" spans="1:13" x14ac:dyDescent="0.3">
      <c r="A126" s="24">
        <f t="shared" si="25"/>
        <v>0.98000000000000065</v>
      </c>
      <c r="B126" s="20">
        <f t="shared" si="15"/>
        <v>588.00000000000034</v>
      </c>
      <c r="C126" s="20">
        <f t="shared" si="16"/>
        <v>470.40000000000032</v>
      </c>
      <c r="D126" s="24">
        <f t="shared" si="17"/>
        <v>2.1748700891658901</v>
      </c>
      <c r="E126" s="20">
        <f t="shared" si="18"/>
        <v>237811.5276836917</v>
      </c>
      <c r="F126" s="24">
        <f t="shared" si="19"/>
        <v>0.84108622566876989</v>
      </c>
      <c r="G126" s="16">
        <f t="shared" si="20"/>
        <v>42.197265661842408</v>
      </c>
      <c r="H126" s="24">
        <f t="shared" si="21"/>
        <v>5.9152564848435694E-2</v>
      </c>
      <c r="I126" s="24" cm="1">
        <f t="array" ref="I126">_xlfn.LET(_xlpm.x,$B126,_xlpm.dep,$H$6:$H$29,_xlpm.e,IF(_xlpm.x&lt;=$C$5,$C$12*(_xlpm.x-_xlpm.dep)/_xlpm.x,$C$13*(_xlpm.x-_xlpm.dep)/(_xlpm.x-3*$C$5/7))/$C$14,_xlpm.s,(_xlpm.e&gt;=1)*1+(_xlpm.e&lt;=-1)*(-1)+(ABS(_xlpm.e)&lt;1)*_xlpm.e,AVERAGE(_xlpm.s))</f>
        <v>0.68212681667097586</v>
      </c>
      <c r="J126" s="24" cm="1">
        <f t="array" ref="J126">_xlfn.LET(_xlpm.x,$B126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8.5602477877765176E-2</v>
      </c>
      <c r="K126" s="24">
        <f t="shared" si="22"/>
        <v>-0.86704026072746809</v>
      </c>
      <c r="L126" s="24" t="str">
        <f t="shared" si="23"/>
        <v/>
      </c>
      <c r="M126" s="24">
        <f t="shared" si="24"/>
        <v>1000000000</v>
      </c>
    </row>
    <row r="127" spans="1:13" x14ac:dyDescent="0.3">
      <c r="A127" s="24">
        <f t="shared" si="25"/>
        <v>0.99000000000000066</v>
      </c>
      <c r="B127" s="20">
        <f t="shared" si="15"/>
        <v>594.00000000000034</v>
      </c>
      <c r="C127" s="20">
        <f t="shared" si="16"/>
        <v>475.20000000000027</v>
      </c>
      <c r="D127" s="24">
        <f t="shared" si="17"/>
        <v>2.1944439370384528</v>
      </c>
      <c r="E127" s="20">
        <f t="shared" si="18"/>
        <v>240165.72655661879</v>
      </c>
      <c r="F127" s="24">
        <f t="shared" si="19"/>
        <v>0.84941250094983012</v>
      </c>
      <c r="G127" s="16">
        <f t="shared" si="20"/>
        <v>40.089832018199772</v>
      </c>
      <c r="H127" s="24">
        <f t="shared" si="21"/>
        <v>5.6754674128729407E-2</v>
      </c>
      <c r="I127" s="24" cm="1">
        <f t="array" ref="I127">_xlfn.LET(_xlpm.x,$B127,_xlpm.dep,$H$6:$H$29,_xlpm.e,IF(_xlpm.x&lt;=$C$5,$C$12*(_xlpm.x-_xlpm.dep)/_xlpm.x,$C$13*(_xlpm.x-_xlpm.dep)/(_xlpm.x-3*$C$5/7))/$C$14,_xlpm.s,(_xlpm.e&gt;=1)*1+(_xlpm.e&lt;=-1)*(-1)+(ABS(_xlpm.e)&lt;1)*_xlpm.e,AVERAGE(_xlpm.s))</f>
        <v>0.68918866700763248</v>
      </c>
      <c r="J127" s="24" cm="1">
        <f t="array" ref="J127">_xlfn.LET(_xlpm.x,$B127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8.4041215700857638E-2</v>
      </c>
      <c r="K127" s="24">
        <f t="shared" si="22"/>
        <v>-0.87023730506296748</v>
      </c>
      <c r="L127" s="24" t="str">
        <f t="shared" si="23"/>
        <v/>
      </c>
      <c r="M127" s="24">
        <f t="shared" si="24"/>
        <v>1000000000</v>
      </c>
    </row>
    <row r="128" spans="1:13" x14ac:dyDescent="0.3">
      <c r="A128" s="24">
        <f t="shared" si="25"/>
        <v>1.0000000000000007</v>
      </c>
      <c r="B128" s="20">
        <f t="shared" si="15"/>
        <v>600.00000000000045</v>
      </c>
      <c r="C128" s="20">
        <f t="shared" si="16"/>
        <v>480.0000000000004</v>
      </c>
      <c r="D128" s="24">
        <f t="shared" si="17"/>
        <v>2.2142974355881826</v>
      </c>
      <c r="E128" s="20">
        <f t="shared" si="18"/>
        <v>242486.76920293647</v>
      </c>
      <c r="F128" s="24">
        <f t="shared" si="19"/>
        <v>0.85762151006735354</v>
      </c>
      <c r="G128" s="16">
        <f t="shared" si="20"/>
        <v>38.006197329006113</v>
      </c>
      <c r="H128" s="24">
        <f t="shared" si="21"/>
        <v>5.4324887242033409E-2</v>
      </c>
      <c r="I128" s="24" cm="1">
        <f t="array" ref="I128">_xlfn.LET(_xlpm.x,$B128,_xlpm.dep,$H$6:$H$29,_xlpm.e,IF(_xlpm.x&lt;=$C$5,$C$12*(_xlpm.x-_xlpm.dep)/_xlpm.x,$C$13*(_xlpm.x-_xlpm.dep)/(_xlpm.x-3*$C$5/7))/$C$14,_xlpm.s,(_xlpm.e&gt;=1)*1+(_xlpm.e&lt;=-1)*(-1)+(ABS(_xlpm.e)&lt;1)*_xlpm.e,AVERAGE(_xlpm.s))</f>
        <v>0.69610928033755615</v>
      </c>
      <c r="J128" s="24" cm="1">
        <f t="array" ref="J128">_xlfn.LET(_xlpm.x,$B128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8.2511178767488216E-2</v>
      </c>
      <c r="K128" s="24">
        <f t="shared" si="22"/>
        <v>-0.87337823894456657</v>
      </c>
      <c r="L128" s="24" t="str">
        <f t="shared" si="23"/>
        <v/>
      </c>
      <c r="M128" s="24">
        <f t="shared" si="24"/>
        <v>1000000000</v>
      </c>
    </row>
    <row r="129" spans="1:13" x14ac:dyDescent="0.3">
      <c r="A129" s="24">
        <f t="shared" si="25"/>
        <v>1.0100000000000007</v>
      </c>
      <c r="B129" s="20">
        <f t="shared" si="15"/>
        <v>606.00000000000045</v>
      </c>
      <c r="C129" s="20">
        <f t="shared" si="16"/>
        <v>484.80000000000041</v>
      </c>
      <c r="D129" s="24">
        <f t="shared" si="17"/>
        <v>2.2344511086616818</v>
      </c>
      <c r="E129" s="20">
        <f t="shared" si="18"/>
        <v>244773.24644675487</v>
      </c>
      <c r="F129" s="24">
        <f t="shared" si="19"/>
        <v>0.86570826908114984</v>
      </c>
      <c r="G129" s="16">
        <f t="shared" si="20"/>
        <v>35.947395372800891</v>
      </c>
      <c r="H129" s="24">
        <f t="shared" si="21"/>
        <v>5.1866595710271989E-2</v>
      </c>
      <c r="I129" s="24" cm="1">
        <f t="array" ref="I129">_xlfn.LET(_xlpm.x,$B129,_xlpm.dep,$H$6:$H$29,_xlpm.e,IF(_xlpm.x&lt;=$C$5,$C$12*(_xlpm.x-_xlpm.dep)/_xlpm.x,$C$13*(_xlpm.x-_xlpm.dep)/(_xlpm.x-3*$C$5/7))/$C$14,_xlpm.s,(_xlpm.e&gt;=1)*1+(_xlpm.e&lt;=-1)*(-1)+(ABS(_xlpm.e)&lt;1)*_xlpm.e,AVERAGE(_xlpm.s))</f>
        <v>0.70047595119170136</v>
      </c>
      <c r="J129" s="24" cm="1">
        <f t="array" ref="J129">_xlfn.LET(_xlpm.x,$B129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8.1247619957076314E-2</v>
      </c>
      <c r="K129" s="24">
        <f t="shared" si="22"/>
        <v>-0.87947838229121944</v>
      </c>
      <c r="L129" s="24" t="str">
        <f t="shared" si="23"/>
        <v/>
      </c>
      <c r="M129" s="24">
        <f t="shared" si="24"/>
        <v>1000000000</v>
      </c>
    </row>
    <row r="130" spans="1:13" x14ac:dyDescent="0.3">
      <c r="A130" s="24">
        <f t="shared" si="25"/>
        <v>1.0200000000000007</v>
      </c>
      <c r="B130" s="20">
        <f t="shared" si="15"/>
        <v>612.00000000000045</v>
      </c>
      <c r="C130" s="20">
        <f t="shared" si="16"/>
        <v>489.60000000000036</v>
      </c>
      <c r="D130" s="24">
        <f t="shared" si="17"/>
        <v>2.2549275815611525</v>
      </c>
      <c r="E130" s="20">
        <f t="shared" si="18"/>
        <v>247023.68416189289</v>
      </c>
      <c r="F130" s="24">
        <f t="shared" si="19"/>
        <v>0.87366756433636417</v>
      </c>
      <c r="G130" s="16">
        <f t="shared" si="20"/>
        <v>33.91453525736285</v>
      </c>
      <c r="H130" s="24">
        <f t="shared" si="21"/>
        <v>4.9383382356499909E-2</v>
      </c>
      <c r="I130" s="24" cm="1">
        <f t="array" ref="I130">_xlfn.LET(_xlpm.x,$B130,_xlpm.dep,$H$6:$H$29,_xlpm.e,IF(_xlpm.x&lt;=$C$5,$C$12*(_xlpm.x-_xlpm.dep)/_xlpm.x,$C$13*(_xlpm.x-_xlpm.dep)/(_xlpm.x-3*$C$5/7))/$C$14,_xlpm.s,(_xlpm.e&gt;=1)*1+(_xlpm.e&lt;=-1)*(-1)+(ABS(_xlpm.e)&lt;1)*_xlpm.e,AVERAGE(_xlpm.s))</f>
        <v>0.70469495684788042</v>
      </c>
      <c r="J130" s="24" cm="1">
        <f t="array" ref="J130">_xlfn.LET(_xlpm.x,$B130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8.0026790188562374E-2</v>
      </c>
      <c r="K130" s="24">
        <f t="shared" si="22"/>
        <v>-0.88550761656422361</v>
      </c>
      <c r="L130" s="24" t="str">
        <f t="shared" si="23"/>
        <v/>
      </c>
      <c r="M130" s="24">
        <f t="shared" si="24"/>
        <v>1000000000</v>
      </c>
    </row>
    <row r="131" spans="1:13" x14ac:dyDescent="0.3">
      <c r="A131" s="24">
        <f t="shared" si="25"/>
        <v>1.0300000000000007</v>
      </c>
      <c r="B131" s="20">
        <f t="shared" si="15"/>
        <v>618.00000000000045</v>
      </c>
      <c r="C131" s="20">
        <f t="shared" si="16"/>
        <v>494.40000000000038</v>
      </c>
      <c r="D131" s="24">
        <f t="shared" si="17"/>
        <v>2.2757519092748622</v>
      </c>
      <c r="E131" s="20">
        <f t="shared" si="18"/>
        <v>249236.53617580785</v>
      </c>
      <c r="F131" s="24">
        <f t="shared" si="19"/>
        <v>0.88149392736626242</v>
      </c>
      <c r="G131" s="16">
        <f t="shared" si="20"/>
        <v>31.908809737999089</v>
      </c>
      <c r="H131" s="24">
        <f t="shared" si="21"/>
        <v>4.687903668921943E-2</v>
      </c>
      <c r="I131" s="24" cm="1">
        <f t="array" ref="I131">_xlfn.LET(_xlpm.x,$B131,_xlpm.dep,$H$6:$H$29,_xlpm.e,IF(_xlpm.x&lt;=$C$5,$C$12*(_xlpm.x-_xlpm.dep)/_xlpm.x,$C$13*(_xlpm.x-_xlpm.dep)/(_xlpm.x-3*$C$5/7))/$C$14,_xlpm.s,(_xlpm.e&gt;=1)*1+(_xlpm.e&lt;=-1)*(-1)+(ABS(_xlpm.e)&lt;1)*_xlpm.e,AVERAGE(_xlpm.s))</f>
        <v>0.70877366302855693</v>
      </c>
      <c r="J131" s="24" cm="1">
        <f t="array" ref="J131">_xlfn.LET(_xlpm.x,$B131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7.8846558084559593E-2</v>
      </c>
      <c r="K131" s="24">
        <f t="shared" si="22"/>
        <v>-0.8914539967149373</v>
      </c>
      <c r="L131" s="24" t="str">
        <f t="shared" si="23"/>
        <v/>
      </c>
      <c r="M131" s="24">
        <f t="shared" si="24"/>
        <v>1000000000</v>
      </c>
    </row>
    <row r="132" spans="1:13" x14ac:dyDescent="0.3">
      <c r="A132" s="24">
        <f t="shared" si="25"/>
        <v>1.0400000000000007</v>
      </c>
      <c r="B132" s="20">
        <f t="shared" si="15"/>
        <v>624.00000000000045</v>
      </c>
      <c r="C132" s="20">
        <f t="shared" si="16"/>
        <v>499.20000000000039</v>
      </c>
      <c r="D132" s="24">
        <f t="shared" si="17"/>
        <v>2.2969519727690786</v>
      </c>
      <c r="E132" s="20">
        <f t="shared" si="18"/>
        <v>251410.17608271749</v>
      </c>
      <c r="F132" s="24">
        <f t="shared" si="19"/>
        <v>0.88918160593707307</v>
      </c>
      <c r="G132" s="16">
        <f t="shared" si="20"/>
        <v>29.931504831158708</v>
      </c>
      <c r="H132" s="24">
        <f t="shared" si="21"/>
        <v>4.4357572556471603E-2</v>
      </c>
      <c r="I132" s="24" cm="1">
        <f t="array" ref="I132">_xlfn.LET(_xlpm.x,$B132,_xlpm.dep,$H$6:$H$29,_xlpm.e,IF(_xlpm.x&lt;=$C$5,$C$12*(_xlpm.x-_xlpm.dep)/_xlpm.x,$C$13*(_xlpm.x-_xlpm.dep)/(_xlpm.x-3*$C$5/7))/$C$14,_xlpm.s,(_xlpm.e&gt;=1)*1+(_xlpm.e&lt;=-1)*(-1)+(ABS(_xlpm.e)&lt;1)*_xlpm.e,AVERAGE(_xlpm.s))</f>
        <v>0.71271895358650106</v>
      </c>
      <c r="J132" s="24" cm="1">
        <f t="array" ref="J132">_xlfn.LET(_xlpm.x,$B132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7.7704931703584917E-2</v>
      </c>
      <c r="K132" s="24">
        <f t="shared" si="22"/>
        <v>-0.89730571921192226</v>
      </c>
      <c r="L132" s="24" t="str">
        <f t="shared" si="23"/>
        <v/>
      </c>
      <c r="M132" s="24">
        <f t="shared" si="24"/>
        <v>1000000000</v>
      </c>
    </row>
    <row r="133" spans="1:13" x14ac:dyDescent="0.3">
      <c r="A133" s="24">
        <f t="shared" si="25"/>
        <v>1.0500000000000007</v>
      </c>
      <c r="B133" s="20">
        <f t="shared" si="15"/>
        <v>630.00000000000045</v>
      </c>
      <c r="C133" s="20">
        <f t="shared" si="16"/>
        <v>504.0000000000004</v>
      </c>
      <c r="D133" s="24">
        <f t="shared" si="17"/>
        <v>2.3185589614548192</v>
      </c>
      <c r="E133" s="20">
        <f t="shared" si="18"/>
        <v>253542.88773594133</v>
      </c>
      <c r="F133" s="24">
        <f t="shared" si="19"/>
        <v>0.89672453042152334</v>
      </c>
      <c r="G133" s="16">
        <f t="shared" si="20"/>
        <v>27.984010992969246</v>
      </c>
      <c r="H133" s="24">
        <f t="shared" si="21"/>
        <v>4.1823248528301819E-2</v>
      </c>
      <c r="I133" s="24" cm="1">
        <f t="array" ref="I133">_xlfn.LET(_xlpm.x,$B133,_xlpm.dep,$H$6:$H$29,_xlpm.e,IF(_xlpm.x&lt;=$C$5,$C$12*(_xlpm.x-_xlpm.dep)/_xlpm.x,$C$13*(_xlpm.x-_xlpm.dep)/(_xlpm.x-3*$C$5/7))/$C$14,_xlpm.s,(_xlpm.e&gt;=1)*1+(_xlpm.e&lt;=-1)*(-1)+(ABS(_xlpm.e)&lt;1)*_xlpm.e,AVERAGE(_xlpm.s))</f>
        <v>0.71653726927591388</v>
      </c>
      <c r="J133" s="24" cm="1">
        <f t="array" ref="J133">_xlfn.LET(_xlpm.x,$B133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7.6600047321078404E-2</v>
      </c>
      <c r="K133" s="24">
        <f t="shared" si="22"/>
        <v>-0.90305102815132132</v>
      </c>
      <c r="L133" s="24" t="str">
        <f t="shared" si="23"/>
        <v/>
      </c>
      <c r="M133" s="24">
        <f t="shared" si="24"/>
        <v>1000000000</v>
      </c>
    </row>
    <row r="134" spans="1:13" x14ac:dyDescent="0.3">
      <c r="A134" s="24">
        <f t="shared" si="25"/>
        <v>1.0600000000000007</v>
      </c>
      <c r="B134" s="20">
        <f t="shared" si="15"/>
        <v>636.00000000000045</v>
      </c>
      <c r="C134" s="20">
        <f t="shared" si="16"/>
        <v>508.80000000000041</v>
      </c>
      <c r="D134" s="24">
        <f t="shared" si="17"/>
        <v>2.3406079659242431</v>
      </c>
      <c r="E134" s="20">
        <f t="shared" si="18"/>
        <v>255632.85412722762</v>
      </c>
      <c r="F134" s="24">
        <f t="shared" si="19"/>
        <v>0.90411627446750431</v>
      </c>
      <c r="G134" s="16">
        <f t="shared" si="20"/>
        <v>26.067836204366625</v>
      </c>
      <c r="H134" s="24">
        <f t="shared" si="21"/>
        <v>3.9280591587535135E-2</v>
      </c>
      <c r="I134" s="24" cm="1">
        <f t="array" ref="I134">_xlfn.LET(_xlpm.x,$B134,_xlpm.dep,$H$6:$H$29,_xlpm.e,IF(_xlpm.x&lt;=$C$5,$C$12*(_xlpm.x-_xlpm.dep)/_xlpm.x,$C$13*(_xlpm.x-_xlpm.dep)/(_xlpm.x-3*$C$5/7))/$C$14,_xlpm.s,(_xlpm.e&gt;=1)*1+(_xlpm.e&lt;=-1)*(-1)+(ABS(_xlpm.e)&lt;1)*_xlpm.e,AVERAGE(_xlpm.s))</f>
        <v>0.72023464283941729</v>
      </c>
      <c r="J134" s="24" cm="1">
        <f t="array" ref="J134">_xlfn.LET(_xlpm.x,$B134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7.5530159276479353E-2</v>
      </c>
      <c r="K134" s="24">
        <f t="shared" si="22"/>
        <v>-0.90867812077772159</v>
      </c>
      <c r="L134" s="24" t="str">
        <f t="shared" si="23"/>
        <v/>
      </c>
      <c r="M134" s="24">
        <f t="shared" si="24"/>
        <v>1000000000</v>
      </c>
    </row>
    <row r="135" spans="1:13" x14ac:dyDescent="0.3">
      <c r="A135" s="24">
        <f t="shared" si="25"/>
        <v>1.0700000000000007</v>
      </c>
      <c r="B135" s="20">
        <f t="shared" si="15"/>
        <v>642.00000000000045</v>
      </c>
      <c r="C135" s="20">
        <f t="shared" si="16"/>
        <v>513.60000000000036</v>
      </c>
      <c r="D135" s="24">
        <f t="shared" si="17"/>
        <v>2.3631387134341768</v>
      </c>
      <c r="E135" s="20">
        <f t="shared" si="18"/>
        <v>257678.14427755808</v>
      </c>
      <c r="F135" s="24">
        <f t="shared" si="19"/>
        <v>0.91135000863377669</v>
      </c>
      <c r="G135" s="16">
        <f t="shared" si="20"/>
        <v>24.18462140060543</v>
      </c>
      <c r="H135" s="24">
        <f t="shared" si="21"/>
        <v>3.6734424870410634E-2</v>
      </c>
      <c r="I135" s="24" cm="1">
        <f t="array" ref="I135">_xlfn.LET(_xlpm.x,$B135,_xlpm.dep,$H$6:$H$29,_xlpm.e,IF(_xlpm.x&lt;=$C$5,$C$12*(_xlpm.x-_xlpm.dep)/_xlpm.x,$C$13*(_xlpm.x-_xlpm.dep)/(_xlpm.x-3*$C$5/7))/$C$14,_xlpm.s,(_xlpm.e&gt;=1)*1+(_xlpm.e&lt;=-1)*(-1)+(ABS(_xlpm.e)&lt;1)*_xlpm.e,AVERAGE(_xlpm.s))</f>
        <v>0.72381673081296738</v>
      </c>
      <c r="J135" s="24" cm="1">
        <f t="array" ref="J135">_xlfn.LET(_xlpm.x,$B135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7.4493630770019248E-2</v>
      </c>
      <c r="K135" s="24">
        <f t="shared" si="22"/>
        <v>-0.91417504980495967</v>
      </c>
      <c r="L135" s="24" t="str">
        <f t="shared" si="23"/>
        <v/>
      </c>
      <c r="M135" s="24">
        <f t="shared" si="24"/>
        <v>1000000000</v>
      </c>
    </row>
    <row r="136" spans="1:13" x14ac:dyDescent="0.3">
      <c r="A136" s="24">
        <f t="shared" si="25"/>
        <v>1.0800000000000007</v>
      </c>
      <c r="B136" s="20">
        <f t="shared" si="15"/>
        <v>648.00000000000045</v>
      </c>
      <c r="C136" s="20">
        <f t="shared" si="16"/>
        <v>518.40000000000043</v>
      </c>
      <c r="D136" s="24">
        <f t="shared" si="17"/>
        <v>2.3861964905524329</v>
      </c>
      <c r="E136" s="20">
        <f t="shared" si="18"/>
        <v>259676.69765097919</v>
      </c>
      <c r="F136" s="24">
        <f t="shared" si="19"/>
        <v>0.91841844526517558</v>
      </c>
      <c r="G136" s="16">
        <f t="shared" si="20"/>
        <v>22.336158812887781</v>
      </c>
      <c r="H136" s="24">
        <f t="shared" si="21"/>
        <v>3.418990041688074E-2</v>
      </c>
      <c r="I136" s="24" cm="1">
        <f t="array" ref="I136">_xlfn.LET(_xlpm.x,$B136,_xlpm.dep,$H$6:$H$29,_xlpm.e,IF(_xlpm.x&lt;=$C$5,$C$12*(_xlpm.x-_xlpm.dep)/_xlpm.x,$C$13*(_xlpm.x-_xlpm.dep)/(_xlpm.x-3*$C$5/7))/$C$14,_xlpm.s,(_xlpm.e&gt;=1)*1+(_xlpm.e&lt;=-1)*(-1)+(ABS(_xlpm.e)&lt;1)*_xlpm.e,AVERAGE(_xlpm.s))</f>
        <v>0.72728884240136493</v>
      </c>
      <c r="J136" s="24" cm="1">
        <f t="array" ref="J136">_xlfn.LET(_xlpm.x,$B136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7.3488925507178532E-2</v>
      </c>
      <c r="K136" s="24">
        <f t="shared" si="22"/>
        <v>-0.91952961957161372</v>
      </c>
      <c r="L136" s="24" t="str">
        <f t="shared" si="23"/>
        <v/>
      </c>
      <c r="M136" s="24">
        <f t="shared" si="24"/>
        <v>1000000000</v>
      </c>
    </row>
    <row r="137" spans="1:13" x14ac:dyDescent="0.3">
      <c r="A137" s="24">
        <f t="shared" si="25"/>
        <v>1.0900000000000007</v>
      </c>
      <c r="B137" s="20">
        <f t="shared" si="15"/>
        <v>654.00000000000045</v>
      </c>
      <c r="C137" s="20">
        <f t="shared" si="16"/>
        <v>523.20000000000039</v>
      </c>
      <c r="D137" s="24">
        <f t="shared" si="17"/>
        <v>2.4098333146881612</v>
      </c>
      <c r="E137" s="20">
        <f t="shared" si="18"/>
        <v>261626.30544748012</v>
      </c>
      <c r="F137" s="24">
        <f t="shared" si="19"/>
        <v>0.92531377232970047</v>
      </c>
      <c r="G137" s="16">
        <f t="shared" si="20"/>
        <v>20.524413968234057</v>
      </c>
      <c r="H137" s="24">
        <f t="shared" si="21"/>
        <v>3.1652538189671751E-2</v>
      </c>
      <c r="I137" s="24" cm="1">
        <f t="array" ref="I137">_xlfn.LET(_xlpm.x,$B137,_xlpm.dep,$H$6:$H$29,_xlpm.e,IF(_xlpm.x&lt;=$C$5,$C$12*(_xlpm.x-_xlpm.dep)/_xlpm.x,$C$13*(_xlpm.x-_xlpm.dep)/(_xlpm.x-3*$C$5/7))/$C$14,_xlpm.s,(_xlpm.e&gt;=1)*1+(_xlpm.e&lt;=-1)*(-1)+(ABS(_xlpm.e)&lt;1)*_xlpm.e,AVERAGE(_xlpm.s))</f>
        <v>0.73065596573438985</v>
      </c>
      <c r="J137" s="24" cm="1">
        <f t="array" ref="J137">_xlfn.LET(_xlpm.x,$B137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7.2514600101097546E-2</v>
      </c>
      <c r="K137" s="24">
        <f t="shared" si="22"/>
        <v>-0.92472927249340875</v>
      </c>
      <c r="L137" s="24" t="str">
        <f t="shared" si="23"/>
        <v/>
      </c>
      <c r="M137" s="24">
        <f t="shared" si="24"/>
        <v>1000000000</v>
      </c>
    </row>
    <row r="138" spans="1:13" x14ac:dyDescent="0.3">
      <c r="A138" s="24">
        <f t="shared" si="25"/>
        <v>1.1000000000000008</v>
      </c>
      <c r="B138" s="20">
        <f t="shared" si="15"/>
        <v>660.00000000000045</v>
      </c>
      <c r="C138" s="20">
        <f t="shared" si="16"/>
        <v>528.00000000000034</v>
      </c>
      <c r="D138" s="24">
        <f t="shared" si="17"/>
        <v>2.4341094418104516</v>
      </c>
      <c r="E138" s="20">
        <f t="shared" si="18"/>
        <v>263524.58791310864</v>
      </c>
      <c r="F138" s="24">
        <f t="shared" si="19"/>
        <v>0.93202757316946605</v>
      </c>
      <c r="G138" s="16">
        <f t="shared" si="20"/>
        <v>18.751552342734616</v>
      </c>
      <c r="H138" s="24">
        <f t="shared" si="21"/>
        <v>2.91282730385986E-2</v>
      </c>
      <c r="I138" s="24" cm="1">
        <f t="array" ref="I138">_xlfn.LET(_xlpm.x,$B138,_xlpm.dep,$H$6:$H$29,_xlpm.e,IF(_xlpm.x&lt;=$C$5,$C$12*(_xlpm.x-_xlpm.dep)/_xlpm.x,$C$13*(_xlpm.x-_xlpm.dep)/(_xlpm.x-3*$C$5/7))/$C$14,_xlpm.s,(_xlpm.e&gt;=1)*1+(_xlpm.e&lt;=-1)*(-1)+(ABS(_xlpm.e)&lt;1)*_xlpm.e,AVERAGE(_xlpm.s))</f>
        <v>0.73392279177664344</v>
      </c>
      <c r="J138" s="24" cm="1">
        <f t="array" ref="J138">_xlfn.LET(_xlpm.x,$B138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7.156929715392113E-2</v>
      </c>
      <c r="K138" s="24">
        <f t="shared" si="22"/>
        <v>-0.92976096140091691</v>
      </c>
      <c r="L138" s="24" t="str">
        <f t="shared" si="23"/>
        <v/>
      </c>
      <c r="M138" s="24">
        <f t="shared" si="24"/>
        <v>1000000000</v>
      </c>
    </row>
    <row r="139" spans="1:13" x14ac:dyDescent="0.3">
      <c r="A139" s="24">
        <f t="shared" si="25"/>
        <v>1.1100000000000008</v>
      </c>
      <c r="B139" s="20">
        <f t="shared" si="15"/>
        <v>666.00000000000045</v>
      </c>
      <c r="C139" s="20">
        <f t="shared" si="16"/>
        <v>532.80000000000041</v>
      </c>
      <c r="D139" s="24">
        <f t="shared" si="17"/>
        <v>2.4590953363138235</v>
      </c>
      <c r="E139" s="20">
        <f t="shared" si="18"/>
        <v>265368.96649463713</v>
      </c>
      <c r="F139" s="24">
        <f t="shared" si="19"/>
        <v>0.9385507280179789</v>
      </c>
      <c r="G139" s="16">
        <f t="shared" si="20"/>
        <v>17.019972017507936</v>
      </c>
      <c r="H139" s="24">
        <f t="shared" si="21"/>
        <v>2.6623511879796169E-2</v>
      </c>
      <c r="I139" s="24" cm="1">
        <f t="array" ref="I139">_xlfn.LET(_xlpm.x,$B139,_xlpm.dep,$H$6:$H$29,_xlpm.e,IF(_xlpm.x&lt;=$C$5,$C$12*(_xlpm.x-_xlpm.dep)/_xlpm.x,$C$13*(_xlpm.x-_xlpm.dep)/(_xlpm.x-3*$C$5/7))/$C$14,_xlpm.s,(_xlpm.e&gt;=1)*1+(_xlpm.e&lt;=-1)*(-1)+(ABS(_xlpm.e)&lt;1)*_xlpm.e,AVERAGE(_xlpm.s))</f>
        <v>0.73709373613212248</v>
      </c>
      <c r="J139" s="24" cm="1">
        <f t="array" ref="J139">_xlfn.LET(_xlpm.x,$B139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7.0651738947332676E-2</v>
      </c>
      <c r="K139" s="24">
        <f t="shared" si="22"/>
        <v>-0.93461100204130165</v>
      </c>
      <c r="L139" s="24" t="str">
        <f t="shared" si="23"/>
        <v/>
      </c>
      <c r="M139" s="24">
        <f t="shared" si="24"/>
        <v>1000000000</v>
      </c>
    </row>
    <row r="140" spans="1:13" x14ac:dyDescent="0.3">
      <c r="A140" s="24">
        <f t="shared" si="25"/>
        <v>1.1200000000000008</v>
      </c>
      <c r="B140" s="20">
        <f t="shared" si="15"/>
        <v>672.00000000000045</v>
      </c>
      <c r="C140" s="20">
        <f t="shared" si="16"/>
        <v>537.60000000000036</v>
      </c>
      <c r="D140" s="24">
        <f t="shared" si="17"/>
        <v>2.4848742888410911</v>
      </c>
      <c r="E140" s="20">
        <f t="shared" si="18"/>
        <v>267156.62921297806</v>
      </c>
      <c r="F140" s="24">
        <f t="shared" si="19"/>
        <v>0.94487329153364674</v>
      </c>
      <c r="G140" s="16">
        <f t="shared" si="20"/>
        <v>15.332344201126254</v>
      </c>
      <c r="H140" s="24">
        <f t="shared" si="21"/>
        <v>2.414520422040831E-2</v>
      </c>
      <c r="I140" s="24" cm="1">
        <f t="array" ref="I140">_xlfn.LET(_xlpm.x,$B140,_xlpm.dep,$H$6:$H$29,_xlpm.e,IF(_xlpm.x&lt;=$C$5,$C$12*(_xlpm.x-_xlpm.dep)/_xlpm.x,$C$13*(_xlpm.x-_xlpm.dep)/(_xlpm.x-3*$C$5/7))/$C$14,_xlpm.s,(_xlpm.e&gt;=1)*1+(_xlpm.e&lt;=-1)*(-1)+(ABS(_xlpm.e)&lt;1)*_xlpm.e,AVERAGE(_xlpm.s))</f>
        <v>0.74017295895665802</v>
      </c>
      <c r="J140" s="24" cm="1">
        <f t="array" ref="J140">_xlfn.LET(_xlpm.x,$B140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6.9760721680604251E-2</v>
      </c>
      <c r="K140" s="24">
        <f t="shared" si="22"/>
        <v>-0.93926489805903213</v>
      </c>
      <c r="L140" s="24" t="str">
        <f t="shared" si="23"/>
        <v/>
      </c>
      <c r="M140" s="24">
        <f t="shared" si="24"/>
        <v>1000000000</v>
      </c>
    </row>
    <row r="141" spans="1:13" x14ac:dyDescent="0.3">
      <c r="A141" s="24">
        <f t="shared" si="25"/>
        <v>1.1300000000000008</v>
      </c>
      <c r="B141" s="20">
        <f t="shared" si="15"/>
        <v>678.00000000000045</v>
      </c>
      <c r="C141" s="20">
        <f t="shared" si="16"/>
        <v>542.40000000000043</v>
      </c>
      <c r="D141" s="24">
        <f t="shared" si="17"/>
        <v>2.5115459631439556</v>
      </c>
      <c r="E141" s="20">
        <f t="shared" si="18"/>
        <v>268884.48695322912</v>
      </c>
      <c r="F141" s="24">
        <f t="shared" si="19"/>
        <v>0.95098433820743677</v>
      </c>
      <c r="G141" s="16">
        <f t="shared" si="20"/>
        <v>13.69166424736447</v>
      </c>
      <c r="H141" s="24">
        <f t="shared" si="21"/>
        <v>2.1700930438730538E-2</v>
      </c>
      <c r="I141" s="24" cm="1">
        <f t="array" ref="I141">_xlfn.LET(_xlpm.x,$B141,_xlpm.dep,$H$6:$H$29,_xlpm.e,IF(_xlpm.x&lt;=$C$5,$C$12*(_xlpm.x-_xlpm.dep)/_xlpm.x,$C$13*(_xlpm.x-_xlpm.dep)/(_xlpm.x-3*$C$5/7))/$C$14,_xlpm.s,(_xlpm.e&gt;=1)*1+(_xlpm.e&lt;=-1)*(-1)+(ABS(_xlpm.e)&lt;1)*_xlpm.e,AVERAGE(_xlpm.s))</f>
        <v>0.74316438316705169</v>
      </c>
      <c r="J141" s="24" cm="1">
        <f t="array" ref="J141">_xlfn.LET(_xlpm.x,$B141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6.8895110201521823E-2</v>
      </c>
      <c r="K141" s="24">
        <f t="shared" si="22"/>
        <v>-0.94370712778981469</v>
      </c>
      <c r="L141" s="24" t="str">
        <f t="shared" si="23"/>
        <v/>
      </c>
      <c r="M141" s="24">
        <f t="shared" si="24"/>
        <v>1000000000</v>
      </c>
    </row>
    <row r="142" spans="1:13" x14ac:dyDescent="0.3">
      <c r="A142" s="24">
        <f t="shared" si="25"/>
        <v>1.1400000000000008</v>
      </c>
      <c r="B142" s="20">
        <f t="shared" si="15"/>
        <v>684.00000000000045</v>
      </c>
      <c r="C142" s="20">
        <f t="shared" si="16"/>
        <v>547.20000000000039</v>
      </c>
      <c r="D142" s="24">
        <f t="shared" si="17"/>
        <v>2.5392313095546122</v>
      </c>
      <c r="E142" s="20">
        <f t="shared" si="18"/>
        <v>270549.11733210215</v>
      </c>
      <c r="F142" s="24">
        <f t="shared" si="19"/>
        <v>0.95687176383451622</v>
      </c>
      <c r="G142" s="16">
        <f t="shared" si="20"/>
        <v>12.101316966076464</v>
      </c>
      <c r="H142" s="24">
        <f t="shared" si="21"/>
        <v>1.9299014183416906E-2</v>
      </c>
      <c r="I142" s="24" cm="1">
        <f t="array" ref="I142">_xlfn.LET(_xlpm.x,$B142,_xlpm.dep,$H$6:$H$29,_xlpm.e,IF(_xlpm.x&lt;=$C$5,$C$12*(_xlpm.x-_xlpm.dep)/_xlpm.x,$C$13*(_xlpm.x-_xlpm.dep)/(_xlpm.x-3*$C$5/7))/$C$14,_xlpm.s,(_xlpm.e&gt;=1)*1+(_xlpm.e&lt;=-1)*(-1)+(ABS(_xlpm.e)&lt;1)*_xlpm.e,AVERAGE(_xlpm.s))</f>
        <v>0.74607171111450299</v>
      </c>
      <c r="J142" s="24" cm="1">
        <f t="array" ref="J142">_xlfn.LET(_xlpm.x,$B142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6.805383318169074E-2</v>
      </c>
      <c r="K142" s="24">
        <f t="shared" si="22"/>
        <v>-0.94792087758546217</v>
      </c>
      <c r="L142" s="24" t="str">
        <f t="shared" si="23"/>
        <v/>
      </c>
      <c r="M142" s="24">
        <f t="shared" si="24"/>
        <v>1000000000</v>
      </c>
    </row>
    <row r="143" spans="1:13" x14ac:dyDescent="0.3">
      <c r="A143" s="24">
        <f t="shared" si="25"/>
        <v>1.1500000000000008</v>
      </c>
      <c r="B143" s="20">
        <f t="shared" si="15"/>
        <v>690.00000000000045</v>
      </c>
      <c r="C143" s="20">
        <f t="shared" si="16"/>
        <v>552.00000000000034</v>
      </c>
      <c r="D143" s="24">
        <f t="shared" si="17"/>
        <v>2.5680795491666988</v>
      </c>
      <c r="E143" s="20">
        <f t="shared" si="18"/>
        <v>272146.69116294442</v>
      </c>
      <c r="F143" s="24">
        <f t="shared" si="19"/>
        <v>0.96252202543746745</v>
      </c>
      <c r="G143" s="16">
        <f t="shared" si="20"/>
        <v>10.565161867077887</v>
      </c>
      <c r="H143" s="24">
        <f t="shared" si="21"/>
        <v>1.6948668332290837E-2</v>
      </c>
      <c r="I143" s="24" cm="1">
        <f t="array" ref="I143">_xlfn.LET(_xlpm.x,$B143,_xlpm.dep,$H$6:$H$29,_xlpm.e,IF(_xlpm.x&lt;=$C$5,$C$12*(_xlpm.x-_xlpm.dep)/_xlpm.x,$C$13*(_xlpm.x-_xlpm.dep)/(_xlpm.x-3*$C$5/7))/$C$14,_xlpm.s,(_xlpm.e&gt;=1)*1+(_xlpm.e&lt;=-1)*(-1)+(ABS(_xlpm.e)&lt;1)*_xlpm.e,AVERAGE(_xlpm.s))</f>
        <v>0.74889843987133153</v>
      </c>
      <c r="J143" s="24" cm="1">
        <f t="array" ref="J143">_xlfn.LET(_xlpm.x,$B143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6.7235878693102449E-2</v>
      </c>
      <c r="K143" s="24">
        <f t="shared" si="22"/>
        <v>-0.95188769904070869</v>
      </c>
      <c r="L143" s="24" t="str">
        <f t="shared" si="23"/>
        <v/>
      </c>
      <c r="M143" s="24">
        <f t="shared" si="24"/>
        <v>1000000000</v>
      </c>
    </row>
    <row r="144" spans="1:13" x14ac:dyDescent="0.3">
      <c r="A144" s="24">
        <f t="shared" si="25"/>
        <v>1.1600000000000008</v>
      </c>
      <c r="B144" s="20">
        <f t="shared" si="15"/>
        <v>696.00000000000045</v>
      </c>
      <c r="C144" s="20">
        <f t="shared" si="16"/>
        <v>556.80000000000041</v>
      </c>
      <c r="D144" s="24">
        <f t="shared" si="17"/>
        <v>2.5982784062346473</v>
      </c>
      <c r="E144" s="20">
        <f t="shared" si="18"/>
        <v>273672.87384831579</v>
      </c>
      <c r="F144" s="24">
        <f t="shared" si="19"/>
        <v>0.96791979251386995</v>
      </c>
      <c r="G144" s="16">
        <f t="shared" si="20"/>
        <v>9.0876469859362476</v>
      </c>
      <c r="H144" s="24">
        <f t="shared" si="21"/>
        <v>1.4660188975111182E-2</v>
      </c>
      <c r="I144" s="24" cm="1">
        <f t="array" ref="I144">_xlfn.LET(_xlpm.x,$B144,_xlpm.dep,$H$6:$H$29,_xlpm.e,IF(_xlpm.x&lt;=$C$5,$C$12*(_xlpm.x-_xlpm.dep)/_xlpm.x,$C$13*(_xlpm.x-_xlpm.dep)/(_xlpm.x-3*$C$5/7))/$C$14,_xlpm.s,(_xlpm.e&gt;=1)*1+(_xlpm.e&lt;=-1)*(-1)+(ABS(_xlpm.e)&lt;1)*_xlpm.e,AVERAGE(_xlpm.s))</f>
        <v>0.75164787526371557</v>
      </c>
      <c r="J144" s="24" cm="1">
        <f t="array" ref="J144">_xlfn.LET(_xlpm.x,$B144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6.6440290147561532E-2</v>
      </c>
      <c r="K144" s="24">
        <f t="shared" si="22"/>
        <v>-0.95558705539970779</v>
      </c>
      <c r="L144" s="24" t="str">
        <f t="shared" si="23"/>
        <v/>
      </c>
      <c r="M144" s="24">
        <f t="shared" si="24"/>
        <v>1000000000</v>
      </c>
    </row>
    <row r="145" spans="1:13" x14ac:dyDescent="0.3">
      <c r="A145" s="24">
        <f t="shared" si="25"/>
        <v>1.1700000000000008</v>
      </c>
      <c r="B145" s="20">
        <f t="shared" si="15"/>
        <v>702.00000000000045</v>
      </c>
      <c r="C145" s="20">
        <f t="shared" si="16"/>
        <v>561.60000000000036</v>
      </c>
      <c r="D145" s="24">
        <f t="shared" si="17"/>
        <v>2.6300696498957183</v>
      </c>
      <c r="E145" s="20">
        <f t="shared" si="18"/>
        <v>275122.68942758365</v>
      </c>
      <c r="F145" s="24">
        <f t="shared" si="19"/>
        <v>0.97304746620302818</v>
      </c>
      <c r="G145" s="16">
        <f t="shared" si="20"/>
        <v>7.6739650679978082</v>
      </c>
      <c r="H145" s="24">
        <f t="shared" si="21"/>
        <v>1.2445220441909693E-2</v>
      </c>
      <c r="I145" s="24" cm="1">
        <f t="array" ref="I145">_xlfn.LET(_xlpm.x,$B145,_xlpm.dep,$H$6:$H$29,_xlpm.e,IF(_xlpm.x&lt;=$C$5,$C$12*(_xlpm.x-_xlpm.dep)/_xlpm.x,$C$13*(_xlpm.x-_xlpm.dep)/(_xlpm.x-3*$C$5/7))/$C$14,_xlpm.s,(_xlpm.e&gt;=1)*1+(_xlpm.e&lt;=-1)*(-1)+(ABS(_xlpm.e)&lt;1)*_xlpm.e,AVERAGE(_xlpm.s))</f>
        <v>0.75432314476882956</v>
      </c>
      <c r="J145" s="24" cm="1">
        <f t="array" ref="J145">_xlfn.LET(_xlpm.x,$B145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6.5666162564713443E-2</v>
      </c>
      <c r="K145" s="24">
        <f t="shared" si="22"/>
        <v>-0.95899570167842396</v>
      </c>
      <c r="L145" s="24" t="str">
        <f t="shared" si="23"/>
        <v/>
      </c>
      <c r="M145" s="24">
        <f t="shared" si="24"/>
        <v>1000000000</v>
      </c>
    </row>
    <row r="146" spans="1:13" x14ac:dyDescent="0.3">
      <c r="A146" s="24">
        <f t="shared" si="25"/>
        <v>1.1800000000000008</v>
      </c>
      <c r="B146" s="20">
        <f t="shared" si="15"/>
        <v>708.00000000000045</v>
      </c>
      <c r="C146" s="20">
        <f t="shared" si="16"/>
        <v>566.40000000000043</v>
      </c>
      <c r="D146" s="24">
        <f t="shared" si="17"/>
        <v>2.6637737563375921</v>
      </c>
      <c r="E146" s="20">
        <f t="shared" si="18"/>
        <v>276490.3267240451</v>
      </c>
      <c r="F146" s="24">
        <f t="shared" si="19"/>
        <v>0.97788449367166541</v>
      </c>
      <c r="G146" s="16">
        <f t="shared" si="20"/>
        <v>6.3302750770721161</v>
      </c>
      <c r="H146" s="24">
        <f t="shared" si="21"/>
        <v>1.0317129730908382E-2</v>
      </c>
      <c r="I146" s="24" cm="1">
        <f t="array" ref="I146">_xlfn.LET(_xlpm.x,$B146,_xlpm.dep,$H$6:$H$29,_xlpm.e,IF(_xlpm.x&lt;=$C$5,$C$12*(_xlpm.x-_xlpm.dep)/_xlpm.x,$C$13*(_xlpm.x-_xlpm.dep)/(_xlpm.x-3*$C$5/7))/$C$14,_xlpm.s,(_xlpm.e&gt;=1)*1+(_xlpm.e&lt;=-1)*(-1)+(ABS(_xlpm.e)&lt;1)*_xlpm.e,AVERAGE(_xlpm.s))</f>
        <v>0.75692720938217184</v>
      </c>
      <c r="J146" s="24" cm="1">
        <f t="array" ref="J146">_xlfn.LET(_xlpm.x,$B146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6.4912639138062805E-2</v>
      </c>
      <c r="K146" s="24">
        <f t="shared" si="22"/>
        <v>-0.96208680564264637</v>
      </c>
      <c r="L146" s="24" t="str">
        <f t="shared" si="23"/>
        <v/>
      </c>
      <c r="M146" s="24">
        <f t="shared" si="24"/>
        <v>1000000000</v>
      </c>
    </row>
    <row r="147" spans="1:13" x14ac:dyDescent="0.3">
      <c r="A147" s="24">
        <f t="shared" si="25"/>
        <v>1.1900000000000008</v>
      </c>
      <c r="B147" s="20">
        <f t="shared" si="15"/>
        <v>714.00000000000045</v>
      </c>
      <c r="C147" s="20">
        <f t="shared" si="16"/>
        <v>571.20000000000039</v>
      </c>
      <c r="D147" s="24">
        <f t="shared" si="17"/>
        <v>2.6998312294397371</v>
      </c>
      <c r="E147" s="20">
        <f t="shared" si="18"/>
        <v>277768.85118092329</v>
      </c>
      <c r="F147" s="24">
        <f t="shared" si="19"/>
        <v>0.98240634894224421</v>
      </c>
      <c r="G147" s="16">
        <f t="shared" si="20"/>
        <v>5.0640295134005147</v>
      </c>
      <c r="H147" s="24">
        <f t="shared" si="21"/>
        <v>8.291557908659283E-3</v>
      </c>
      <c r="I147" s="24" cm="1">
        <f t="array" ref="I147">_xlfn.LET(_xlpm.x,$B147,_xlpm.dep,$H$6:$H$29,_xlpm.e,IF(_xlpm.x&lt;=$C$5,$C$12*(_xlpm.x-_xlpm.dep)/_xlpm.x,$C$13*(_xlpm.x-_xlpm.dep)/(_xlpm.x-3*$C$5/7))/$C$14,_xlpm.s,(_xlpm.e&gt;=1)*1+(_xlpm.e&lt;=-1)*(-1)+(ABS(_xlpm.e)&lt;1)*_xlpm.e,AVERAGE(_xlpm.s))</f>
        <v>0.75946287454976069</v>
      </c>
      <c r="J147" s="24" cm="1">
        <f t="array" ref="J147">_xlfn.LET(_xlpm.x,$B147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6.4178908071586868E-2</v>
      </c>
      <c r="K147" s="24">
        <f t="shared" si="22"/>
        <v>-0.96482864509141264</v>
      </c>
      <c r="L147" s="24" t="str">
        <f t="shared" si="23"/>
        <v/>
      </c>
      <c r="M147" s="24">
        <f t="shared" si="24"/>
        <v>1000000000</v>
      </c>
    </row>
    <row r="148" spans="1:13" x14ac:dyDescent="0.3">
      <c r="A148" s="24">
        <f t="shared" si="25"/>
        <v>1.2000000000000008</v>
      </c>
      <c r="B148" s="20">
        <f t="shared" si="15"/>
        <v>720.00000000000045</v>
      </c>
      <c r="C148" s="20">
        <f t="shared" si="16"/>
        <v>576.00000000000034</v>
      </c>
      <c r="D148" s="24">
        <f t="shared" si="17"/>
        <v>2.7388768120091349</v>
      </c>
      <c r="E148" s="20">
        <f t="shared" si="18"/>
        <v>278949.75319321349</v>
      </c>
      <c r="F148" s="24">
        <f t="shared" si="19"/>
        <v>0.98658293544364761</v>
      </c>
      <c r="G148" s="16">
        <f t="shared" si="20"/>
        <v>3.8844840912440222</v>
      </c>
      <c r="H148" s="24">
        <f t="shared" si="21"/>
        <v>6.3872761957061283E-3</v>
      </c>
      <c r="I148" s="24" cm="1">
        <f t="array" ref="I148">_xlfn.LET(_xlpm.x,$B148,_xlpm.dep,$H$6:$H$29,_xlpm.e,IF(_xlpm.x&lt;=$C$5,$C$12*(_xlpm.x-_xlpm.dep)/_xlpm.x,$C$13*(_xlpm.x-_xlpm.dep)/(_xlpm.x-3*$C$5/7))/$C$14,_xlpm.s,(_xlpm.e&gt;=1)*1+(_xlpm.e&lt;=-1)*(-1)+(ABS(_xlpm.e)&lt;1)*_xlpm.e,AVERAGE(_xlpm.s))</f>
        <v>0.76193280025004151</v>
      </c>
      <c r="J148" s="24" cm="1">
        <f t="array" ref="J148">_xlfn.LET(_xlpm.x,$B148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6.3464199662389933E-2</v>
      </c>
      <c r="K148" s="24">
        <f t="shared" si="22"/>
        <v>-0.96718256847407369</v>
      </c>
      <c r="L148" s="24" t="str">
        <f t="shared" si="23"/>
        <v/>
      </c>
      <c r="M148" s="24">
        <f t="shared" si="24"/>
        <v>1000000000</v>
      </c>
    </row>
    <row r="149" spans="1:13" x14ac:dyDescent="0.3">
      <c r="A149" s="24">
        <f t="shared" si="25"/>
        <v>1.2100000000000009</v>
      </c>
      <c r="B149" s="20">
        <f t="shared" si="15"/>
        <v>726.00000000000045</v>
      </c>
      <c r="C149" s="20">
        <f t="shared" si="16"/>
        <v>580.80000000000041</v>
      </c>
      <c r="D149" s="24">
        <f t="shared" si="17"/>
        <v>2.7818856540048404</v>
      </c>
      <c r="E149" s="20">
        <f t="shared" si="18"/>
        <v>280022.18886043539</v>
      </c>
      <c r="F149" s="24">
        <f t="shared" si="19"/>
        <v>0.9903759007233458</v>
      </c>
      <c r="G149" s="16">
        <f t="shared" si="20"/>
        <v>2.8035483444894171</v>
      </c>
      <c r="H149" s="24">
        <f t="shared" si="21"/>
        <v>4.6276111948252525E-3</v>
      </c>
      <c r="I149" s="24" cm="1">
        <f t="array" ref="I149">_xlfn.LET(_xlpm.x,$B149,_xlpm.dep,$H$6:$H$29,_xlpm.e,IF(_xlpm.x&lt;=$C$5,$C$12*(_xlpm.x-_xlpm.dep)/_xlpm.x,$C$13*(_xlpm.x-_xlpm.dep)/(_xlpm.x-3*$C$5/7))/$C$14,_xlpm.s,(_xlpm.e&gt;=1)*1+(_xlpm.e&lt;=-1)*(-1)+(ABS(_xlpm.e)&lt;1)*_xlpm.e,AVERAGE(_xlpm.s))</f>
        <v>0.76433951030168634</v>
      </c>
      <c r="J149" s="24" cm="1">
        <f t="array" ref="J149">_xlfn.LET(_xlpm.x,$B149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6.2767783607358907E-2</v>
      </c>
      <c r="K149" s="24">
        <f t="shared" si="22"/>
        <v>-0.96909956641887129</v>
      </c>
      <c r="L149" s="24" t="str">
        <f t="shared" si="23"/>
        <v/>
      </c>
      <c r="M149" s="24">
        <f t="shared" si="24"/>
        <v>1000000000</v>
      </c>
    </row>
    <row r="150" spans="1:13" x14ac:dyDescent="0.3">
      <c r="A150" s="24">
        <f t="shared" si="25"/>
        <v>1.2200000000000009</v>
      </c>
      <c r="B150" s="20">
        <f t="shared" si="15"/>
        <v>732.00000000000057</v>
      </c>
      <c r="C150" s="20">
        <f t="shared" si="16"/>
        <v>585.60000000000048</v>
      </c>
      <c r="D150" s="24">
        <f t="shared" si="17"/>
        <v>2.8305010517978375</v>
      </c>
      <c r="E150" s="20">
        <f t="shared" si="18"/>
        <v>280971.57331659965</v>
      </c>
      <c r="F150" s="24">
        <f t="shared" si="19"/>
        <v>0.9937336613698603</v>
      </c>
      <c r="G150" s="16">
        <f t="shared" si="20"/>
        <v>1.8373491713396735</v>
      </c>
      <c r="H150" s="24">
        <f t="shared" si="21"/>
        <v>3.0430595320837541E-3</v>
      </c>
      <c r="I150" s="24" cm="1">
        <f t="array" ref="I150">_xlfn.LET(_xlpm.x,$B150,_xlpm.dep,$H$6:$H$29,_xlpm.e,IF(_xlpm.x&lt;=$C$5,$C$12*(_xlpm.x-_xlpm.dep)/_xlpm.x,$C$13*(_xlpm.x-_xlpm.dep)/(_xlpm.x-3*$C$5/7))/$C$14,_xlpm.s,(_xlpm.e&gt;=1)*1+(_xlpm.e&lt;=-1)*(-1)+(ABS(_xlpm.e)&lt;1)*_xlpm.e,AVERAGE(_xlpm.s))</f>
        <v>0.76668540096574456</v>
      </c>
      <c r="J150" s="24" cm="1">
        <f t="array" ref="J150">_xlfn.LET(_xlpm.x,$B150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6.2088966514007367E-2</v>
      </c>
      <c r="K150" s="24">
        <f t="shared" si="22"/>
        <v>-0.97051391318971592</v>
      </c>
      <c r="L150" s="24" t="str">
        <f t="shared" si="23"/>
        <v/>
      </c>
      <c r="M150" s="24">
        <f t="shared" si="24"/>
        <v>1000000000</v>
      </c>
    </row>
    <row r="151" spans="1:13" x14ac:dyDescent="0.3">
      <c r="A151" s="24">
        <f t="shared" si="25"/>
        <v>1.2300000000000009</v>
      </c>
      <c r="B151" s="20">
        <f t="shared" si="15"/>
        <v>738.00000000000057</v>
      </c>
      <c r="C151" s="20">
        <f t="shared" si="16"/>
        <v>590.40000000000043</v>
      </c>
      <c r="D151" s="24">
        <f t="shared" si="17"/>
        <v>2.8879309175143431</v>
      </c>
      <c r="E151" s="20">
        <f t="shared" si="18"/>
        <v>281776.56350037234</v>
      </c>
      <c r="F151" s="24">
        <f t="shared" si="19"/>
        <v>0.9965807317451465</v>
      </c>
      <c r="G151" s="16">
        <f t="shared" si="20"/>
        <v>1.0095556077306198</v>
      </c>
      <c r="H151" s="24">
        <f t="shared" si="21"/>
        <v>1.6768394438159953E-3</v>
      </c>
      <c r="I151" s="24" cm="1">
        <f t="array" ref="I151">_xlfn.LET(_xlpm.x,$B151,_xlpm.dep,$H$6:$H$29,_xlpm.e,IF(_xlpm.x&lt;=$C$5,$C$12*(_xlpm.x-_xlpm.dep)/_xlpm.x,$C$13*(_xlpm.x-_xlpm.dep)/(_xlpm.x-3*$C$5/7))/$C$14,_xlpm.s,(_xlpm.e&gt;=1)*1+(_xlpm.e&lt;=-1)*(-1)+(ABS(_xlpm.e)&lt;1)*_xlpm.e,AVERAGE(_xlpm.s))</f>
        <v>0.76897274890378331</v>
      </c>
      <c r="J151" s="24" cm="1">
        <f t="array" ref="J151">_xlfn.LET(_xlpm.x,$B151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6.1427089597673533E-2</v>
      </c>
      <c r="K151" s="24">
        <f t="shared" si="22"/>
        <v>-0.97132950435079135</v>
      </c>
      <c r="L151" s="24" t="str">
        <f t="shared" si="23"/>
        <v/>
      </c>
      <c r="M151" s="24">
        <f t="shared" si="24"/>
        <v>1000000000</v>
      </c>
    </row>
    <row r="152" spans="1:13" x14ac:dyDescent="0.3">
      <c r="A152" s="24">
        <f t="shared" si="25"/>
        <v>1.2400000000000009</v>
      </c>
      <c r="B152" s="20">
        <f t="shared" si="15"/>
        <v>744.00000000000057</v>
      </c>
      <c r="C152" s="20">
        <f t="shared" si="16"/>
        <v>595.2000000000005</v>
      </c>
      <c r="D152" s="24">
        <f t="shared" si="17"/>
        <v>2.9624678387109133</v>
      </c>
      <c r="E152" s="20">
        <f t="shared" si="18"/>
        <v>282400.70426709263</v>
      </c>
      <c r="F152" s="24">
        <f t="shared" si="19"/>
        <v>0.99878817814978427</v>
      </c>
      <c r="G152" s="16">
        <f t="shared" si="20"/>
        <v>0.36049496667506631</v>
      </c>
      <c r="H152" s="24">
        <f t="shared" si="21"/>
        <v>6.0009685166259445E-4</v>
      </c>
      <c r="I152" s="24" cm="1">
        <f t="array" ref="I152">_xlfn.LET(_xlpm.x,$B152,_xlpm.dep,$H$6:$H$29,_xlpm.e,IF(_xlpm.x&lt;=$C$5,$C$12*(_xlpm.x-_xlpm.dep)/_xlpm.x,$C$13*(_xlpm.x-_xlpm.dep)/(_xlpm.x-3*$C$5/7))/$C$14,_xlpm.s,(_xlpm.e&gt;=1)*1+(_xlpm.e&lt;=-1)*(-1)+(ABS(_xlpm.e)&lt;1)*_xlpm.e,AVERAGE(_xlpm.s))</f>
        <v>0.77120371854757475</v>
      </c>
      <c r="J152" s="24" cm="1">
        <f t="array" ref="J152">_xlfn.LET(_xlpm.x,$B152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6.0781526548995796E-2</v>
      </c>
      <c r="K152" s="24">
        <f t="shared" si="22"/>
        <v>-0.97138194155426894</v>
      </c>
      <c r="L152" s="24" t="str">
        <f t="shared" si="23"/>
        <v/>
      </c>
      <c r="M152" s="24">
        <f t="shared" si="24"/>
        <v>1000000000</v>
      </c>
    </row>
    <row r="153" spans="1:13" x14ac:dyDescent="0.3">
      <c r="A153" s="24">
        <f t="shared" si="25"/>
        <v>1.2500000000000009</v>
      </c>
      <c r="B153" s="20">
        <f t="shared" si="15"/>
        <v>750.00000000000057</v>
      </c>
      <c r="C153" s="20">
        <f t="shared" si="16"/>
        <v>600</v>
      </c>
      <c r="D153" s="24">
        <f t="shared" si="17"/>
        <v>3.1415926535897931</v>
      </c>
      <c r="E153" s="20">
        <f t="shared" si="18"/>
        <v>282743.3388230814</v>
      </c>
      <c r="F153" s="24">
        <f t="shared" si="19"/>
        <v>1</v>
      </c>
      <c r="G153" s="16">
        <f t="shared" si="20"/>
        <v>1.1707017644929472E-46</v>
      </c>
      <c r="H153" s="24">
        <f t="shared" si="21"/>
        <v>1.9511696074882452E-49</v>
      </c>
      <c r="I153" s="24" cm="1">
        <f t="array" ref="I153">_xlfn.LET(_xlpm.x,$B153,_xlpm.dep,$H$6:$H$29,_xlpm.e,IF(_xlpm.x&lt;=$C$5,$C$12*(_xlpm.x-_xlpm.dep)/_xlpm.x,$C$13*(_xlpm.x-_xlpm.dep)/(_xlpm.x-3*$C$5/7))/$C$14,_xlpm.s,(_xlpm.e&gt;=1)*1+(_xlpm.e&lt;=-1)*(-1)+(ABS(_xlpm.e)&lt;1)*_xlpm.e,AVERAGE(_xlpm.s))</f>
        <v>0.77338036893047379</v>
      </c>
      <c r="J153" s="24" cm="1">
        <f t="array" ref="J153">_xlfn.LET(_xlpm.x,$B153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6.0151681557155424E-2</v>
      </c>
      <c r="K153" s="24">
        <f t="shared" si="22"/>
        <v>-0.97021493879460785</v>
      </c>
      <c r="L153" s="24" t="str">
        <f t="shared" si="23"/>
        <v/>
      </c>
      <c r="M153" s="24">
        <f t="shared" si="24"/>
        <v>1000000000</v>
      </c>
    </row>
    <row r="154" spans="1:13" x14ac:dyDescent="0.3">
      <c r="A154" s="24">
        <f t="shared" si="25"/>
        <v>1.2600000000000009</v>
      </c>
      <c r="B154" s="20">
        <f t="shared" si="15"/>
        <v>756.00000000000057</v>
      </c>
      <c r="C154" s="20">
        <f t="shared" si="16"/>
        <v>600</v>
      </c>
      <c r="D154" s="24">
        <f t="shared" si="17"/>
        <v>3.1415926535897931</v>
      </c>
      <c r="E154" s="20">
        <f t="shared" si="18"/>
        <v>282743.3388230814</v>
      </c>
      <c r="F154" s="24">
        <f t="shared" si="19"/>
        <v>1</v>
      </c>
      <c r="G154" s="16">
        <f t="shared" si="20"/>
        <v>1.1707017644929472E-46</v>
      </c>
      <c r="H154" s="24">
        <f t="shared" si="21"/>
        <v>1.9511696074882452E-49</v>
      </c>
      <c r="I154" s="24" cm="1">
        <f t="array" ref="I154">_xlfn.LET(_xlpm.x,$B154,_xlpm.dep,$H$6:$H$29,_xlpm.e,IF(_xlpm.x&lt;=$C$5,$C$12*(_xlpm.x-_xlpm.dep)/_xlpm.x,$C$13*(_xlpm.x-_xlpm.dep)/(_xlpm.x-3*$C$5/7))/$C$14,_xlpm.s,(_xlpm.e&gt;=1)*1+(_xlpm.e&lt;=-1)*(-1)+(ABS(_xlpm.e)&lt;1)*_xlpm.e,AVERAGE(_xlpm.s))</f>
        <v>0.77550466002581164</v>
      </c>
      <c r="J154" s="24" cm="1">
        <f t="array" ref="J154">_xlfn.LET(_xlpm.x,$B154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5.9536987475771713E-2</v>
      </c>
      <c r="K154" s="24">
        <f t="shared" si="22"/>
        <v>-0.96755729009011582</v>
      </c>
      <c r="L154" s="24" t="str">
        <f t="shared" si="23"/>
        <v/>
      </c>
      <c r="M154" s="24">
        <f t="shared" si="24"/>
        <v>1000000000</v>
      </c>
    </row>
    <row r="155" spans="1:13" x14ac:dyDescent="0.3">
      <c r="A155" s="24">
        <f t="shared" si="25"/>
        <v>1.2700000000000009</v>
      </c>
      <c r="B155" s="20">
        <f t="shared" si="15"/>
        <v>762.00000000000057</v>
      </c>
      <c r="C155" s="20">
        <f t="shared" si="16"/>
        <v>600</v>
      </c>
      <c r="D155" s="24">
        <f t="shared" si="17"/>
        <v>3.1415926535897931</v>
      </c>
      <c r="E155" s="20">
        <f t="shared" si="18"/>
        <v>282743.3388230814</v>
      </c>
      <c r="F155" s="24">
        <f t="shared" si="19"/>
        <v>1</v>
      </c>
      <c r="G155" s="16">
        <f t="shared" si="20"/>
        <v>1.1707017644929472E-46</v>
      </c>
      <c r="H155" s="24">
        <f t="shared" si="21"/>
        <v>1.9511696074882452E-49</v>
      </c>
      <c r="I155" s="24" cm="1">
        <f t="array" ref="I155">_xlfn.LET(_xlpm.x,$B155,_xlpm.dep,$H$6:$H$29,_xlpm.e,IF(_xlpm.x&lt;=$C$5,$C$12*(_xlpm.x-_xlpm.dep)/_xlpm.x,$C$13*(_xlpm.x-_xlpm.dep)/(_xlpm.x-3*$C$5/7))/$C$14,_xlpm.s,(_xlpm.e&gt;=1)*1+(_xlpm.e&lt;=-1)*(-1)+(ABS(_xlpm.e)&lt;1)*_xlpm.e,AVERAGE(_xlpm.s))</f>
        <v>0.77757845863331487</v>
      </c>
      <c r="J155" s="24" cm="1">
        <f t="array" ref="J155">_xlfn.LET(_xlpm.x,$B155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5.8936904119582183E-2</v>
      </c>
      <c r="K155" s="24">
        <f t="shared" si="22"/>
        <v>-0.96497681870669405</v>
      </c>
      <c r="L155" s="24" t="str">
        <f t="shared" si="23"/>
        <v/>
      </c>
      <c r="M155" s="24">
        <f t="shared" si="24"/>
        <v>1000000000</v>
      </c>
    </row>
    <row r="156" spans="1:13" x14ac:dyDescent="0.3">
      <c r="A156" s="24">
        <f t="shared" si="25"/>
        <v>1.2800000000000009</v>
      </c>
      <c r="B156" s="20">
        <f t="shared" si="15"/>
        <v>768.00000000000057</v>
      </c>
      <c r="C156" s="20">
        <f t="shared" si="16"/>
        <v>600</v>
      </c>
      <c r="D156" s="24">
        <f t="shared" si="17"/>
        <v>3.1415926535897931</v>
      </c>
      <c r="E156" s="20">
        <f t="shared" si="18"/>
        <v>282743.3388230814</v>
      </c>
      <c r="F156" s="24">
        <f t="shared" si="19"/>
        <v>1</v>
      </c>
      <c r="G156" s="16">
        <f t="shared" si="20"/>
        <v>1.1707017644929472E-46</v>
      </c>
      <c r="H156" s="24">
        <f t="shared" si="21"/>
        <v>1.9511696074882452E-49</v>
      </c>
      <c r="I156" s="24" cm="1">
        <f t="array" ref="I156">_xlfn.LET(_xlpm.x,$B156,_xlpm.dep,$H$6:$H$29,_xlpm.e,IF(_xlpm.x&lt;=$C$5,$C$12*(_xlpm.x-_xlpm.dep)/_xlpm.x,$C$13*(_xlpm.x-_xlpm.dep)/(_xlpm.x-3*$C$5/7))/$C$14,_xlpm.s,(_xlpm.e&gt;=1)*1+(_xlpm.e&lt;=-1)*(-1)+(ABS(_xlpm.e)&lt;1)*_xlpm.e,AVERAGE(_xlpm.s))</f>
        <v>0.77960354385070885</v>
      </c>
      <c r="J156" s="24" cm="1">
        <f t="array" ref="J156">_xlfn.LET(_xlpm.x,$B156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5.8350916681155475E-2</v>
      </c>
      <c r="K156" s="24">
        <f t="shared" si="22"/>
        <v>-0.96247021094932217</v>
      </c>
      <c r="L156" s="24" t="str">
        <f t="shared" si="23"/>
        <v/>
      </c>
      <c r="M156" s="24">
        <f t="shared" si="24"/>
        <v>1000000000</v>
      </c>
    </row>
    <row r="157" spans="1:13" x14ac:dyDescent="0.3">
      <c r="A157" s="24">
        <f t="shared" si="25"/>
        <v>1.2900000000000009</v>
      </c>
      <c r="B157" s="20">
        <f t="shared" si="15"/>
        <v>774.00000000000057</v>
      </c>
      <c r="C157" s="20">
        <f t="shared" si="16"/>
        <v>600</v>
      </c>
      <c r="D157" s="24">
        <f t="shared" si="17"/>
        <v>3.1415926535897931</v>
      </c>
      <c r="E157" s="20">
        <f t="shared" si="18"/>
        <v>282743.3388230814</v>
      </c>
      <c r="F157" s="24">
        <f t="shared" si="19"/>
        <v>1</v>
      </c>
      <c r="G157" s="16">
        <f t="shared" si="20"/>
        <v>1.1707017644929472E-46</v>
      </c>
      <c r="H157" s="24">
        <f t="shared" si="21"/>
        <v>1.9511696074882452E-49</v>
      </c>
      <c r="I157" s="24" cm="1">
        <f t="array" ref="I157">_xlfn.LET(_xlpm.x,$B157,_xlpm.dep,$H$6:$H$29,_xlpm.e,IF(_xlpm.x&lt;=$C$5,$C$12*(_xlpm.x-_xlpm.dep)/_xlpm.x,$C$13*(_xlpm.x-_xlpm.dep)/(_xlpm.x-3*$C$5/7))/$C$14,_xlpm.s,(_xlpm.e&gt;=1)*1+(_xlpm.e&lt;=-1)*(-1)+(ABS(_xlpm.e)&lt;1)*_xlpm.e,AVERAGE(_xlpm.s))</f>
        <v>0.7815816121642164</v>
      </c>
      <c r="J157" s="24" cm="1">
        <f t="array" ref="J157">_xlfn.LET(_xlpm.x,$B157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5.7778534257882951E-2</v>
      </c>
      <c r="K157" s="24">
        <f t="shared" si="22"/>
        <v>-0.96003434014921207</v>
      </c>
      <c r="L157" s="24" t="str">
        <f t="shared" si="23"/>
        <v/>
      </c>
      <c r="M157" s="24">
        <f t="shared" si="24"/>
        <v>1000000000</v>
      </c>
    </row>
    <row r="158" spans="1:13" x14ac:dyDescent="0.3">
      <c r="A158" s="24">
        <f t="shared" si="25"/>
        <v>1.3000000000000009</v>
      </c>
      <c r="B158" s="20">
        <f t="shared" si="15"/>
        <v>780.00000000000057</v>
      </c>
      <c r="C158" s="20">
        <f t="shared" si="16"/>
        <v>600</v>
      </c>
      <c r="D158" s="24">
        <f t="shared" si="17"/>
        <v>3.1415926535897931</v>
      </c>
      <c r="E158" s="20">
        <f t="shared" si="18"/>
        <v>282743.3388230814</v>
      </c>
      <c r="F158" s="24">
        <f t="shared" si="19"/>
        <v>1</v>
      </c>
      <c r="G158" s="16">
        <f t="shared" si="20"/>
        <v>1.1707017644929472E-46</v>
      </c>
      <c r="H158" s="24">
        <f t="shared" si="21"/>
        <v>1.9511696074882452E-49</v>
      </c>
      <c r="I158" s="24" cm="1">
        <f t="array" ref="I158">_xlfn.LET(_xlpm.x,$B158,_xlpm.dep,$H$6:$H$29,_xlpm.e,IF(_xlpm.x&lt;=$C$5,$C$12*(_xlpm.x-_xlpm.dep)/_xlpm.x,$C$13*(_xlpm.x-_xlpm.dep)/(_xlpm.x-3*$C$5/7))/$C$14,_xlpm.s,(_xlpm.e&gt;=1)*1+(_xlpm.e&lt;=-1)*(-1)+(ABS(_xlpm.e)&lt;1)*_xlpm.e,AVERAGE(_xlpm.s))</f>
        <v>0.78351428218856134</v>
      </c>
      <c r="J158" s="24" cm="1">
        <f t="array" ref="J158">_xlfn.LET(_xlpm.x,$B158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5.7219288480390464E-2</v>
      </c>
      <c r="K158" s="24">
        <f t="shared" si="22"/>
        <v>-0.95766625365260671</v>
      </c>
      <c r="L158" s="24" t="str">
        <f t="shared" si="23"/>
        <v/>
      </c>
      <c r="M158" s="24">
        <f t="shared" si="24"/>
        <v>1000000000</v>
      </c>
    </row>
    <row r="159" spans="1:13" x14ac:dyDescent="0.3">
      <c r="A159" s="24">
        <f t="shared" si="25"/>
        <v>1.3100000000000009</v>
      </c>
      <c r="B159" s="20">
        <f t="shared" si="15"/>
        <v>786.00000000000057</v>
      </c>
      <c r="C159" s="20">
        <f t="shared" si="16"/>
        <v>600</v>
      </c>
      <c r="D159" s="24">
        <f t="shared" si="17"/>
        <v>3.1415926535897931</v>
      </c>
      <c r="E159" s="20">
        <f t="shared" si="18"/>
        <v>282743.3388230814</v>
      </c>
      <c r="F159" s="24">
        <f t="shared" si="19"/>
        <v>1</v>
      </c>
      <c r="G159" s="16">
        <f t="shared" si="20"/>
        <v>1.1707017644929472E-46</v>
      </c>
      <c r="H159" s="24">
        <f t="shared" si="21"/>
        <v>1.9511696074882452E-49</v>
      </c>
      <c r="I159" s="24" cm="1">
        <f t="array" ref="I159">_xlfn.LET(_xlpm.x,$B159,_xlpm.dep,$H$6:$H$29,_xlpm.e,IF(_xlpm.x&lt;=$C$5,$C$12*(_xlpm.x-_xlpm.dep)/_xlpm.x,$C$13*(_xlpm.x-_xlpm.dep)/(_xlpm.x-3*$C$5/7))/$C$14,_xlpm.s,(_xlpm.e&gt;=1)*1+(_xlpm.e&lt;=-1)*(-1)+(ABS(_xlpm.e)&lt;1)*_xlpm.e,AVERAGE(_xlpm.s))</f>
        <v>0.78540309908431516</v>
      </c>
      <c r="J159" s="24" cm="1">
        <f t="array" ref="J159">_xlfn.LET(_xlpm.x,$B159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5.6672732234315966E-2</v>
      </c>
      <c r="K159" s="24">
        <f t="shared" si="22"/>
        <v>-0.95536316088088069</v>
      </c>
      <c r="L159" s="24" t="str">
        <f t="shared" si="23"/>
        <v/>
      </c>
      <c r="M159" s="24">
        <f t="shared" si="24"/>
        <v>1000000000</v>
      </c>
    </row>
    <row r="160" spans="1:13" x14ac:dyDescent="0.3">
      <c r="A160" s="24">
        <f t="shared" si="25"/>
        <v>1.320000000000001</v>
      </c>
      <c r="B160" s="20">
        <f t="shared" si="15"/>
        <v>792.00000000000057</v>
      </c>
      <c r="C160" s="20">
        <f t="shared" si="16"/>
        <v>600</v>
      </c>
      <c r="D160" s="24">
        <f t="shared" si="17"/>
        <v>3.1415926535897931</v>
      </c>
      <c r="E160" s="20">
        <f t="shared" si="18"/>
        <v>282743.3388230814</v>
      </c>
      <c r="F160" s="24">
        <f t="shared" si="19"/>
        <v>1</v>
      </c>
      <c r="G160" s="16">
        <f t="shared" si="20"/>
        <v>1.1707017644929472E-46</v>
      </c>
      <c r="H160" s="24">
        <f t="shared" si="21"/>
        <v>1.9511696074882452E-49</v>
      </c>
      <c r="I160" s="24" cm="1">
        <f t="array" ref="I160">_xlfn.LET(_xlpm.x,$B160,_xlpm.dep,$H$6:$H$29,_xlpm.e,IF(_xlpm.x&lt;=$C$5,$C$12*(_xlpm.x-_xlpm.dep)/_xlpm.x,$C$13*(_xlpm.x-_xlpm.dep)/(_xlpm.x-3*$C$5/7))/$C$14,_xlpm.s,(_xlpm.e&gt;=1)*1+(_xlpm.e&lt;=-1)*(-1)+(ABS(_xlpm.e)&lt;1)*_xlpm.e,AVERAGE(_xlpm.s))</f>
        <v>0.78724953867792069</v>
      </c>
      <c r="J160" s="24" cm="1">
        <f t="array" ref="J160">_xlfn.LET(_xlpm.x,$B160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5.6138438468121346E-2</v>
      </c>
      <c r="K160" s="24">
        <f t="shared" si="22"/>
        <v>-0.9531224223604301</v>
      </c>
      <c r="L160" s="24" t="str">
        <f t="shared" si="23"/>
        <v/>
      </c>
      <c r="M160" s="24">
        <f t="shared" si="24"/>
        <v>1000000000</v>
      </c>
    </row>
    <row r="161" spans="1:13" x14ac:dyDescent="0.3">
      <c r="A161" s="24">
        <f t="shared" si="25"/>
        <v>1.330000000000001</v>
      </c>
      <c r="B161" s="20">
        <f t="shared" si="15"/>
        <v>798.00000000000057</v>
      </c>
      <c r="C161" s="20">
        <f t="shared" si="16"/>
        <v>600</v>
      </c>
      <c r="D161" s="24">
        <f t="shared" si="17"/>
        <v>3.1415926535897931</v>
      </c>
      <c r="E161" s="20">
        <f t="shared" si="18"/>
        <v>282743.3388230814</v>
      </c>
      <c r="F161" s="24">
        <f t="shared" si="19"/>
        <v>1</v>
      </c>
      <c r="G161" s="16">
        <f t="shared" si="20"/>
        <v>1.1707017644929472E-46</v>
      </c>
      <c r="H161" s="24">
        <f t="shared" si="21"/>
        <v>1.9511696074882452E-49</v>
      </c>
      <c r="I161" s="24" cm="1">
        <f t="array" ref="I161">_xlfn.LET(_xlpm.x,$B161,_xlpm.dep,$H$6:$H$29,_xlpm.e,IF(_xlpm.x&lt;=$C$5,$C$12*(_xlpm.x-_xlpm.dep)/_xlpm.x,$C$13*(_xlpm.x-_xlpm.dep)/(_xlpm.x-3*$C$5/7))/$C$14,_xlpm.s,(_xlpm.e&gt;=1)*1+(_xlpm.e&lt;=-1)*(-1)+(ABS(_xlpm.e)&lt;1)*_xlpm.e,AVERAGE(_xlpm.s))</f>
        <v>0.78905501130748412</v>
      </c>
      <c r="J161" s="24" cm="1">
        <f t="array" ref="J161">_xlfn.LET(_xlpm.x,$B161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5.5615999080257494E-2</v>
      </c>
      <c r="K161" s="24">
        <f t="shared" si="22"/>
        <v>-0.95094153963167904</v>
      </c>
      <c r="L161" s="24" t="str">
        <f t="shared" si="23"/>
        <v/>
      </c>
      <c r="M161" s="24">
        <f t="shared" si="24"/>
        <v>1000000000</v>
      </c>
    </row>
    <row r="162" spans="1:13" x14ac:dyDescent="0.3">
      <c r="A162" s="24">
        <f t="shared" si="25"/>
        <v>1.340000000000001</v>
      </c>
      <c r="B162" s="20">
        <f t="shared" ref="B162:B212" si="26">A162*$C$5</f>
        <v>804.00000000000057</v>
      </c>
      <c r="C162" s="20">
        <f t="shared" ref="C162:C212" si="27">MIN(0.8*B162,$C$5)</f>
        <v>600</v>
      </c>
      <c r="D162" s="24">
        <f t="shared" ref="D162:D212" si="28">ACOS(MAX(-1,($C$7-C162)/$C$7))</f>
        <v>3.1415926535897931</v>
      </c>
      <c r="E162" s="20">
        <f t="shared" ref="E162:E212" si="29">$C$7^2*(D162-SIN(D162)*COS(D162))</f>
        <v>282743.3388230814</v>
      </c>
      <c r="F162" s="24">
        <f t="shared" ref="F162:F212" si="30">E162/$C$9</f>
        <v>1</v>
      </c>
      <c r="G162" s="16">
        <f t="shared" ref="G162:G212" si="31">IF(E162&gt;0,2*$C$7^3*SIN(D162)^3/(3*E162),0)</f>
        <v>1.1707017644929472E-46</v>
      </c>
      <c r="H162" s="24">
        <f t="shared" ref="H162:H212" si="32">F162*G162/$C$5</f>
        <v>1.9511696074882452E-49</v>
      </c>
      <c r="I162" s="24" cm="1">
        <f t="array" ref="I162">_xlfn.LET(_xlpm.x,$B162,_xlpm.dep,$H$6:$H$29,_xlpm.e,IF(_xlpm.x&lt;=$C$5,$C$12*(_xlpm.x-_xlpm.dep)/_xlpm.x,$C$13*(_xlpm.x-_xlpm.dep)/(_xlpm.x-3*$C$5/7))/$C$14,_xlpm.s,(_xlpm.e&gt;=1)*1+(_xlpm.e&lt;=-1)*(-1)+(ABS(_xlpm.e)&lt;1)*_xlpm.e,AVERAGE(_xlpm.s))</f>
        <v>0.79082086541539576</v>
      </c>
      <c r="J162" s="24" cm="1">
        <f t="array" ref="J162">_xlfn.LET(_xlpm.x,$B162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5.5105023879588148E-2</v>
      </c>
      <c r="K162" s="24">
        <f t="shared" ref="K162:K212" si="33">IFERROR(($C$15-F162)/I162,"")</f>
        <v>-0.9488181459560957</v>
      </c>
      <c r="L162" s="24" t="str">
        <f t="shared" ref="L162:L212" si="34">IF(AND(ISNUMBER(K162),N(K162)&gt;0),H162+K162*J162,"")</f>
        <v/>
      </c>
      <c r="M162" s="24">
        <f t="shared" ref="M162:M212" si="35">IF(ISNUMBER(L162),ABS(L162-$C$16),1000000000)</f>
        <v>1000000000</v>
      </c>
    </row>
    <row r="163" spans="1:13" x14ac:dyDescent="0.3">
      <c r="A163" s="24">
        <f t="shared" ref="A163:A212" si="36">A162+0.01</f>
        <v>1.350000000000001</v>
      </c>
      <c r="B163" s="20">
        <f t="shared" si="26"/>
        <v>810.00000000000057</v>
      </c>
      <c r="C163" s="20">
        <f t="shared" si="27"/>
        <v>600</v>
      </c>
      <c r="D163" s="24">
        <f t="shared" si="28"/>
        <v>3.1415926535897931</v>
      </c>
      <c r="E163" s="20">
        <f t="shared" si="29"/>
        <v>282743.3388230814</v>
      </c>
      <c r="F163" s="24">
        <f t="shared" si="30"/>
        <v>1</v>
      </c>
      <c r="G163" s="16">
        <f t="shared" si="31"/>
        <v>1.1707017644929472E-46</v>
      </c>
      <c r="H163" s="24">
        <f t="shared" si="32"/>
        <v>1.9511696074882452E-49</v>
      </c>
      <c r="I163" s="24" cm="1">
        <f t="array" ref="I163">_xlfn.LET(_xlpm.x,$B163,_xlpm.dep,$H$6:$H$29,_xlpm.e,IF(_xlpm.x&lt;=$C$5,$C$12*(_xlpm.x-_xlpm.dep)/_xlpm.x,$C$13*(_xlpm.x-_xlpm.dep)/(_xlpm.x-3*$C$5/7))/$C$14,_xlpm.s,(_xlpm.e&gt;=1)*1+(_xlpm.e&lt;=-1)*(-1)+(ABS(_xlpm.e)&lt;1)*_xlpm.e,AVERAGE(_xlpm.s))</f>
        <v>0.79254839090701168</v>
      </c>
      <c r="J163" s="24" cm="1">
        <f t="array" ref="J163">_xlfn.LET(_xlpm.x,$B163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5.4605139613506978E-2</v>
      </c>
      <c r="K163" s="24">
        <f t="shared" si="33"/>
        <v>-0.94674999774855084</v>
      </c>
      <c r="L163" s="24" t="str">
        <f t="shared" si="34"/>
        <v/>
      </c>
      <c r="M163" s="24">
        <f t="shared" si="35"/>
        <v>1000000000</v>
      </c>
    </row>
    <row r="164" spans="1:13" x14ac:dyDescent="0.3">
      <c r="A164" s="24">
        <f t="shared" si="36"/>
        <v>1.360000000000001</v>
      </c>
      <c r="B164" s="20">
        <f t="shared" si="26"/>
        <v>816.00000000000057</v>
      </c>
      <c r="C164" s="20">
        <f t="shared" si="27"/>
        <v>600</v>
      </c>
      <c r="D164" s="24">
        <f t="shared" si="28"/>
        <v>3.1415926535897931</v>
      </c>
      <c r="E164" s="20">
        <f t="shared" si="29"/>
        <v>282743.3388230814</v>
      </c>
      <c r="F164" s="24">
        <f t="shared" si="30"/>
        <v>1</v>
      </c>
      <c r="G164" s="16">
        <f t="shared" si="31"/>
        <v>1.1707017644929472E-46</v>
      </c>
      <c r="H164" s="24">
        <f t="shared" si="32"/>
        <v>1.9511696074882452E-49</v>
      </c>
      <c r="I164" s="24" cm="1">
        <f t="array" ref="I164">_xlfn.LET(_xlpm.x,$B164,_xlpm.dep,$H$6:$H$29,_xlpm.e,IF(_xlpm.x&lt;=$C$5,$C$12*(_xlpm.x-_xlpm.dep)/_xlpm.x,$C$13*(_xlpm.x-_xlpm.dep)/(_xlpm.x-3*$C$5/7))/$C$14,_xlpm.s,(_xlpm.e&gt;=1)*1+(_xlpm.e&lt;=-1)*(-1)+(ABS(_xlpm.e)&lt;1)*_xlpm.e,AVERAGE(_xlpm.s))</f>
        <v>0.79423882229297915</v>
      </c>
      <c r="J164" s="24" cm="1">
        <f t="array" ref="J164">_xlfn.LET(_xlpm.x,$B164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5.4115989058660691E-2</v>
      </c>
      <c r="K164" s="24">
        <f t="shared" si="33"/>
        <v>-0.94473496666981516</v>
      </c>
      <c r="L164" s="24" t="str">
        <f t="shared" si="34"/>
        <v/>
      </c>
      <c r="M164" s="24">
        <f t="shared" si="35"/>
        <v>1000000000</v>
      </c>
    </row>
    <row r="165" spans="1:13" x14ac:dyDescent="0.3">
      <c r="A165" s="24">
        <f t="shared" si="36"/>
        <v>1.370000000000001</v>
      </c>
      <c r="B165" s="20">
        <f t="shared" si="26"/>
        <v>822.00000000000057</v>
      </c>
      <c r="C165" s="20">
        <f t="shared" si="27"/>
        <v>600</v>
      </c>
      <c r="D165" s="24">
        <f t="shared" si="28"/>
        <v>3.1415926535897931</v>
      </c>
      <c r="E165" s="20">
        <f t="shared" si="29"/>
        <v>282743.3388230814</v>
      </c>
      <c r="F165" s="24">
        <f t="shared" si="30"/>
        <v>1</v>
      </c>
      <c r="G165" s="16">
        <f t="shared" si="31"/>
        <v>1.1707017644929472E-46</v>
      </c>
      <c r="H165" s="24">
        <f t="shared" si="32"/>
        <v>1.9511696074882452E-49</v>
      </c>
      <c r="I165" s="24" cm="1">
        <f t="array" ref="I165">_xlfn.LET(_xlpm.x,$B165,_xlpm.dep,$H$6:$H$29,_xlpm.e,IF(_xlpm.x&lt;=$C$5,$C$12*(_xlpm.x-_xlpm.dep)/_xlpm.x,$C$13*(_xlpm.x-_xlpm.dep)/(_xlpm.x-3*$C$5/7))/$C$14,_xlpm.s,(_xlpm.e&gt;=1)*1+(_xlpm.e&lt;=-1)*(-1)+(ABS(_xlpm.e)&lt;1)*_xlpm.e,AVERAGE(_xlpm.s))</f>
        <v>0.79589334163129377</v>
      </c>
      <c r="J165" s="24" cm="1">
        <f t="array" ref="J165">_xlfn.LET(_xlpm.x,$B165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5.3637230169622956E-2</v>
      </c>
      <c r="K165" s="24">
        <f t="shared" si="33"/>
        <v>-0.94277103232060511</v>
      </c>
      <c r="L165" s="24" t="str">
        <f t="shared" si="34"/>
        <v/>
      </c>
      <c r="M165" s="24">
        <f t="shared" si="35"/>
        <v>1000000000</v>
      </c>
    </row>
    <row r="166" spans="1:13" x14ac:dyDescent="0.3">
      <c r="A166" s="24">
        <f t="shared" si="36"/>
        <v>1.380000000000001</v>
      </c>
      <c r="B166" s="20">
        <f t="shared" si="26"/>
        <v>828.00000000000057</v>
      </c>
      <c r="C166" s="20">
        <f t="shared" si="27"/>
        <v>600</v>
      </c>
      <c r="D166" s="24">
        <f t="shared" si="28"/>
        <v>3.1415926535897931</v>
      </c>
      <c r="E166" s="20">
        <f t="shared" si="29"/>
        <v>282743.3388230814</v>
      </c>
      <c r="F166" s="24">
        <f t="shared" si="30"/>
        <v>1</v>
      </c>
      <c r="G166" s="16">
        <f t="shared" si="31"/>
        <v>1.1707017644929472E-46</v>
      </c>
      <c r="H166" s="24">
        <f t="shared" si="32"/>
        <v>1.9511696074882452E-49</v>
      </c>
      <c r="I166" s="24" cm="1">
        <f t="array" ref="I166">_xlfn.LET(_xlpm.x,$B166,_xlpm.dep,$H$6:$H$29,_xlpm.e,IF(_xlpm.x&lt;=$C$5,$C$12*(_xlpm.x-_xlpm.dep)/_xlpm.x,$C$13*(_xlpm.x-_xlpm.dep)/(_xlpm.x-3*$C$5/7))/$C$14,_xlpm.s,(_xlpm.e&gt;=1)*1+(_xlpm.e&lt;=-1)*(-1)+(ABS(_xlpm.e)&lt;1)*_xlpm.e,AVERAGE(_xlpm.s))</f>
        <v>0.79751308128381737</v>
      </c>
      <c r="J166" s="24" cm="1">
        <f t="array" ref="J166">_xlfn.LET(_xlpm.x,$B166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5.3168535281255695E-2</v>
      </c>
      <c r="K166" s="24">
        <f t="shared" si="33"/>
        <v>-0.94085627548446382</v>
      </c>
      <c r="L166" s="24" t="str">
        <f t="shared" si="34"/>
        <v/>
      </c>
      <c r="M166" s="24">
        <f t="shared" si="35"/>
        <v>1000000000</v>
      </c>
    </row>
    <row r="167" spans="1:13" x14ac:dyDescent="0.3">
      <c r="A167" s="24">
        <f t="shared" si="36"/>
        <v>1.390000000000001</v>
      </c>
      <c r="B167" s="20">
        <f t="shared" si="26"/>
        <v>834.00000000000057</v>
      </c>
      <c r="C167" s="20">
        <f t="shared" si="27"/>
        <v>600</v>
      </c>
      <c r="D167" s="24">
        <f t="shared" si="28"/>
        <v>3.1415926535897931</v>
      </c>
      <c r="E167" s="20">
        <f t="shared" si="29"/>
        <v>282743.3388230814</v>
      </c>
      <c r="F167" s="24">
        <f t="shared" si="30"/>
        <v>1</v>
      </c>
      <c r="G167" s="16">
        <f t="shared" si="31"/>
        <v>1.1707017644929472E-46</v>
      </c>
      <c r="H167" s="24">
        <f t="shared" si="32"/>
        <v>1.9511696074882452E-49</v>
      </c>
      <c r="I167" s="24" cm="1">
        <f t="array" ref="I167">_xlfn.LET(_xlpm.x,$B167,_xlpm.dep,$H$6:$H$29,_xlpm.e,IF(_xlpm.x&lt;=$C$5,$C$12*(_xlpm.x-_xlpm.dep)/_xlpm.x,$C$13*(_xlpm.x-_xlpm.dep)/(_xlpm.x-3*$C$5/7))/$C$14,_xlpm.s,(_xlpm.e&gt;=1)*1+(_xlpm.e&lt;=-1)*(-1)+(ABS(_xlpm.e)&lt;1)*_xlpm.e,AVERAGE(_xlpm.s))</f>
        <v>0.79909912650077641</v>
      </c>
      <c r="J167" s="24" cm="1">
        <f t="array" ref="J167">_xlfn.LET(_xlpm.x,$B167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5.2709590360848532E-2</v>
      </c>
      <c r="K167" s="24">
        <f t="shared" si="33"/>
        <v>-0.93898887187195768</v>
      </c>
      <c r="L167" s="24" t="str">
        <f t="shared" si="34"/>
        <v/>
      </c>
      <c r="M167" s="24">
        <f t="shared" si="35"/>
        <v>1000000000</v>
      </c>
    </row>
    <row r="168" spans="1:13" x14ac:dyDescent="0.3">
      <c r="A168" s="24">
        <f t="shared" si="36"/>
        <v>1.400000000000001</v>
      </c>
      <c r="B168" s="20">
        <f t="shared" si="26"/>
        <v>840.00000000000057</v>
      </c>
      <c r="C168" s="20">
        <f t="shared" si="27"/>
        <v>600</v>
      </c>
      <c r="D168" s="24">
        <f t="shared" si="28"/>
        <v>3.1415926535897931</v>
      </c>
      <c r="E168" s="20">
        <f t="shared" si="29"/>
        <v>282743.3388230814</v>
      </c>
      <c r="F168" s="24">
        <f t="shared" si="30"/>
        <v>1</v>
      </c>
      <c r="G168" s="16">
        <f t="shared" si="31"/>
        <v>1.1707017644929472E-46</v>
      </c>
      <c r="H168" s="24">
        <f t="shared" si="32"/>
        <v>1.9511696074882452E-49</v>
      </c>
      <c r="I168" s="24" cm="1">
        <f t="array" ref="I168">_xlfn.LET(_xlpm.x,$B168,_xlpm.dep,$H$6:$H$29,_xlpm.e,IF(_xlpm.x&lt;=$C$5,$C$12*(_xlpm.x-_xlpm.dep)/_xlpm.x,$C$13*(_xlpm.x-_xlpm.dep)/(_xlpm.x-3*$C$5/7))/$C$14,_xlpm.s,(_xlpm.e&gt;=1)*1+(_xlpm.e&lt;=-1)*(-1)+(ABS(_xlpm.e)&lt;1)*_xlpm.e,AVERAGE(_xlpm.s))</f>
        <v>0.8006525178456213</v>
      </c>
      <c r="J168" s="24" cm="1">
        <f t="array" ref="J168">_xlfn.LET(_xlpm.x,$B168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5.2260094306449734E-2</v>
      </c>
      <c r="K168" s="24">
        <f t="shared" si="33"/>
        <v>-0.937167086323345</v>
      </c>
      <c r="L168" s="24" t="str">
        <f t="shared" si="34"/>
        <v/>
      </c>
      <c r="M168" s="24">
        <f t="shared" si="35"/>
        <v>1000000000</v>
      </c>
    </row>
    <row r="169" spans="1:13" x14ac:dyDescent="0.3">
      <c r="A169" s="24">
        <f t="shared" si="36"/>
        <v>1.410000000000001</v>
      </c>
      <c r="B169" s="20">
        <f t="shared" si="26"/>
        <v>846.00000000000057</v>
      </c>
      <c r="C169" s="20">
        <f t="shared" si="27"/>
        <v>600</v>
      </c>
      <c r="D169" s="24">
        <f t="shared" si="28"/>
        <v>3.1415926535897931</v>
      </c>
      <c r="E169" s="20">
        <f t="shared" si="29"/>
        <v>282743.3388230814</v>
      </c>
      <c r="F169" s="24">
        <f t="shared" si="30"/>
        <v>1</v>
      </c>
      <c r="G169" s="16">
        <f t="shared" si="31"/>
        <v>1.1707017644929472E-46</v>
      </c>
      <c r="H169" s="24">
        <f t="shared" si="32"/>
        <v>1.9511696074882452E-49</v>
      </c>
      <c r="I169" s="24" cm="1">
        <f t="array" ref="I169">_xlfn.LET(_xlpm.x,$B169,_xlpm.dep,$H$6:$H$29,_xlpm.e,IF(_xlpm.x&lt;=$C$5,$C$12*(_xlpm.x-_xlpm.dep)/_xlpm.x,$C$13*(_xlpm.x-_xlpm.dep)/(_xlpm.x-3*$C$5/7))/$C$14,_xlpm.s,(_xlpm.e&gt;=1)*1+(_xlpm.e&lt;=-1)*(-1)+(ABS(_xlpm.e)&lt;1)*_xlpm.e,AVERAGE(_xlpm.s))</f>
        <v>0.80217425347164839</v>
      </c>
      <c r="J169" s="24" cm="1">
        <f t="array" ref="J169">_xlfn.LET(_xlpm.x,$B169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5.1819758288094014E-2</v>
      </c>
      <c r="K169" s="24">
        <f t="shared" si="33"/>
        <v>-0.93538926743097051</v>
      </c>
      <c r="L169" s="24" t="str">
        <f t="shared" si="34"/>
        <v/>
      </c>
      <c r="M169" s="24">
        <f t="shared" si="35"/>
        <v>1000000000</v>
      </c>
    </row>
    <row r="170" spans="1:13" x14ac:dyDescent="0.3">
      <c r="A170" s="24">
        <f t="shared" si="36"/>
        <v>1.420000000000001</v>
      </c>
      <c r="B170" s="20">
        <f t="shared" si="26"/>
        <v>852.00000000000057</v>
      </c>
      <c r="C170" s="20">
        <f t="shared" si="27"/>
        <v>600</v>
      </c>
      <c r="D170" s="24">
        <f t="shared" si="28"/>
        <v>3.1415926535897931</v>
      </c>
      <c r="E170" s="20">
        <f t="shared" si="29"/>
        <v>282743.3388230814</v>
      </c>
      <c r="F170" s="24">
        <f t="shared" si="30"/>
        <v>1</v>
      </c>
      <c r="G170" s="16">
        <f t="shared" si="31"/>
        <v>1.1707017644929472E-46</v>
      </c>
      <c r="H170" s="24">
        <f t="shared" si="32"/>
        <v>1.9511696074882452E-49</v>
      </c>
      <c r="I170" s="24" cm="1">
        <f t="array" ref="I170">_xlfn.LET(_xlpm.x,$B170,_xlpm.dep,$H$6:$H$29,_xlpm.e,IF(_xlpm.x&lt;=$C$5,$C$12*(_xlpm.x-_xlpm.dep)/_xlpm.x,$C$13*(_xlpm.x-_xlpm.dep)/(_xlpm.x-3*$C$5/7))/$C$14,_xlpm.s,(_xlpm.e&gt;=1)*1+(_xlpm.e&lt;=-1)*(-1)+(ABS(_xlpm.e)&lt;1)*_xlpm.e,AVERAGE(_xlpm.s))</f>
        <v>0.80366529126083908</v>
      </c>
      <c r="J170" s="24" cm="1">
        <f t="array" ref="J170">_xlfn.LET(_xlpm.x,$B170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5.1388305128898179E-2</v>
      </c>
      <c r="K170" s="24">
        <f t="shared" si="33"/>
        <v>-0.93365384254637107</v>
      </c>
      <c r="L170" s="24" t="str">
        <f t="shared" si="34"/>
        <v/>
      </c>
      <c r="M170" s="24">
        <f t="shared" si="35"/>
        <v>1000000000</v>
      </c>
    </row>
    <row r="171" spans="1:13" x14ac:dyDescent="0.3">
      <c r="A171" s="24">
        <f t="shared" si="36"/>
        <v>1.430000000000001</v>
      </c>
      <c r="B171" s="20">
        <f t="shared" si="26"/>
        <v>858.00000000000068</v>
      </c>
      <c r="C171" s="20">
        <f t="shared" si="27"/>
        <v>600</v>
      </c>
      <c r="D171" s="24">
        <f t="shared" si="28"/>
        <v>3.1415926535897931</v>
      </c>
      <c r="E171" s="20">
        <f t="shared" si="29"/>
        <v>282743.3388230814</v>
      </c>
      <c r="F171" s="24">
        <f t="shared" si="30"/>
        <v>1</v>
      </c>
      <c r="G171" s="16">
        <f t="shared" si="31"/>
        <v>1.1707017644929472E-46</v>
      </c>
      <c r="H171" s="24">
        <f t="shared" si="32"/>
        <v>1.9511696074882452E-49</v>
      </c>
      <c r="I171" s="24" cm="1">
        <f t="array" ref="I171">_xlfn.LET(_xlpm.x,$B171,_xlpm.dep,$H$6:$H$29,_xlpm.e,IF(_xlpm.x&lt;=$C$5,$C$12*(_xlpm.x-_xlpm.dep)/_xlpm.x,$C$13*(_xlpm.x-_xlpm.dep)/(_xlpm.x-3*$C$5/7))/$C$14,_xlpm.s,(_xlpm.e&gt;=1)*1+(_xlpm.e&lt;=-1)*(-1)+(ABS(_xlpm.e)&lt;1)*_xlpm.e,AVERAGE(_xlpm.s))</f>
        <v>0.80512655083455409</v>
      </c>
      <c r="J171" s="24" cm="1">
        <f t="array" ref="J171">_xlfn.LET(_xlpm.x,$B171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5.0965468723238386E-2</v>
      </c>
      <c r="K171" s="24">
        <f t="shared" si="33"/>
        <v>-0.93195931314035096</v>
      </c>
      <c r="L171" s="24" t="str">
        <f t="shared" si="34"/>
        <v/>
      </c>
      <c r="M171" s="24">
        <f t="shared" si="35"/>
        <v>1000000000</v>
      </c>
    </row>
    <row r="172" spans="1:13" x14ac:dyDescent="0.3">
      <c r="A172" s="24">
        <f t="shared" si="36"/>
        <v>1.4400000000000011</v>
      </c>
      <c r="B172" s="20">
        <f t="shared" si="26"/>
        <v>864.00000000000068</v>
      </c>
      <c r="C172" s="20">
        <f t="shared" si="27"/>
        <v>600</v>
      </c>
      <c r="D172" s="24">
        <f t="shared" si="28"/>
        <v>3.1415926535897931</v>
      </c>
      <c r="E172" s="20">
        <f t="shared" si="29"/>
        <v>282743.3388230814</v>
      </c>
      <c r="F172" s="24">
        <f t="shared" si="30"/>
        <v>1</v>
      </c>
      <c r="G172" s="16">
        <f t="shared" si="31"/>
        <v>1.1707017644929472E-46</v>
      </c>
      <c r="H172" s="24">
        <f t="shared" si="32"/>
        <v>1.9511696074882452E-49</v>
      </c>
      <c r="I172" s="24" cm="1">
        <f t="array" ref="I172">_xlfn.LET(_xlpm.x,$B172,_xlpm.dep,$H$6:$H$29,_xlpm.e,IF(_xlpm.x&lt;=$C$5,$C$12*(_xlpm.x-_xlpm.dep)/_xlpm.x,$C$13*(_xlpm.x-_xlpm.dep)/(_xlpm.x-3*$C$5/7))/$C$14,_xlpm.s,(_xlpm.e&gt;=1)*1+(_xlpm.e&lt;=-1)*(-1)+(ABS(_xlpm.e)&lt;1)*_xlpm.e,AVERAGE(_xlpm.s))</f>
        <v>0.80655891544494696</v>
      </c>
      <c r="J172" s="24" cm="1">
        <f t="array" ref="J172">_xlfn.LET(_xlpm.x,$B172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5.055099348944192E-2</v>
      </c>
      <c r="K172" s="24">
        <f t="shared" si="33"/>
        <v>-0.93030425048726273</v>
      </c>
      <c r="L172" s="24" t="str">
        <f t="shared" si="34"/>
        <v/>
      </c>
      <c r="M172" s="24">
        <f t="shared" si="35"/>
        <v>1000000000</v>
      </c>
    </row>
    <row r="173" spans="1:13" x14ac:dyDescent="0.3">
      <c r="A173" s="24">
        <f t="shared" si="36"/>
        <v>1.4500000000000011</v>
      </c>
      <c r="B173" s="20">
        <f t="shared" si="26"/>
        <v>870.00000000000068</v>
      </c>
      <c r="C173" s="20">
        <f t="shared" si="27"/>
        <v>600</v>
      </c>
      <c r="D173" s="24">
        <f t="shared" si="28"/>
        <v>3.1415926535897931</v>
      </c>
      <c r="E173" s="20">
        <f t="shared" si="29"/>
        <v>282743.3388230814</v>
      </c>
      <c r="F173" s="24">
        <f t="shared" si="30"/>
        <v>1</v>
      </c>
      <c r="G173" s="16">
        <f t="shared" si="31"/>
        <v>1.1707017644929472E-46</v>
      </c>
      <c r="H173" s="24">
        <f t="shared" si="32"/>
        <v>1.9511696074882452E-49</v>
      </c>
      <c r="I173" s="24" cm="1">
        <f t="array" ref="I173">_xlfn.LET(_xlpm.x,$B173,_xlpm.dep,$H$6:$H$29,_xlpm.e,IF(_xlpm.x&lt;=$C$5,$C$12*(_xlpm.x-_xlpm.dep)/_xlpm.x,$C$13*(_xlpm.x-_xlpm.dep)/(_xlpm.x-3*$C$5/7))/$C$14,_xlpm.s,(_xlpm.e&gt;=1)*1+(_xlpm.e&lt;=-1)*(-1)+(ABS(_xlpm.e)&lt;1)*_xlpm.e,AVERAGE(_xlpm.s))</f>
        <v>0.80796323375527612</v>
      </c>
      <c r="J173" s="24" cm="1">
        <f t="array" ref="J173">_xlfn.LET(_xlpm.x,$B173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5.0144633854628876E-2</v>
      </c>
      <c r="K173" s="24">
        <f t="shared" si="33"/>
        <v>-0.92868729164736075</v>
      </c>
      <c r="L173" s="24" t="str">
        <f t="shared" si="34"/>
        <v/>
      </c>
      <c r="M173" s="24">
        <f t="shared" si="35"/>
        <v>1000000000</v>
      </c>
    </row>
    <row r="174" spans="1:13" x14ac:dyDescent="0.3">
      <c r="A174" s="24">
        <f t="shared" si="36"/>
        <v>1.4600000000000011</v>
      </c>
      <c r="B174" s="20">
        <f t="shared" si="26"/>
        <v>876.00000000000068</v>
      </c>
      <c r="C174" s="20">
        <f t="shared" si="27"/>
        <v>600</v>
      </c>
      <c r="D174" s="24">
        <f t="shared" si="28"/>
        <v>3.1415926535897931</v>
      </c>
      <c r="E174" s="20">
        <f t="shared" si="29"/>
        <v>282743.3388230814</v>
      </c>
      <c r="F174" s="24">
        <f t="shared" si="30"/>
        <v>1</v>
      </c>
      <c r="G174" s="16">
        <f t="shared" si="31"/>
        <v>1.1707017644929472E-46</v>
      </c>
      <c r="H174" s="24">
        <f t="shared" si="32"/>
        <v>1.9511696074882452E-49</v>
      </c>
      <c r="I174" s="24" cm="1">
        <f t="array" ref="I174">_xlfn.LET(_xlpm.x,$B174,_xlpm.dep,$H$6:$H$29,_xlpm.e,IF(_xlpm.x&lt;=$C$5,$C$12*(_xlpm.x-_xlpm.dep)/_xlpm.x,$C$13*(_xlpm.x-_xlpm.dep)/(_xlpm.x-3*$C$5/7))/$C$14,_xlpm.s,(_xlpm.e&gt;=1)*1+(_xlpm.e&lt;=-1)*(-1)+(ABS(_xlpm.e)&lt;1)*_xlpm.e,AVERAGE(_xlpm.s))</f>
        <v>0.80934032151665158</v>
      </c>
      <c r="J174" s="24" cm="1">
        <f t="array" ref="J174">_xlfn.LET(_xlpm.x,$B174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4.9746153769521344E-2</v>
      </c>
      <c r="K174" s="24">
        <f t="shared" si="33"/>
        <v>-0.92710713572348946</v>
      </c>
      <c r="L174" s="24" t="str">
        <f t="shared" si="34"/>
        <v/>
      </c>
      <c r="M174" s="24">
        <f t="shared" si="35"/>
        <v>1000000000</v>
      </c>
    </row>
    <row r="175" spans="1:13" x14ac:dyDescent="0.3">
      <c r="A175" s="24">
        <f t="shared" si="36"/>
        <v>1.4700000000000011</v>
      </c>
      <c r="B175" s="20">
        <f t="shared" si="26"/>
        <v>882.00000000000068</v>
      </c>
      <c r="C175" s="20">
        <f t="shared" si="27"/>
        <v>600</v>
      </c>
      <c r="D175" s="24">
        <f t="shared" si="28"/>
        <v>3.1415926535897931</v>
      </c>
      <c r="E175" s="20">
        <f t="shared" si="29"/>
        <v>282743.3388230814</v>
      </c>
      <c r="F175" s="24">
        <f t="shared" si="30"/>
        <v>1</v>
      </c>
      <c r="G175" s="16">
        <f t="shared" si="31"/>
        <v>1.1707017644929472E-46</v>
      </c>
      <c r="H175" s="24">
        <f t="shared" si="32"/>
        <v>1.9511696074882452E-49</v>
      </c>
      <c r="I175" s="24" cm="1">
        <f t="array" ref="I175">_xlfn.LET(_xlpm.x,$B175,_xlpm.dep,$H$6:$H$29,_xlpm.e,IF(_xlpm.x&lt;=$C$5,$C$12*(_xlpm.x-_xlpm.dep)/_xlpm.x,$C$13*(_xlpm.x-_xlpm.dep)/(_xlpm.x-3*$C$5/7))/$C$14,_xlpm.s,(_xlpm.e&gt;=1)*1+(_xlpm.e&lt;=-1)*(-1)+(ABS(_xlpm.e)&lt;1)*_xlpm.e,AVERAGE(_xlpm.s))</f>
        <v>0.81069096314817879</v>
      </c>
      <c r="J175" s="24" cm="1">
        <f t="array" ref="J175">_xlfn.LET(_xlpm.x,$B175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4.9355326251205991E-2</v>
      </c>
      <c r="K175" s="24">
        <f t="shared" si="33"/>
        <v>-0.92556254037049401</v>
      </c>
      <c r="L175" s="24" t="str">
        <f t="shared" si="34"/>
        <v/>
      </c>
      <c r="M175" s="24">
        <f t="shared" si="35"/>
        <v>1000000000</v>
      </c>
    </row>
    <row r="176" spans="1:13" x14ac:dyDescent="0.3">
      <c r="A176" s="24">
        <f t="shared" si="36"/>
        <v>1.4800000000000011</v>
      </c>
      <c r="B176" s="20">
        <f t="shared" si="26"/>
        <v>888.00000000000068</v>
      </c>
      <c r="C176" s="20">
        <f t="shared" si="27"/>
        <v>600</v>
      </c>
      <c r="D176" s="24">
        <f t="shared" si="28"/>
        <v>3.1415926535897931</v>
      </c>
      <c r="E176" s="20">
        <f t="shared" si="29"/>
        <v>282743.3388230814</v>
      </c>
      <c r="F176" s="24">
        <f t="shared" si="30"/>
        <v>1</v>
      </c>
      <c r="G176" s="16">
        <f t="shared" si="31"/>
        <v>1.1707017644929472E-46</v>
      </c>
      <c r="H176" s="24">
        <f t="shared" si="32"/>
        <v>1.9511696074882452E-49</v>
      </c>
      <c r="I176" s="24" cm="1">
        <f t="array" ref="I176">_xlfn.LET(_xlpm.x,$B176,_xlpm.dep,$H$6:$H$29,_xlpm.e,IF(_xlpm.x&lt;=$C$5,$C$12*(_xlpm.x-_xlpm.dep)/_xlpm.x,$C$13*(_xlpm.x-_xlpm.dep)/(_xlpm.x-3*$C$5/7))/$C$14,_xlpm.s,(_xlpm.e&gt;=1)*1+(_xlpm.e&lt;=-1)*(-1)+(ABS(_xlpm.e)&lt;1)*_xlpm.e,AVERAGE(_xlpm.s))</f>
        <v>0.81201591322693256</v>
      </c>
      <c r="J176" s="24" cm="1">
        <f t="array" ref="J176">_xlfn.LET(_xlpm.x,$B176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4.8971932951989032E-2</v>
      </c>
      <c r="K176" s="24">
        <f t="shared" si="33"/>
        <v>-0.92405231853767045</v>
      </c>
      <c r="L176" s="24" t="str">
        <f t="shared" si="34"/>
        <v/>
      </c>
      <c r="M176" s="24">
        <f t="shared" si="35"/>
        <v>1000000000</v>
      </c>
    </row>
    <row r="177" spans="1:13" x14ac:dyDescent="0.3">
      <c r="A177" s="24">
        <f t="shared" si="36"/>
        <v>1.4900000000000011</v>
      </c>
      <c r="B177" s="20">
        <f t="shared" si="26"/>
        <v>894.00000000000068</v>
      </c>
      <c r="C177" s="20">
        <f t="shared" si="27"/>
        <v>600</v>
      </c>
      <c r="D177" s="24">
        <f t="shared" si="28"/>
        <v>3.1415926535897931</v>
      </c>
      <c r="E177" s="20">
        <f t="shared" si="29"/>
        <v>282743.3388230814</v>
      </c>
      <c r="F177" s="24">
        <f t="shared" si="30"/>
        <v>1</v>
      </c>
      <c r="G177" s="16">
        <f t="shared" si="31"/>
        <v>1.1707017644929472E-46</v>
      </c>
      <c r="H177" s="24">
        <f t="shared" si="32"/>
        <v>1.9511696074882452E-49</v>
      </c>
      <c r="I177" s="24" cm="1">
        <f t="array" ref="I177">_xlfn.LET(_xlpm.x,$B177,_xlpm.dep,$H$6:$H$29,_xlpm.e,IF(_xlpm.x&lt;=$C$5,$C$12*(_xlpm.x-_xlpm.dep)/_xlpm.x,$C$13*(_xlpm.x-_xlpm.dep)/(_xlpm.x-3*$C$5/7))/$C$14,_xlpm.s,(_xlpm.e&gt;=1)*1+(_xlpm.e&lt;=-1)*(-1)+(ABS(_xlpm.e)&lt;1)*_xlpm.e,AVERAGE(_xlpm.s))</f>
        <v>0.81331589789370451</v>
      </c>
      <c r="J177" s="24" cm="1">
        <f t="array" ref="J177">_xlfn.LET(_xlpm.x,$B177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4.8595763752622742E-2</v>
      </c>
      <c r="K177" s="24">
        <f t="shared" si="33"/>
        <v>-0.92257533542630499</v>
      </c>
      <c r="L177" s="24" t="str">
        <f t="shared" si="34"/>
        <v/>
      </c>
      <c r="M177" s="24">
        <f t="shared" si="35"/>
        <v>1000000000</v>
      </c>
    </row>
    <row r="178" spans="1:13" x14ac:dyDescent="0.3">
      <c r="A178" s="24">
        <f t="shared" si="36"/>
        <v>1.5000000000000011</v>
      </c>
      <c r="B178" s="20">
        <f t="shared" si="26"/>
        <v>900.00000000000068</v>
      </c>
      <c r="C178" s="20">
        <f t="shared" si="27"/>
        <v>600</v>
      </c>
      <c r="D178" s="24">
        <f t="shared" si="28"/>
        <v>3.1415926535897931</v>
      </c>
      <c r="E178" s="20">
        <f t="shared" si="29"/>
        <v>282743.3388230814</v>
      </c>
      <c r="F178" s="24">
        <f t="shared" si="30"/>
        <v>1</v>
      </c>
      <c r="G178" s="16">
        <f t="shared" si="31"/>
        <v>1.1707017644929472E-46</v>
      </c>
      <c r="H178" s="24">
        <f t="shared" si="32"/>
        <v>1.9511696074882452E-49</v>
      </c>
      <c r="I178" s="24" cm="1">
        <f t="array" ref="I178">_xlfn.LET(_xlpm.x,$B178,_xlpm.dep,$H$6:$H$29,_xlpm.e,IF(_xlpm.x&lt;=$C$5,$C$12*(_xlpm.x-_xlpm.dep)/_xlpm.x,$C$13*(_xlpm.x-_xlpm.dep)/(_xlpm.x-3*$C$5/7))/$C$14,_xlpm.s,(_xlpm.e&gt;=1)*1+(_xlpm.e&lt;=-1)*(-1)+(ABS(_xlpm.e)&lt;1)*_xlpm.e,AVERAGE(_xlpm.s))</f>
        <v>0.81459161618003006</v>
      </c>
      <c r="J178" s="24" cm="1">
        <f t="array" ref="J178">_xlfn.LET(_xlpm.x,$B178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4.8226616378311271E-2</v>
      </c>
      <c r="K178" s="24">
        <f t="shared" si="33"/>
        <v>-0.92113050564591092</v>
      </c>
      <c r="L178" s="24" t="str">
        <f t="shared" si="34"/>
        <v/>
      </c>
      <c r="M178" s="24">
        <f t="shared" si="35"/>
        <v>1000000000</v>
      </c>
    </row>
    <row r="179" spans="1:13" x14ac:dyDescent="0.3">
      <c r="A179" s="24">
        <f t="shared" si="36"/>
        <v>1.5100000000000011</v>
      </c>
      <c r="B179" s="20">
        <f t="shared" si="26"/>
        <v>906.00000000000068</v>
      </c>
      <c r="C179" s="20">
        <f t="shared" si="27"/>
        <v>600</v>
      </c>
      <c r="D179" s="24">
        <f t="shared" si="28"/>
        <v>3.1415926535897931</v>
      </c>
      <c r="E179" s="20">
        <f t="shared" si="29"/>
        <v>282743.3388230814</v>
      </c>
      <c r="F179" s="24">
        <f t="shared" si="30"/>
        <v>1</v>
      </c>
      <c r="G179" s="16">
        <f t="shared" si="31"/>
        <v>1.1707017644929472E-46</v>
      </c>
      <c r="H179" s="24">
        <f t="shared" si="32"/>
        <v>1.9511696074882452E-49</v>
      </c>
      <c r="I179" s="24" cm="1">
        <f t="array" ref="I179">_xlfn.LET(_xlpm.x,$B179,_xlpm.dep,$H$6:$H$29,_xlpm.e,IF(_xlpm.x&lt;=$C$5,$C$12*(_xlpm.x-_xlpm.dep)/_xlpm.x,$C$13*(_xlpm.x-_xlpm.dep)/(_xlpm.x-3*$C$5/7))/$C$14,_xlpm.s,(_xlpm.e&gt;=1)*1+(_xlpm.e&lt;=-1)*(-1)+(ABS(_xlpm.e)&lt;1)*_xlpm.e,AVERAGE(_xlpm.s))</f>
        <v>0.81584374126158854</v>
      </c>
      <c r="J179" s="24" cm="1">
        <f t="array" ref="J179">_xlfn.LET(_xlpm.x,$B179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4.7864296036021423E-2</v>
      </c>
      <c r="K179" s="24">
        <f t="shared" si="33"/>
        <v>-0.91971679055418953</v>
      </c>
      <c r="L179" s="24" t="str">
        <f t="shared" si="34"/>
        <v/>
      </c>
      <c r="M179" s="24">
        <f t="shared" si="35"/>
        <v>1000000000</v>
      </c>
    </row>
    <row r="180" spans="1:13" x14ac:dyDescent="0.3">
      <c r="A180" s="24">
        <f t="shared" si="36"/>
        <v>1.5200000000000011</v>
      </c>
      <c r="B180" s="20">
        <f t="shared" si="26"/>
        <v>912.00000000000068</v>
      </c>
      <c r="C180" s="20">
        <f t="shared" si="27"/>
        <v>600</v>
      </c>
      <c r="D180" s="24">
        <f t="shared" si="28"/>
        <v>3.1415926535897931</v>
      </c>
      <c r="E180" s="20">
        <f t="shared" si="29"/>
        <v>282743.3388230814</v>
      </c>
      <c r="F180" s="24">
        <f t="shared" si="30"/>
        <v>1</v>
      </c>
      <c r="G180" s="16">
        <f t="shared" si="31"/>
        <v>1.1707017644929472E-46</v>
      </c>
      <c r="H180" s="24">
        <f t="shared" si="32"/>
        <v>1.9511696074882452E-49</v>
      </c>
      <c r="I180" s="24" cm="1">
        <f t="array" ref="I180">_xlfn.LET(_xlpm.x,$B180,_xlpm.dep,$H$6:$H$29,_xlpm.e,IF(_xlpm.x&lt;=$C$5,$C$12*(_xlpm.x-_xlpm.dep)/_xlpm.x,$C$13*(_xlpm.x-_xlpm.dep)/(_xlpm.x-3*$C$5/7))/$C$14,_xlpm.s,(_xlpm.e&gt;=1)*1+(_xlpm.e&lt;=-1)*(-1)+(ABS(_xlpm.e)&lt;1)*_xlpm.e,AVERAGE(_xlpm.s))</f>
        <v>0.81707292164269951</v>
      </c>
      <c r="J180" s="24" cm="1">
        <f t="array" ref="J180">_xlfn.LET(_xlpm.x,$B180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4.7508615071731652E-2</v>
      </c>
      <c r="K180" s="24">
        <f t="shared" si="33"/>
        <v>-0.91833319576701355</v>
      </c>
      <c r="L180" s="24" t="str">
        <f t="shared" si="34"/>
        <v/>
      </c>
      <c r="M180" s="24">
        <f t="shared" si="35"/>
        <v>1000000000</v>
      </c>
    </row>
    <row r="181" spans="1:13" x14ac:dyDescent="0.3">
      <c r="A181" s="24">
        <f t="shared" si="36"/>
        <v>1.5300000000000011</v>
      </c>
      <c r="B181" s="20">
        <f t="shared" si="26"/>
        <v>918.00000000000068</v>
      </c>
      <c r="C181" s="20">
        <f t="shared" si="27"/>
        <v>600</v>
      </c>
      <c r="D181" s="24">
        <f t="shared" si="28"/>
        <v>3.1415926535897931</v>
      </c>
      <c r="E181" s="20">
        <f t="shared" si="29"/>
        <v>282743.3388230814</v>
      </c>
      <c r="F181" s="24">
        <f t="shared" si="30"/>
        <v>1</v>
      </c>
      <c r="G181" s="16">
        <f t="shared" si="31"/>
        <v>1.1707017644929472E-46</v>
      </c>
      <c r="H181" s="24">
        <f t="shared" si="32"/>
        <v>1.9511696074882452E-49</v>
      </c>
      <c r="I181" s="24" cm="1">
        <f t="array" ref="I181">_xlfn.LET(_xlpm.x,$B181,_xlpm.dep,$H$6:$H$29,_xlpm.e,IF(_xlpm.x&lt;=$C$5,$C$12*(_xlpm.x-_xlpm.dep)/_xlpm.x,$C$13*(_xlpm.x-_xlpm.dep)/(_xlpm.x-3*$C$5/7))/$C$14,_xlpm.s,(_xlpm.e&gt;=1)*1+(_xlpm.e&lt;=-1)*(-1)+(ABS(_xlpm.e)&lt;1)*_xlpm.e,AVERAGE(_xlpm.s))</f>
        <v>0.81827978227629361</v>
      </c>
      <c r="J181" s="24" cm="1">
        <f t="array" ref="J181">_xlfn.LET(_xlpm.x,$B181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4.7159392646352459E-2</v>
      </c>
      <c r="K181" s="24">
        <f t="shared" si="33"/>
        <v>-0.91697876882588736</v>
      </c>
      <c r="L181" s="24" t="str">
        <f t="shared" si="34"/>
        <v/>
      </c>
      <c r="M181" s="24">
        <f t="shared" si="35"/>
        <v>1000000000</v>
      </c>
    </row>
    <row r="182" spans="1:13" x14ac:dyDescent="0.3">
      <c r="A182" s="24">
        <f t="shared" si="36"/>
        <v>1.5400000000000011</v>
      </c>
      <c r="B182" s="20">
        <f t="shared" si="26"/>
        <v>924.00000000000068</v>
      </c>
      <c r="C182" s="20">
        <f t="shared" si="27"/>
        <v>600</v>
      </c>
      <c r="D182" s="24">
        <f t="shared" si="28"/>
        <v>3.1415926535897931</v>
      </c>
      <c r="E182" s="20">
        <f t="shared" si="29"/>
        <v>282743.3388230814</v>
      </c>
      <c r="F182" s="24">
        <f t="shared" si="30"/>
        <v>1</v>
      </c>
      <c r="G182" s="16">
        <f t="shared" si="31"/>
        <v>1.1707017644929472E-46</v>
      </c>
      <c r="H182" s="24">
        <f t="shared" si="32"/>
        <v>1.9511696074882452E-49</v>
      </c>
      <c r="I182" s="24" cm="1">
        <f t="array" ref="I182">_xlfn.LET(_xlpm.x,$B182,_xlpm.dep,$H$6:$H$29,_xlpm.e,IF(_xlpm.x&lt;=$C$5,$C$12*(_xlpm.x-_xlpm.dep)/_xlpm.x,$C$13*(_xlpm.x-_xlpm.dep)/(_xlpm.x-3*$C$5/7))/$C$14,_xlpm.s,(_xlpm.e&gt;=1)*1+(_xlpm.e&lt;=-1)*(-1)+(ABS(_xlpm.e)&lt;1)*_xlpm.e,AVERAGE(_xlpm.s))</f>
        <v>0.81946492562342199</v>
      </c>
      <c r="J182" s="24" cm="1">
        <f t="array" ref="J182">_xlfn.LET(_xlpm.x,$B182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4.6816454429142049E-2</v>
      </c>
      <c r="K182" s="24">
        <f t="shared" si="33"/>
        <v>-0.91565259701138879</v>
      </c>
      <c r="L182" s="24" t="str">
        <f t="shared" si="34"/>
        <v/>
      </c>
      <c r="M182" s="24">
        <f t="shared" si="35"/>
        <v>1000000000</v>
      </c>
    </row>
    <row r="183" spans="1:13" x14ac:dyDescent="0.3">
      <c r="A183" s="24">
        <f t="shared" si="36"/>
        <v>1.5500000000000012</v>
      </c>
      <c r="B183" s="20">
        <f t="shared" si="26"/>
        <v>930.00000000000068</v>
      </c>
      <c r="C183" s="20">
        <f t="shared" si="27"/>
        <v>600</v>
      </c>
      <c r="D183" s="24">
        <f t="shared" si="28"/>
        <v>3.1415926535897931</v>
      </c>
      <c r="E183" s="20">
        <f t="shared" si="29"/>
        <v>282743.3388230814</v>
      </c>
      <c r="F183" s="24">
        <f t="shared" si="30"/>
        <v>1</v>
      </c>
      <c r="G183" s="16">
        <f t="shared" si="31"/>
        <v>1.1707017644929472E-46</v>
      </c>
      <c r="H183" s="24">
        <f t="shared" si="32"/>
        <v>1.9511696074882452E-49</v>
      </c>
      <c r="I183" s="24" cm="1">
        <f t="array" ref="I183">_xlfn.LET(_xlpm.x,$B183,_xlpm.dep,$H$6:$H$29,_xlpm.e,IF(_xlpm.x&lt;=$C$5,$C$12*(_xlpm.x-_xlpm.dep)/_xlpm.x,$C$13*(_xlpm.x-_xlpm.dep)/(_xlpm.x-3*$C$5/7))/$C$14,_xlpm.s,(_xlpm.e&gt;=1)*1+(_xlpm.e&lt;=-1)*(-1)+(ABS(_xlpm.e)&lt;1)*_xlpm.e,AVERAGE(_xlpm.s))</f>
        <v>0.82062893265607961</v>
      </c>
      <c r="J183" s="24" cm="1">
        <f t="array" ref="J183">_xlfn.LET(_xlpm.x,$B183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4.6479632307525186E-2</v>
      </c>
      <c r="K183" s="24">
        <f t="shared" si="33"/>
        <v>-0.91435380529203902</v>
      </c>
      <c r="L183" s="24" t="str">
        <f t="shared" si="34"/>
        <v/>
      </c>
      <c r="M183" s="24">
        <f t="shared" si="35"/>
        <v>1000000000</v>
      </c>
    </row>
    <row r="184" spans="1:13" x14ac:dyDescent="0.3">
      <c r="A184" s="24">
        <f t="shared" si="36"/>
        <v>1.5600000000000012</v>
      </c>
      <c r="B184" s="20">
        <f t="shared" si="26"/>
        <v>936.00000000000068</v>
      </c>
      <c r="C184" s="20">
        <f t="shared" si="27"/>
        <v>600</v>
      </c>
      <c r="D184" s="24">
        <f t="shared" si="28"/>
        <v>3.1415926535897931</v>
      </c>
      <c r="E184" s="20">
        <f t="shared" si="29"/>
        <v>282743.3388230814</v>
      </c>
      <c r="F184" s="24">
        <f t="shared" si="30"/>
        <v>1</v>
      </c>
      <c r="G184" s="16">
        <f t="shared" si="31"/>
        <v>1.1707017644929472E-46</v>
      </c>
      <c r="H184" s="24">
        <f t="shared" si="32"/>
        <v>1.9511696074882452E-49</v>
      </c>
      <c r="I184" s="24" cm="1">
        <f t="array" ref="I184">_xlfn.LET(_xlpm.x,$B184,_xlpm.dep,$H$6:$H$29,_xlpm.e,IF(_xlpm.x&lt;=$C$5,$C$12*(_xlpm.x-_xlpm.dep)/_xlpm.x,$C$13*(_xlpm.x-_xlpm.dep)/(_xlpm.x-3*$C$5/7))/$C$14,_xlpm.s,(_xlpm.e&gt;=1)*1+(_xlpm.e&lt;=-1)*(-1)+(ABS(_xlpm.e)&lt;1)*_xlpm.e,AVERAGE(_xlpm.s))</f>
        <v>0.82177236380684626</v>
      </c>
      <c r="J184" s="24" cm="1">
        <f t="array" ref="J184">_xlfn.LET(_xlpm.x,$B184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4.6148764112300553E-2</v>
      </c>
      <c r="K184" s="24">
        <f t="shared" si="33"/>
        <v>-0.91308155439892114</v>
      </c>
      <c r="L184" s="24" t="str">
        <f t="shared" si="34"/>
        <v/>
      </c>
      <c r="M184" s="24">
        <f t="shared" si="35"/>
        <v>1000000000</v>
      </c>
    </row>
    <row r="185" spans="1:13" x14ac:dyDescent="0.3">
      <c r="A185" s="24">
        <f t="shared" si="36"/>
        <v>1.5700000000000012</v>
      </c>
      <c r="B185" s="20">
        <f t="shared" si="26"/>
        <v>942.00000000000068</v>
      </c>
      <c r="C185" s="20">
        <f t="shared" si="27"/>
        <v>600</v>
      </c>
      <c r="D185" s="24">
        <f t="shared" si="28"/>
        <v>3.1415926535897931</v>
      </c>
      <c r="E185" s="20">
        <f t="shared" si="29"/>
        <v>282743.3388230814</v>
      </c>
      <c r="F185" s="24">
        <f t="shared" si="30"/>
        <v>1</v>
      </c>
      <c r="G185" s="16">
        <f t="shared" si="31"/>
        <v>1.1707017644929472E-46</v>
      </c>
      <c r="H185" s="24">
        <f t="shared" si="32"/>
        <v>1.9511696074882452E-49</v>
      </c>
      <c r="I185" s="24" cm="1">
        <f t="array" ref="I185">_xlfn.LET(_xlpm.x,$B185,_xlpm.dep,$H$6:$H$29,_xlpm.e,IF(_xlpm.x&lt;=$C$5,$C$12*(_xlpm.x-_xlpm.dep)/_xlpm.x,$C$13*(_xlpm.x-_xlpm.dep)/(_xlpm.x-3*$C$5/7))/$C$14,_xlpm.s,(_xlpm.e&gt;=1)*1+(_xlpm.e&lt;=-1)*(-1)+(ABS(_xlpm.e)&lt;1)*_xlpm.e,AVERAGE(_xlpm.s))</f>
        <v>0.82289575986861363</v>
      </c>
      <c r="J185" s="24" cm="1">
        <f t="array" ref="J185">_xlfn.LET(_xlpm.x,$B185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4.5823693357292611E-2</v>
      </c>
      <c r="K185" s="24">
        <f t="shared" si="33"/>
        <v>-0.91183503901713325</v>
      </c>
      <c r="L185" s="24" t="str">
        <f t="shared" si="34"/>
        <v/>
      </c>
      <c r="M185" s="24">
        <f t="shared" si="35"/>
        <v>1000000000</v>
      </c>
    </row>
    <row r="186" spans="1:13" x14ac:dyDescent="0.3">
      <c r="A186" s="24">
        <f t="shared" si="36"/>
        <v>1.5800000000000012</v>
      </c>
      <c r="B186" s="20">
        <f t="shared" si="26"/>
        <v>948.00000000000068</v>
      </c>
      <c r="C186" s="20">
        <f t="shared" si="27"/>
        <v>600</v>
      </c>
      <c r="D186" s="24">
        <f t="shared" si="28"/>
        <v>3.1415926535897931</v>
      </c>
      <c r="E186" s="20">
        <f t="shared" si="29"/>
        <v>282743.3388230814</v>
      </c>
      <c r="F186" s="24">
        <f t="shared" si="30"/>
        <v>1</v>
      </c>
      <c r="G186" s="16">
        <f t="shared" si="31"/>
        <v>1.1707017644929472E-46</v>
      </c>
      <c r="H186" s="24">
        <f t="shared" si="32"/>
        <v>1.9511696074882452E-49</v>
      </c>
      <c r="I186" s="24" cm="1">
        <f t="array" ref="I186">_xlfn.LET(_xlpm.x,$B186,_xlpm.dep,$H$6:$H$29,_xlpm.e,IF(_xlpm.x&lt;=$C$5,$C$12*(_xlpm.x-_xlpm.dep)/_xlpm.x,$C$13*(_xlpm.x-_xlpm.dep)/(_xlpm.x-3*$C$5/7))/$C$14,_xlpm.s,(_xlpm.e&gt;=1)*1+(_xlpm.e&lt;=-1)*(-1)+(ABS(_xlpm.e)&lt;1)*_xlpm.e,AVERAGE(_xlpm.s))</f>
        <v>0.82399964284742211</v>
      </c>
      <c r="J186" s="24" cm="1">
        <f t="array" ref="J186">_xlfn.LET(_xlpm.x,$B186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4.5504268992570186E-2</v>
      </c>
      <c r="K186" s="24">
        <f t="shared" si="33"/>
        <v>-0.91061348608590398</v>
      </c>
      <c r="L186" s="24" t="str">
        <f t="shared" si="34"/>
        <v/>
      </c>
      <c r="M186" s="24">
        <f t="shared" si="35"/>
        <v>1000000000</v>
      </c>
    </row>
    <row r="187" spans="1:13" x14ac:dyDescent="0.3">
      <c r="A187" s="24">
        <f t="shared" si="36"/>
        <v>1.5900000000000012</v>
      </c>
      <c r="B187" s="20">
        <f t="shared" si="26"/>
        <v>954.00000000000068</v>
      </c>
      <c r="C187" s="20">
        <f t="shared" si="27"/>
        <v>600</v>
      </c>
      <c r="D187" s="24">
        <f t="shared" si="28"/>
        <v>3.1415926535897931</v>
      </c>
      <c r="E187" s="20">
        <f t="shared" si="29"/>
        <v>282743.3388230814</v>
      </c>
      <c r="F187" s="24">
        <f t="shared" si="30"/>
        <v>1</v>
      </c>
      <c r="G187" s="16">
        <f t="shared" si="31"/>
        <v>1.1707017644929472E-46</v>
      </c>
      <c r="H187" s="24">
        <f t="shared" si="32"/>
        <v>1.9511696074882452E-49</v>
      </c>
      <c r="I187" s="24" cm="1">
        <f t="array" ref="I187">_xlfn.LET(_xlpm.x,$B187,_xlpm.dep,$H$6:$H$29,_xlpm.e,IF(_xlpm.x&lt;=$C$5,$C$12*(_xlpm.x-_xlpm.dep)/_xlpm.x,$C$13*(_xlpm.x-_xlpm.dep)/(_xlpm.x-3*$C$5/7))/$C$14,_xlpm.s,(_xlpm.e&gt;=1)*1+(_xlpm.e&lt;=-1)*(-1)+(ABS(_xlpm.e)&lt;1)*_xlpm.e,AVERAGE(_xlpm.s))</f>
        <v>0.82508451677124517</v>
      </c>
      <c r="J187" s="24" cm="1">
        <f t="array" ref="J187">_xlfn.LET(_xlpm.x,$B187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4.5190345170413697E-2</v>
      </c>
      <c r="K187" s="24">
        <f t="shared" si="33"/>
        <v>-0.90941615319981117</v>
      </c>
      <c r="L187" s="24" t="str">
        <f t="shared" si="34"/>
        <v/>
      </c>
      <c r="M187" s="24">
        <f t="shared" si="35"/>
        <v>1000000000</v>
      </c>
    </row>
    <row r="188" spans="1:13" x14ac:dyDescent="0.3">
      <c r="A188" s="24">
        <f t="shared" si="36"/>
        <v>1.6000000000000012</v>
      </c>
      <c r="B188" s="20">
        <f t="shared" si="26"/>
        <v>960.00000000000068</v>
      </c>
      <c r="C188" s="20">
        <f t="shared" si="27"/>
        <v>600</v>
      </c>
      <c r="D188" s="24">
        <f t="shared" si="28"/>
        <v>3.1415926535897931</v>
      </c>
      <c r="E188" s="20">
        <f t="shared" si="29"/>
        <v>282743.3388230814</v>
      </c>
      <c r="F188" s="24">
        <f t="shared" si="30"/>
        <v>1</v>
      </c>
      <c r="G188" s="16">
        <f t="shared" si="31"/>
        <v>1.1707017644929472E-46</v>
      </c>
      <c r="H188" s="24">
        <f t="shared" si="32"/>
        <v>1.9511696074882452E-49</v>
      </c>
      <c r="I188" s="24" cm="1">
        <f t="array" ref="I188">_xlfn.LET(_xlpm.x,$B188,_xlpm.dep,$H$6:$H$29,_xlpm.e,IF(_xlpm.x&lt;=$C$5,$C$12*(_xlpm.x-_xlpm.dep)/_xlpm.x,$C$13*(_xlpm.x-_xlpm.dep)/(_xlpm.x-3*$C$5/7))/$C$14,_xlpm.s,(_xlpm.e&gt;=1)*1+(_xlpm.e&lt;=-1)*(-1)+(ABS(_xlpm.e)&lt;1)*_xlpm.e,AVERAGE(_xlpm.s))</f>
        <v>0.82615086845734431</v>
      </c>
      <c r="J188" s="24" cm="1">
        <f t="array" ref="J188">_xlfn.LET(_xlpm.x,$B188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4.4881781023269618E-2</v>
      </c>
      <c r="K188" s="24">
        <f t="shared" si="33"/>
        <v>-0.90824232710417174</v>
      </c>
      <c r="L188" s="24" t="str">
        <f t="shared" si="34"/>
        <v/>
      </c>
      <c r="M188" s="24">
        <f t="shared" si="35"/>
        <v>1000000000</v>
      </c>
    </row>
    <row r="189" spans="1:13" x14ac:dyDescent="0.3">
      <c r="A189" s="24">
        <f t="shared" si="36"/>
        <v>1.6100000000000012</v>
      </c>
      <c r="B189" s="20">
        <f t="shared" si="26"/>
        <v>966.00000000000068</v>
      </c>
      <c r="C189" s="20">
        <f t="shared" si="27"/>
        <v>600</v>
      </c>
      <c r="D189" s="24">
        <f t="shared" si="28"/>
        <v>3.1415926535897931</v>
      </c>
      <c r="E189" s="20">
        <f t="shared" si="29"/>
        <v>282743.3388230814</v>
      </c>
      <c r="F189" s="24">
        <f t="shared" si="30"/>
        <v>1</v>
      </c>
      <c r="G189" s="16">
        <f t="shared" si="31"/>
        <v>1.1707017644929472E-46</v>
      </c>
      <c r="H189" s="24">
        <f t="shared" si="32"/>
        <v>1.9511696074882452E-49</v>
      </c>
      <c r="I189" s="24" cm="1">
        <f t="array" ref="I189">_xlfn.LET(_xlpm.x,$B189,_xlpm.dep,$H$6:$H$29,_xlpm.e,IF(_xlpm.x&lt;=$C$5,$C$12*(_xlpm.x-_xlpm.dep)/_xlpm.x,$C$13*(_xlpm.x-_xlpm.dep)/(_xlpm.x-3*$C$5/7))/$C$14,_xlpm.s,(_xlpm.e&gt;=1)*1+(_xlpm.e&lt;=-1)*(-1)+(ABS(_xlpm.e)&lt;1)*_xlpm.e,AVERAGE(_xlpm.s))</f>
        <v>0.82719916824065598</v>
      </c>
      <c r="J189" s="24" cm="1">
        <f t="array" ref="J189">_xlfn.LET(_xlpm.x,$B189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4.4578440452981691E-2</v>
      </c>
      <c r="K189" s="24">
        <f t="shared" si="33"/>
        <v>-0.90709132227818434</v>
      </c>
      <c r="L189" s="24" t="str">
        <f t="shared" si="34"/>
        <v/>
      </c>
      <c r="M189" s="24">
        <f t="shared" si="35"/>
        <v>1000000000</v>
      </c>
    </row>
    <row r="190" spans="1:13" x14ac:dyDescent="0.3">
      <c r="A190" s="24">
        <f t="shared" si="36"/>
        <v>1.6200000000000012</v>
      </c>
      <c r="B190" s="20">
        <f t="shared" si="26"/>
        <v>972.00000000000068</v>
      </c>
      <c r="C190" s="20">
        <f t="shared" si="27"/>
        <v>600</v>
      </c>
      <c r="D190" s="24">
        <f t="shared" si="28"/>
        <v>3.1415926535897931</v>
      </c>
      <c r="E190" s="20">
        <f t="shared" si="29"/>
        <v>282743.3388230814</v>
      </c>
      <c r="F190" s="24">
        <f t="shared" si="30"/>
        <v>1</v>
      </c>
      <c r="G190" s="16">
        <f t="shared" si="31"/>
        <v>1.1707017644929472E-46</v>
      </c>
      <c r="H190" s="24">
        <f t="shared" si="32"/>
        <v>1.9511696074882452E-49</v>
      </c>
      <c r="I190" s="24" cm="1">
        <f t="array" ref="I190">_xlfn.LET(_xlpm.x,$B190,_xlpm.dep,$H$6:$H$29,_xlpm.e,IF(_xlpm.x&lt;=$C$5,$C$12*(_xlpm.x-_xlpm.dep)/_xlpm.x,$C$13*(_xlpm.x-_xlpm.dep)/(_xlpm.x-3*$C$5/7))/$C$14,_xlpm.s,(_xlpm.e&gt;=1)*1+(_xlpm.e&lt;=-1)*(-1)+(ABS(_xlpm.e)&lt;1)*_xlpm.e,AVERAGE(_xlpm.s))</f>
        <v>0.82822987066549458</v>
      </c>
      <c r="J190" s="24" cm="1">
        <f t="array" ref="J190">_xlfn.LET(_xlpm.x,$B190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4.4280191930636224E-2</v>
      </c>
      <c r="K190" s="24">
        <f t="shared" si="33"/>
        <v>-0.90596247959991805</v>
      </c>
      <c r="L190" s="24" t="str">
        <f t="shared" si="34"/>
        <v/>
      </c>
      <c r="M190" s="24">
        <f t="shared" si="35"/>
        <v>1000000000</v>
      </c>
    </row>
    <row r="191" spans="1:13" x14ac:dyDescent="0.3">
      <c r="A191" s="24">
        <f t="shared" si="36"/>
        <v>1.6300000000000012</v>
      </c>
      <c r="B191" s="20">
        <f t="shared" si="26"/>
        <v>978.00000000000068</v>
      </c>
      <c r="C191" s="20">
        <f t="shared" si="27"/>
        <v>600</v>
      </c>
      <c r="D191" s="24">
        <f t="shared" si="28"/>
        <v>3.1415926535897931</v>
      </c>
      <c r="E191" s="20">
        <f t="shared" si="29"/>
        <v>282743.3388230814</v>
      </c>
      <c r="F191" s="24">
        <f t="shared" si="30"/>
        <v>1</v>
      </c>
      <c r="G191" s="16">
        <f t="shared" si="31"/>
        <v>1.1707017644929472E-46</v>
      </c>
      <c r="H191" s="24">
        <f t="shared" si="32"/>
        <v>1.9511696074882452E-49</v>
      </c>
      <c r="I191" s="24" cm="1">
        <f t="array" ref="I191">_xlfn.LET(_xlpm.x,$B191,_xlpm.dep,$H$6:$H$29,_xlpm.e,IF(_xlpm.x&lt;=$C$5,$C$12*(_xlpm.x-_xlpm.dep)/_xlpm.x,$C$13*(_xlpm.x-_xlpm.dep)/(_xlpm.x-3*$C$5/7))/$C$14,_xlpm.s,(_xlpm.e&gt;=1)*1+(_xlpm.e&lt;=-1)*(-1)+(ABS(_xlpm.e)&lt;1)*_xlpm.e,AVERAGE(_xlpm.s))</f>
        <v>0.82924341514271405</v>
      </c>
      <c r="J191" s="24" cm="1">
        <f t="array" ref="J191">_xlfn.LET(_xlpm.x,$B191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4.3986908306403547E-2</v>
      </c>
      <c r="K191" s="24">
        <f t="shared" si="33"/>
        <v>-0.90485516508767849</v>
      </c>
      <c r="L191" s="24" t="str">
        <f t="shared" si="34"/>
        <v/>
      </c>
      <c r="M191" s="24">
        <f t="shared" si="35"/>
        <v>1000000000</v>
      </c>
    </row>
    <row r="192" spans="1:13" x14ac:dyDescent="0.3">
      <c r="A192" s="24">
        <f t="shared" si="36"/>
        <v>1.6400000000000012</v>
      </c>
      <c r="B192" s="20">
        <f t="shared" si="26"/>
        <v>984.0000000000008</v>
      </c>
      <c r="C192" s="20">
        <f t="shared" si="27"/>
        <v>600</v>
      </c>
      <c r="D192" s="24">
        <f t="shared" si="28"/>
        <v>3.1415926535897931</v>
      </c>
      <c r="E192" s="20">
        <f t="shared" si="29"/>
        <v>282743.3388230814</v>
      </c>
      <c r="F192" s="24">
        <f t="shared" si="30"/>
        <v>1</v>
      </c>
      <c r="G192" s="16">
        <f t="shared" si="31"/>
        <v>1.1707017644929472E-46</v>
      </c>
      <c r="H192" s="24">
        <f t="shared" si="32"/>
        <v>1.9511696074882452E-49</v>
      </c>
      <c r="I192" s="24" cm="1">
        <f t="array" ref="I192">_xlfn.LET(_xlpm.x,$B192,_xlpm.dep,$H$6:$H$29,_xlpm.e,IF(_xlpm.x&lt;=$C$5,$C$12*(_xlpm.x-_xlpm.dep)/_xlpm.x,$C$13*(_xlpm.x-_xlpm.dep)/(_xlpm.x-3*$C$5/7))/$C$14,_xlpm.s,(_xlpm.e&gt;=1)*1+(_xlpm.e&lt;=-1)*(-1)+(ABS(_xlpm.e)&lt;1)*_xlpm.e,AVERAGE(_xlpm.s))</f>
        <v>0.83024022657431884</v>
      </c>
      <c r="J192" s="24" cm="1">
        <f t="array" ref="J192">_xlfn.LET(_xlpm.x,$B192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4.3698466628797332E-2</v>
      </c>
      <c r="K192" s="24">
        <f t="shared" si="33"/>
        <v>-0.90376876871270684</v>
      </c>
      <c r="L192" s="24" t="str">
        <f t="shared" si="34"/>
        <v/>
      </c>
      <c r="M192" s="24">
        <f t="shared" si="35"/>
        <v>1000000000</v>
      </c>
    </row>
    <row r="193" spans="1:13" x14ac:dyDescent="0.3">
      <c r="A193" s="24">
        <f t="shared" si="36"/>
        <v>1.6500000000000012</v>
      </c>
      <c r="B193" s="20">
        <f t="shared" si="26"/>
        <v>990.0000000000008</v>
      </c>
      <c r="C193" s="20">
        <f t="shared" si="27"/>
        <v>600</v>
      </c>
      <c r="D193" s="24">
        <f t="shared" si="28"/>
        <v>3.1415926535897931</v>
      </c>
      <c r="E193" s="20">
        <f t="shared" si="29"/>
        <v>282743.3388230814</v>
      </c>
      <c r="F193" s="24">
        <f t="shared" si="30"/>
        <v>1</v>
      </c>
      <c r="G193" s="16">
        <f t="shared" si="31"/>
        <v>1.1707017644929472E-46</v>
      </c>
      <c r="H193" s="24">
        <f t="shared" si="32"/>
        <v>1.9511696074882452E-49</v>
      </c>
      <c r="I193" s="24" cm="1">
        <f t="array" ref="I193">_xlfn.LET(_xlpm.x,$B193,_xlpm.dep,$H$6:$H$29,_xlpm.e,IF(_xlpm.x&lt;=$C$5,$C$12*(_xlpm.x-_xlpm.dep)/_xlpm.x,$C$13*(_xlpm.x-_xlpm.dep)/(_xlpm.x-3*$C$5/7))/$C$14,_xlpm.s,(_xlpm.e&gt;=1)*1+(_xlpm.e&lt;=-1)*(-1)+(ABS(_xlpm.e)&lt;1)*_xlpm.e,AVERAGE(_xlpm.s))</f>
        <v>0.83122071594739466</v>
      </c>
      <c r="J193" s="24" cm="1">
        <f t="array" ref="J193">_xlfn.LET(_xlpm.x,$B193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4.3414747972812737E-2</v>
      </c>
      <c r="K193" s="24">
        <f t="shared" si="33"/>
        <v>-0.90270270327853308</v>
      </c>
      <c r="L193" s="24" t="str">
        <f t="shared" si="34"/>
        <v/>
      </c>
      <c r="M193" s="24">
        <f t="shared" si="35"/>
        <v>1000000000</v>
      </c>
    </row>
    <row r="194" spans="1:13" x14ac:dyDescent="0.3">
      <c r="A194" s="24">
        <f t="shared" si="36"/>
        <v>1.6600000000000013</v>
      </c>
      <c r="B194" s="20">
        <f t="shared" si="26"/>
        <v>996.0000000000008</v>
      </c>
      <c r="C194" s="20">
        <f t="shared" si="27"/>
        <v>600</v>
      </c>
      <c r="D194" s="24">
        <f t="shared" si="28"/>
        <v>3.1415926535897931</v>
      </c>
      <c r="E194" s="20">
        <f t="shared" si="29"/>
        <v>282743.3388230814</v>
      </c>
      <c r="F194" s="24">
        <f t="shared" si="30"/>
        <v>1</v>
      </c>
      <c r="G194" s="16">
        <f t="shared" si="31"/>
        <v>1.1707017644929472E-46</v>
      </c>
      <c r="H194" s="24">
        <f t="shared" si="32"/>
        <v>1.9511696074882452E-49</v>
      </c>
      <c r="I194" s="24" cm="1">
        <f t="array" ref="I194">_xlfn.LET(_xlpm.x,$B194,_xlpm.dep,$H$6:$H$29,_xlpm.e,IF(_xlpm.x&lt;=$C$5,$C$12*(_xlpm.x-_xlpm.dep)/_xlpm.x,$C$13*(_xlpm.x-_xlpm.dep)/(_xlpm.x-3*$C$5/7))/$C$14,_xlpm.s,(_xlpm.e&gt;=1)*1+(_xlpm.e&lt;=-1)*(-1)+(ABS(_xlpm.e)&lt;1)*_xlpm.e,AVERAGE(_xlpm.s))</f>
        <v>0.83218528089909805</v>
      </c>
      <c r="J194" s="24" cm="1">
        <f t="array" ref="J194">_xlfn.LET(_xlpm.x,$B194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4.3135637276438106E-2</v>
      </c>
      <c r="K194" s="24">
        <f t="shared" si="33"/>
        <v>-0.90165640336266628</v>
      </c>
      <c r="L194" s="24" t="str">
        <f t="shared" si="34"/>
        <v/>
      </c>
      <c r="M194" s="24">
        <f t="shared" si="35"/>
        <v>1000000000</v>
      </c>
    </row>
    <row r="195" spans="1:13" x14ac:dyDescent="0.3">
      <c r="A195" s="24">
        <f t="shared" si="36"/>
        <v>1.6700000000000013</v>
      </c>
      <c r="B195" s="20">
        <f t="shared" si="26"/>
        <v>1002.0000000000008</v>
      </c>
      <c r="C195" s="20">
        <f t="shared" si="27"/>
        <v>600</v>
      </c>
      <c r="D195" s="24">
        <f t="shared" si="28"/>
        <v>3.1415926535897931</v>
      </c>
      <c r="E195" s="20">
        <f t="shared" si="29"/>
        <v>282743.3388230814</v>
      </c>
      <c r="F195" s="24">
        <f t="shared" si="30"/>
        <v>1</v>
      </c>
      <c r="G195" s="16">
        <f t="shared" si="31"/>
        <v>1.1707017644929472E-46</v>
      </c>
      <c r="H195" s="24">
        <f t="shared" si="32"/>
        <v>1.9511696074882452E-49</v>
      </c>
      <c r="I195" s="24" cm="1">
        <f t="array" ref="I195">_xlfn.LET(_xlpm.x,$B195,_xlpm.dep,$H$6:$H$29,_xlpm.e,IF(_xlpm.x&lt;=$C$5,$C$12*(_xlpm.x-_xlpm.dep)/_xlpm.x,$C$13*(_xlpm.x-_xlpm.dep)/(_xlpm.x-3*$C$5/7))/$C$14,_xlpm.s,(_xlpm.e&gt;=1)*1+(_xlpm.e&lt;=-1)*(-1)+(ABS(_xlpm.e)&lt;1)*_xlpm.e,AVERAGE(_xlpm.s))</f>
        <v>0.83313430625434126</v>
      </c>
      <c r="J195" s="24" cm="1">
        <f t="array" ref="J195">_xlfn.LET(_xlpm.x,$B195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4.2861023185068375E-2</v>
      </c>
      <c r="K195" s="24">
        <f t="shared" si="33"/>
        <v>-0.90062932431660503</v>
      </c>
      <c r="L195" s="24" t="str">
        <f t="shared" si="34"/>
        <v/>
      </c>
      <c r="M195" s="24">
        <f t="shared" si="35"/>
        <v>1000000000</v>
      </c>
    </row>
    <row r="196" spans="1:13" x14ac:dyDescent="0.3">
      <c r="A196" s="24">
        <f t="shared" si="36"/>
        <v>1.6800000000000013</v>
      </c>
      <c r="B196" s="20">
        <f t="shared" si="26"/>
        <v>1008.0000000000008</v>
      </c>
      <c r="C196" s="20">
        <f t="shared" si="27"/>
        <v>600</v>
      </c>
      <c r="D196" s="24">
        <f t="shared" si="28"/>
        <v>3.1415926535897931</v>
      </c>
      <c r="E196" s="20">
        <f t="shared" si="29"/>
        <v>282743.3388230814</v>
      </c>
      <c r="F196" s="24">
        <f t="shared" si="30"/>
        <v>1</v>
      </c>
      <c r="G196" s="16">
        <f t="shared" si="31"/>
        <v>1.1707017644929472E-46</v>
      </c>
      <c r="H196" s="24">
        <f t="shared" si="32"/>
        <v>1.9511696074882452E-49</v>
      </c>
      <c r="I196" s="24" cm="1">
        <f t="array" ref="I196">_xlfn.LET(_xlpm.x,$B196,_xlpm.dep,$H$6:$H$29,_xlpm.e,IF(_xlpm.x&lt;=$C$5,$C$12*(_xlpm.x-_xlpm.dep)/_xlpm.x,$C$13*(_xlpm.x-_xlpm.dep)/(_xlpm.x-3*$C$5/7))/$C$14,_xlpm.s,(_xlpm.e&gt;=1)*1+(_xlpm.e&lt;=-1)*(-1)+(ABS(_xlpm.e)&lt;1)*_xlpm.e,AVERAGE(_xlpm.s))</f>
        <v>0.83406816453769672</v>
      </c>
      <c r="J196" s="24" cm="1">
        <f t="array" ref="J196">_xlfn.LET(_xlpm.x,$B196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4.2590797903378073E-2</v>
      </c>
      <c r="K196" s="24">
        <f t="shared" si="33"/>
        <v>-0.89962094132045978</v>
      </c>
      <c r="L196" s="24" t="str">
        <f t="shared" si="34"/>
        <v/>
      </c>
      <c r="M196" s="24">
        <f t="shared" si="35"/>
        <v>1000000000</v>
      </c>
    </row>
    <row r="197" spans="1:13" x14ac:dyDescent="0.3">
      <c r="A197" s="24">
        <f t="shared" si="36"/>
        <v>1.6900000000000013</v>
      </c>
      <c r="B197" s="20">
        <f t="shared" si="26"/>
        <v>1014.0000000000008</v>
      </c>
      <c r="C197" s="20">
        <f t="shared" si="27"/>
        <v>600</v>
      </c>
      <c r="D197" s="24">
        <f t="shared" si="28"/>
        <v>3.1415926535897931</v>
      </c>
      <c r="E197" s="20">
        <f t="shared" si="29"/>
        <v>282743.3388230814</v>
      </c>
      <c r="F197" s="24">
        <f t="shared" si="30"/>
        <v>1</v>
      </c>
      <c r="G197" s="16">
        <f t="shared" si="31"/>
        <v>1.1707017644929472E-46</v>
      </c>
      <c r="H197" s="24">
        <f t="shared" si="32"/>
        <v>1.9511696074882452E-49</v>
      </c>
      <c r="I197" s="24" cm="1">
        <f t="array" ref="I197">_xlfn.LET(_xlpm.x,$B197,_xlpm.dep,$H$6:$H$29,_xlpm.e,IF(_xlpm.x&lt;=$C$5,$C$12*(_xlpm.x-_xlpm.dep)/_xlpm.x,$C$13*(_xlpm.x-_xlpm.dep)/(_xlpm.x-3*$C$5/7))/$C$14,_xlpm.s,(_xlpm.e&gt;=1)*1+(_xlpm.e&lt;=-1)*(-1)+(ABS(_xlpm.e)&lt;1)*_xlpm.e,AVERAGE(_xlpm.s))</f>
        <v>0.83498721646095397</v>
      </c>
      <c r="J197" s="24" cm="1">
        <f t="array" ref="J197">_xlfn.LET(_xlpm.x,$B197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4.2324857054240037E-2</v>
      </c>
      <c r="K197" s="24">
        <f t="shared" si="33"/>
        <v>-0.89863074848873303</v>
      </c>
      <c r="L197" s="24" t="str">
        <f t="shared" si="34"/>
        <v/>
      </c>
      <c r="M197" s="24">
        <f t="shared" si="35"/>
        <v>1000000000</v>
      </c>
    </row>
    <row r="198" spans="1:13" x14ac:dyDescent="0.3">
      <c r="A198" s="24">
        <f t="shared" si="36"/>
        <v>1.7000000000000013</v>
      </c>
      <c r="B198" s="20">
        <f t="shared" si="26"/>
        <v>1020.0000000000008</v>
      </c>
      <c r="C198" s="20">
        <f t="shared" si="27"/>
        <v>600</v>
      </c>
      <c r="D198" s="24">
        <f t="shared" si="28"/>
        <v>3.1415926535897931</v>
      </c>
      <c r="E198" s="20">
        <f t="shared" si="29"/>
        <v>282743.3388230814</v>
      </c>
      <c r="F198" s="24">
        <f t="shared" si="30"/>
        <v>1</v>
      </c>
      <c r="G198" s="16">
        <f t="shared" si="31"/>
        <v>1.1707017644929472E-46</v>
      </c>
      <c r="H198" s="24">
        <f t="shared" si="32"/>
        <v>1.9511696074882452E-49</v>
      </c>
      <c r="I198" s="24" cm="1">
        <f t="array" ref="I198">_xlfn.LET(_xlpm.x,$B198,_xlpm.dep,$H$6:$H$29,_xlpm.e,IF(_xlpm.x&lt;=$C$5,$C$12*(_xlpm.x-_xlpm.dep)/_xlpm.x,$C$13*(_xlpm.x-_xlpm.dep)/(_xlpm.x-3*$C$5/7))/$C$14,_xlpm.s,(_xlpm.e&gt;=1)*1+(_xlpm.e&lt;=-1)*(-1)+(ABS(_xlpm.e)&lt;1)*_xlpm.e,AVERAGE(_xlpm.s))</f>
        <v>0.83589181138766566</v>
      </c>
      <c r="J198" s="24" cm="1">
        <f t="array" ref="J198">_xlfn.LET(_xlpm.x,$B198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4.2063099544301916E-2</v>
      </c>
      <c r="K198" s="24">
        <f t="shared" si="33"/>
        <v>-0.89765825802406329</v>
      </c>
      <c r="L198" s="24" t="str">
        <f t="shared" si="34"/>
        <v/>
      </c>
      <c r="M198" s="24">
        <f t="shared" si="35"/>
        <v>1000000000</v>
      </c>
    </row>
    <row r="199" spans="1:13" x14ac:dyDescent="0.3">
      <c r="A199" s="24">
        <f t="shared" si="36"/>
        <v>1.7100000000000013</v>
      </c>
      <c r="B199" s="20">
        <f t="shared" si="26"/>
        <v>1026.0000000000007</v>
      </c>
      <c r="C199" s="20">
        <f t="shared" si="27"/>
        <v>600</v>
      </c>
      <c r="D199" s="24">
        <f t="shared" si="28"/>
        <v>3.1415926535897931</v>
      </c>
      <c r="E199" s="20">
        <f t="shared" si="29"/>
        <v>282743.3388230814</v>
      </c>
      <c r="F199" s="24">
        <f t="shared" si="30"/>
        <v>1</v>
      </c>
      <c r="G199" s="16">
        <f t="shared" si="31"/>
        <v>1.1707017644929472E-46</v>
      </c>
      <c r="H199" s="24">
        <f t="shared" si="32"/>
        <v>1.9511696074882452E-49</v>
      </c>
      <c r="I199" s="24" cm="1">
        <f t="array" ref="I199">_xlfn.LET(_xlpm.x,$B199,_xlpm.dep,$H$6:$H$29,_xlpm.e,IF(_xlpm.x&lt;=$C$5,$C$12*(_xlpm.x-_xlpm.dep)/_xlpm.x,$C$13*(_xlpm.x-_xlpm.dep)/(_xlpm.x-3*$C$5/7))/$C$14,_xlpm.s,(_xlpm.e&gt;=1)*1+(_xlpm.e&lt;=-1)*(-1)+(ABS(_xlpm.e)&lt;1)*_xlpm.e,AVERAGE(_xlpm.s))</f>
        <v>0.83678228777594477</v>
      </c>
      <c r="J199" s="24" cm="1">
        <f t="array" ref="J199">_xlfn.LET(_xlpm.x,$B199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4.1805427435856725E-2</v>
      </c>
      <c r="K199" s="24">
        <f t="shared" si="33"/>
        <v>-0.89670299941595066</v>
      </c>
      <c r="L199" s="24" t="str">
        <f t="shared" si="34"/>
        <v/>
      </c>
      <c r="M199" s="24">
        <f t="shared" si="35"/>
        <v>1000000000</v>
      </c>
    </row>
    <row r="200" spans="1:13" x14ac:dyDescent="0.3">
      <c r="A200" s="24">
        <f t="shared" si="36"/>
        <v>1.7200000000000013</v>
      </c>
      <c r="B200" s="20">
        <f t="shared" si="26"/>
        <v>1032.0000000000007</v>
      </c>
      <c r="C200" s="20">
        <f t="shared" si="27"/>
        <v>600</v>
      </c>
      <c r="D200" s="24">
        <f t="shared" si="28"/>
        <v>3.1415926535897931</v>
      </c>
      <c r="E200" s="20">
        <f t="shared" si="29"/>
        <v>282743.3388230814</v>
      </c>
      <c r="F200" s="24">
        <f t="shared" si="30"/>
        <v>1</v>
      </c>
      <c r="G200" s="16">
        <f t="shared" si="31"/>
        <v>1.1707017644929472E-46</v>
      </c>
      <c r="H200" s="24">
        <f t="shared" si="32"/>
        <v>1.9511696074882452E-49</v>
      </c>
      <c r="I200" s="24" cm="1">
        <f t="array" ref="I200">_xlfn.LET(_xlpm.x,$B200,_xlpm.dep,$H$6:$H$29,_xlpm.e,IF(_xlpm.x&lt;=$C$5,$C$12*(_xlpm.x-_xlpm.dep)/_xlpm.x,$C$13*(_xlpm.x-_xlpm.dep)/(_xlpm.x-3*$C$5/7))/$C$14,_xlpm.s,(_xlpm.e&gt;=1)*1+(_xlpm.e&lt;=-1)*(-1)+(ABS(_xlpm.e)&lt;1)*_xlpm.e,AVERAGE(_xlpm.s))</f>
        <v>0.83765897360068864</v>
      </c>
      <c r="J200" s="24" cm="1">
        <f t="array" ref="J200">_xlfn.LET(_xlpm.x,$B200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4.1551745824666197E-2</v>
      </c>
      <c r="K200" s="24">
        <f t="shared" si="33"/>
        <v>-0.89576451868170381</v>
      </c>
      <c r="L200" s="24" t="str">
        <f t="shared" si="34"/>
        <v/>
      </c>
      <c r="M200" s="24">
        <f t="shared" si="35"/>
        <v>1000000000</v>
      </c>
    </row>
    <row r="201" spans="1:13" x14ac:dyDescent="0.3">
      <c r="A201" s="24">
        <f t="shared" si="36"/>
        <v>1.7300000000000013</v>
      </c>
      <c r="B201" s="20">
        <f t="shared" si="26"/>
        <v>1038.0000000000007</v>
      </c>
      <c r="C201" s="20">
        <f t="shared" si="27"/>
        <v>600</v>
      </c>
      <c r="D201" s="24">
        <f t="shared" si="28"/>
        <v>3.1415926535897931</v>
      </c>
      <c r="E201" s="20">
        <f t="shared" si="29"/>
        <v>282743.3388230814</v>
      </c>
      <c r="F201" s="24">
        <f t="shared" si="30"/>
        <v>1</v>
      </c>
      <c r="G201" s="16">
        <f t="shared" si="31"/>
        <v>1.1707017644929472E-46</v>
      </c>
      <c r="H201" s="24">
        <f t="shared" si="32"/>
        <v>1.9511696074882452E-49</v>
      </c>
      <c r="I201" s="24" cm="1">
        <f t="array" ref="I201">_xlfn.LET(_xlpm.x,$B201,_xlpm.dep,$H$6:$H$29,_xlpm.e,IF(_xlpm.x&lt;=$C$5,$C$12*(_xlpm.x-_xlpm.dep)/_xlpm.x,$C$13*(_xlpm.x-_xlpm.dep)/(_xlpm.x-3*$C$5/7))/$C$14,_xlpm.s,(_xlpm.e&gt;=1)*1+(_xlpm.e&lt;=-1)*(-1)+(ABS(_xlpm.e)&lt;1)*_xlpm.e,AVERAGE(_xlpm.s))</f>
        <v>0.83852218675633639</v>
      </c>
      <c r="J201" s="24" cm="1">
        <f t="array" ref="J201">_xlfn.LET(_xlpm.x,$B201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4.1301962723417136E-2</v>
      </c>
      <c r="K201" s="24">
        <f t="shared" si="33"/>
        <v>-0.89484237764703467</v>
      </c>
      <c r="L201" s="24" t="str">
        <f t="shared" si="34"/>
        <v/>
      </c>
      <c r="M201" s="24">
        <f t="shared" si="35"/>
        <v>1000000000</v>
      </c>
    </row>
    <row r="202" spans="1:13" x14ac:dyDescent="0.3">
      <c r="A202" s="24">
        <f t="shared" si="36"/>
        <v>1.7400000000000013</v>
      </c>
      <c r="B202" s="20">
        <f t="shared" si="26"/>
        <v>1044.0000000000007</v>
      </c>
      <c r="C202" s="20">
        <f t="shared" si="27"/>
        <v>600</v>
      </c>
      <c r="D202" s="24">
        <f t="shared" si="28"/>
        <v>3.1415926535897931</v>
      </c>
      <c r="E202" s="20">
        <f t="shared" si="29"/>
        <v>282743.3388230814</v>
      </c>
      <c r="F202" s="24">
        <f t="shared" si="30"/>
        <v>1</v>
      </c>
      <c r="G202" s="16">
        <f t="shared" si="31"/>
        <v>1.1707017644929472E-46</v>
      </c>
      <c r="H202" s="24">
        <f t="shared" si="32"/>
        <v>1.9511696074882452E-49</v>
      </c>
      <c r="I202" s="24" cm="1">
        <f t="array" ref="I202">_xlfn.LET(_xlpm.x,$B202,_xlpm.dep,$H$6:$H$29,_xlpm.e,IF(_xlpm.x&lt;=$C$5,$C$12*(_xlpm.x-_xlpm.dep)/_xlpm.x,$C$13*(_xlpm.x-_xlpm.dep)/(_xlpm.x-3*$C$5/7))/$C$14,_xlpm.s,(_xlpm.e&gt;=1)*1+(_xlpm.e&lt;=-1)*(-1)+(ABS(_xlpm.e)&lt;1)*_xlpm.e,AVERAGE(_xlpm.s))</f>
        <v>0.83937223544120076</v>
      </c>
      <c r="J202" s="24" cm="1">
        <f t="array" ref="J202">_xlfn.LET(_xlpm.x,$B202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4.1055988950509568E-2</v>
      </c>
      <c r="K202" s="24">
        <f t="shared" si="33"/>
        <v>-0.89393615326390385</v>
      </c>
      <c r="L202" s="24" t="str">
        <f t="shared" si="34"/>
        <v/>
      </c>
      <c r="M202" s="24">
        <f t="shared" si="35"/>
        <v>1000000000</v>
      </c>
    </row>
    <row r="203" spans="1:13" x14ac:dyDescent="0.3">
      <c r="A203" s="24">
        <f t="shared" si="36"/>
        <v>1.7500000000000013</v>
      </c>
      <c r="B203" s="20">
        <f t="shared" si="26"/>
        <v>1050.0000000000009</v>
      </c>
      <c r="C203" s="20">
        <f t="shared" si="27"/>
        <v>600</v>
      </c>
      <c r="D203" s="24">
        <f t="shared" si="28"/>
        <v>3.1415926535897931</v>
      </c>
      <c r="E203" s="20">
        <f t="shared" si="29"/>
        <v>282743.3388230814</v>
      </c>
      <c r="F203" s="24">
        <f t="shared" si="30"/>
        <v>1</v>
      </c>
      <c r="G203" s="16">
        <f t="shared" si="31"/>
        <v>1.1707017644929472E-46</v>
      </c>
      <c r="H203" s="24">
        <f t="shared" si="32"/>
        <v>1.9511696074882452E-49</v>
      </c>
      <c r="I203" s="24" cm="1">
        <f t="array" ref="I203">_xlfn.LET(_xlpm.x,$B203,_xlpm.dep,$H$6:$H$29,_xlpm.e,IF(_xlpm.x&lt;=$C$5,$C$12*(_xlpm.x-_xlpm.dep)/_xlpm.x,$C$13*(_xlpm.x-_xlpm.dep)/(_xlpm.x-3*$C$5/7))/$C$14,_xlpm.s,(_xlpm.e&gt;=1)*1+(_xlpm.e&lt;=-1)*(-1)+(ABS(_xlpm.e)&lt;1)*_xlpm.e,AVERAGE(_xlpm.s))</f>
        <v>0.84020941852434861</v>
      </c>
      <c r="J203" s="24" cm="1">
        <f t="array" ref="J203">_xlfn.LET(_xlpm.x,$B203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4.0813738023894625E-2</v>
      </c>
      <c r="K203" s="24">
        <f t="shared" si="33"/>
        <v>-0.89304543696338778</v>
      </c>
      <c r="L203" s="24" t="str">
        <f t="shared" si="34"/>
        <v/>
      </c>
      <c r="M203" s="24">
        <f t="shared" si="35"/>
        <v>1000000000</v>
      </c>
    </row>
    <row r="204" spans="1:13" x14ac:dyDescent="0.3">
      <c r="A204" s="24">
        <f t="shared" si="36"/>
        <v>1.7600000000000013</v>
      </c>
      <c r="B204" s="20">
        <f t="shared" si="26"/>
        <v>1056.0000000000009</v>
      </c>
      <c r="C204" s="20">
        <f t="shared" si="27"/>
        <v>600</v>
      </c>
      <c r="D204" s="24">
        <f t="shared" si="28"/>
        <v>3.1415926535897931</v>
      </c>
      <c r="E204" s="20">
        <f t="shared" si="29"/>
        <v>282743.3388230814</v>
      </c>
      <c r="F204" s="24">
        <f t="shared" si="30"/>
        <v>1</v>
      </c>
      <c r="G204" s="16">
        <f t="shared" si="31"/>
        <v>1.1707017644929472E-46</v>
      </c>
      <c r="H204" s="24">
        <f t="shared" si="32"/>
        <v>1.9511696074882452E-49</v>
      </c>
      <c r="I204" s="24" cm="1">
        <f t="array" ref="I204">_xlfn.LET(_xlpm.x,$B204,_xlpm.dep,$H$6:$H$29,_xlpm.e,IF(_xlpm.x&lt;=$C$5,$C$12*(_xlpm.x-_xlpm.dep)/_xlpm.x,$C$13*(_xlpm.x-_xlpm.dep)/(_xlpm.x-3*$C$5/7))/$C$14,_xlpm.s,(_xlpm.e&gt;=1)*1+(_xlpm.e&lt;=-1)*(-1)+(ABS(_xlpm.e)&lt;1)*_xlpm.e,AVERAGE(_xlpm.s))</f>
        <v>0.84103402589594678</v>
      </c>
      <c r="J204" s="24" cm="1">
        <f t="array" ref="J204">_xlfn.LET(_xlpm.x,$B204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4.0575126059696674E-2</v>
      </c>
      <c r="K204" s="24">
        <f t="shared" si="33"/>
        <v>-0.89216983404148742</v>
      </c>
      <c r="L204" s="24" t="str">
        <f t="shared" si="34"/>
        <v/>
      </c>
      <c r="M204" s="24">
        <f t="shared" si="35"/>
        <v>1000000000</v>
      </c>
    </row>
    <row r="205" spans="1:13" x14ac:dyDescent="0.3">
      <c r="A205" s="24">
        <f t="shared" si="36"/>
        <v>1.7700000000000014</v>
      </c>
      <c r="B205" s="20">
        <f t="shared" si="26"/>
        <v>1062.0000000000009</v>
      </c>
      <c r="C205" s="20">
        <f t="shared" si="27"/>
        <v>600</v>
      </c>
      <c r="D205" s="24">
        <f t="shared" si="28"/>
        <v>3.1415926535897931</v>
      </c>
      <c r="E205" s="20">
        <f t="shared" si="29"/>
        <v>282743.3388230814</v>
      </c>
      <c r="F205" s="24">
        <f t="shared" si="30"/>
        <v>1</v>
      </c>
      <c r="G205" s="16">
        <f t="shared" si="31"/>
        <v>1.1707017644929472E-46</v>
      </c>
      <c r="H205" s="24">
        <f t="shared" si="32"/>
        <v>1.9511696074882452E-49</v>
      </c>
      <c r="I205" s="24" cm="1">
        <f t="array" ref="I205">_xlfn.LET(_xlpm.x,$B205,_xlpm.dep,$H$6:$H$29,_xlpm.e,IF(_xlpm.x&lt;=$C$5,$C$12*(_xlpm.x-_xlpm.dep)/_xlpm.x,$C$13*(_xlpm.x-_xlpm.dep)/(_xlpm.x-3*$C$5/7))/$C$14,_xlpm.s,(_xlpm.e&gt;=1)*1+(_xlpm.e&lt;=-1)*(-1)+(ABS(_xlpm.e)&lt;1)*_xlpm.e,AVERAGE(_xlpm.s))</f>
        <v>0.84184633880194093</v>
      </c>
      <c r="J205" s="24" cm="1">
        <f t="array" ref="J205">_xlfn.LET(_xlpm.x,$B205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4.0340071675369599E-2</v>
      </c>
      <c r="K205" s="24">
        <f t="shared" si="33"/>
        <v>-0.89130896307593577</v>
      </c>
      <c r="L205" s="24" t="str">
        <f t="shared" si="34"/>
        <v/>
      </c>
      <c r="M205" s="24">
        <f t="shared" si="35"/>
        <v>1000000000</v>
      </c>
    </row>
    <row r="206" spans="1:13" x14ac:dyDescent="0.3">
      <c r="A206" s="24">
        <f t="shared" si="36"/>
        <v>1.7800000000000014</v>
      </c>
      <c r="B206" s="20">
        <f t="shared" si="26"/>
        <v>1068.0000000000009</v>
      </c>
      <c r="C206" s="20">
        <f t="shared" si="27"/>
        <v>600</v>
      </c>
      <c r="D206" s="24">
        <f t="shared" si="28"/>
        <v>3.1415926535897931</v>
      </c>
      <c r="E206" s="20">
        <f t="shared" si="29"/>
        <v>282743.3388230814</v>
      </c>
      <c r="F206" s="24">
        <f t="shared" si="30"/>
        <v>1</v>
      </c>
      <c r="G206" s="16">
        <f t="shared" si="31"/>
        <v>1.1707017644929472E-46</v>
      </c>
      <c r="H206" s="24">
        <f t="shared" si="32"/>
        <v>1.9511696074882452E-49</v>
      </c>
      <c r="I206" s="24" cm="1">
        <f t="array" ref="I206">_xlfn.LET(_xlpm.x,$B206,_xlpm.dep,$H$6:$H$29,_xlpm.e,IF(_xlpm.x&lt;=$C$5,$C$12*(_xlpm.x-_xlpm.dep)/_xlpm.x,$C$13*(_xlpm.x-_xlpm.dep)/(_xlpm.x-3*$C$5/7))/$C$14,_xlpm.s,(_xlpm.e&gt;=1)*1+(_xlpm.e&lt;=-1)*(-1)+(ABS(_xlpm.e)&lt;1)*_xlpm.e,AVERAGE(_xlpm.s))</f>
        <v>0.84264663016387154</v>
      </c>
      <c r="J206" s="24" cm="1">
        <f t="array" ref="J206">_xlfn.LET(_xlpm.x,$B206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4.0108495897153089E-2</v>
      </c>
      <c r="K206" s="24">
        <f t="shared" si="33"/>
        <v>-0.89046245537219959</v>
      </c>
      <c r="L206" s="24" t="str">
        <f t="shared" si="34"/>
        <v/>
      </c>
      <c r="M206" s="24">
        <f t="shared" si="35"/>
        <v>1000000000</v>
      </c>
    </row>
    <row r="207" spans="1:13" x14ac:dyDescent="0.3">
      <c r="A207" s="24">
        <f t="shared" si="36"/>
        <v>1.7900000000000014</v>
      </c>
      <c r="B207" s="20">
        <f t="shared" si="26"/>
        <v>1074.0000000000009</v>
      </c>
      <c r="C207" s="20">
        <f t="shared" si="27"/>
        <v>600</v>
      </c>
      <c r="D207" s="24">
        <f t="shared" si="28"/>
        <v>3.1415926535897931</v>
      </c>
      <c r="E207" s="20">
        <f t="shared" si="29"/>
        <v>282743.3388230814</v>
      </c>
      <c r="F207" s="24">
        <f t="shared" si="30"/>
        <v>1</v>
      </c>
      <c r="G207" s="16">
        <f t="shared" si="31"/>
        <v>1.1707017644929472E-46</v>
      </c>
      <c r="H207" s="24">
        <f t="shared" si="32"/>
        <v>1.9511696074882452E-49</v>
      </c>
      <c r="I207" s="24" cm="1">
        <f t="array" ref="I207">_xlfn.LET(_xlpm.x,$B207,_xlpm.dep,$H$6:$H$29,_xlpm.e,IF(_xlpm.x&lt;=$C$5,$C$12*(_xlpm.x-_xlpm.dep)/_xlpm.x,$C$13*(_xlpm.x-_xlpm.dep)/(_xlpm.x-3*$C$5/7))/$C$14,_xlpm.s,(_xlpm.e&gt;=1)*1+(_xlpm.e&lt;=-1)*(-1)+(ABS(_xlpm.e)&lt;1)*_xlpm.e,AVERAGE(_xlpm.s))</f>
        <v>0.84343516488459847</v>
      </c>
      <c r="J207" s="24" cm="1">
        <f t="array" ref="J207">_xlfn.LET(_xlpm.x,$B207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3.9880322071607119E-2</v>
      </c>
      <c r="K207" s="24">
        <f t="shared" si="33"/>
        <v>-0.88962995443697857</v>
      </c>
      <c r="L207" s="24" t="str">
        <f t="shared" si="34"/>
        <v/>
      </c>
      <c r="M207" s="24">
        <f t="shared" si="35"/>
        <v>1000000000</v>
      </c>
    </row>
    <row r="208" spans="1:13" x14ac:dyDescent="0.3">
      <c r="A208" s="24">
        <f t="shared" si="36"/>
        <v>1.8000000000000014</v>
      </c>
      <c r="B208" s="20">
        <f t="shared" si="26"/>
        <v>1080.0000000000009</v>
      </c>
      <c r="C208" s="20">
        <f t="shared" si="27"/>
        <v>600</v>
      </c>
      <c r="D208" s="24">
        <f t="shared" si="28"/>
        <v>3.1415926535897931</v>
      </c>
      <c r="E208" s="20">
        <f t="shared" si="29"/>
        <v>282743.3388230814</v>
      </c>
      <c r="F208" s="24">
        <f t="shared" si="30"/>
        <v>1</v>
      </c>
      <c r="G208" s="16">
        <f t="shared" si="31"/>
        <v>1.1707017644929472E-46</v>
      </c>
      <c r="H208" s="24">
        <f t="shared" si="32"/>
        <v>1.9511696074882452E-49</v>
      </c>
      <c r="I208" s="24" cm="1">
        <f t="array" ref="I208">_xlfn.LET(_xlpm.x,$B208,_xlpm.dep,$H$6:$H$29,_xlpm.e,IF(_xlpm.x&lt;=$C$5,$C$12*(_xlpm.x-_xlpm.dep)/_xlpm.x,$C$13*(_xlpm.x-_xlpm.dep)/(_xlpm.x-3*$C$5/7))/$C$14,_xlpm.s,(_xlpm.e&gt;=1)*1+(_xlpm.e&lt;=-1)*(-1)+(ABS(_xlpm.e)&lt;1)*_xlpm.e,AVERAGE(_xlpm.s))</f>
        <v>0.84421220014064835</v>
      </c>
      <c r="J208" s="24" cm="1">
        <f t="array" ref="J208">_xlfn.LET(_xlpm.x,$B208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3.9655475781017031E-2</v>
      </c>
      <c r="K208" s="24">
        <f t="shared" si="33"/>
        <v>-0.88881111547762637</v>
      </c>
      <c r="L208" s="24" t="str">
        <f t="shared" si="34"/>
        <v/>
      </c>
      <c r="M208" s="24">
        <f t="shared" si="35"/>
        <v>1000000000</v>
      </c>
    </row>
    <row r="209" spans="1:13" x14ac:dyDescent="0.3">
      <c r="A209" s="24">
        <f t="shared" si="36"/>
        <v>1.8100000000000014</v>
      </c>
      <c r="B209" s="20">
        <f t="shared" si="26"/>
        <v>1086.0000000000009</v>
      </c>
      <c r="C209" s="20">
        <f t="shared" si="27"/>
        <v>600</v>
      </c>
      <c r="D209" s="24">
        <f t="shared" si="28"/>
        <v>3.1415926535897931</v>
      </c>
      <c r="E209" s="20">
        <f t="shared" si="29"/>
        <v>282743.3388230814</v>
      </c>
      <c r="F209" s="24">
        <f t="shared" si="30"/>
        <v>1</v>
      </c>
      <c r="G209" s="16">
        <f t="shared" si="31"/>
        <v>1.1707017644929472E-46</v>
      </c>
      <c r="H209" s="24">
        <f t="shared" si="32"/>
        <v>1.9511696074882452E-49</v>
      </c>
      <c r="I209" s="24" cm="1">
        <f t="array" ref="I209">_xlfn.LET(_xlpm.x,$B209,_xlpm.dep,$H$6:$H$29,_xlpm.e,IF(_xlpm.x&lt;=$C$5,$C$12*(_xlpm.x-_xlpm.dep)/_xlpm.x,$C$13*(_xlpm.x-_xlpm.dep)/(_xlpm.x-3*$C$5/7))/$C$14,_xlpm.s,(_xlpm.e&gt;=1)*1+(_xlpm.e&lt;=-1)*(-1)+(ABS(_xlpm.e)&lt;1)*_xlpm.e,AVERAGE(_xlpm.s))</f>
        <v>0.84497798566186377</v>
      </c>
      <c r="J209" s="24" cm="1">
        <f t="array" ref="J209">_xlfn.LET(_xlpm.x,$B209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3.9433884762472712E-2</v>
      </c>
      <c r="K209" s="24">
        <f t="shared" si="33"/>
        <v>-0.88800560492601721</v>
      </c>
      <c r="L209" s="24" t="str">
        <f t="shared" si="34"/>
        <v/>
      </c>
      <c r="M209" s="24">
        <f t="shared" si="35"/>
        <v>1000000000</v>
      </c>
    </row>
    <row r="210" spans="1:13" x14ac:dyDescent="0.3">
      <c r="A210" s="24">
        <f t="shared" si="36"/>
        <v>1.8200000000000014</v>
      </c>
      <c r="B210" s="20">
        <f t="shared" si="26"/>
        <v>1092.0000000000009</v>
      </c>
      <c r="C210" s="20">
        <f t="shared" si="27"/>
        <v>600</v>
      </c>
      <c r="D210" s="24">
        <f t="shared" si="28"/>
        <v>3.1415926535897931</v>
      </c>
      <c r="E210" s="20">
        <f t="shared" si="29"/>
        <v>282743.3388230814</v>
      </c>
      <c r="F210" s="24">
        <f t="shared" si="30"/>
        <v>1</v>
      </c>
      <c r="G210" s="16">
        <f t="shared" si="31"/>
        <v>1.1707017644929472E-46</v>
      </c>
      <c r="H210" s="24">
        <f t="shared" si="32"/>
        <v>1.9511696074882452E-49</v>
      </c>
      <c r="I210" s="24" cm="1">
        <f t="array" ref="I210">_xlfn.LET(_xlpm.x,$B210,_xlpm.dep,$H$6:$H$29,_xlpm.e,IF(_xlpm.x&lt;=$C$5,$C$12*(_xlpm.x-_xlpm.dep)/_xlpm.x,$C$13*(_xlpm.x-_xlpm.dep)/(_xlpm.x-3*$C$5/7))/$C$14,_xlpm.s,(_xlpm.e&gt;=1)*1+(_xlpm.e&lt;=-1)*(-1)+(ABS(_xlpm.e)&lt;1)*_xlpm.e,AVERAGE(_xlpm.s))</f>
        <v>0.84569112585160866</v>
      </c>
      <c r="J210" s="24" cm="1">
        <f t="array" ref="J210">_xlfn.LET(_xlpm.x,$B210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3.9207498185521272E-2</v>
      </c>
      <c r="K210" s="24">
        <f t="shared" si="33"/>
        <v>-0.88725678249400486</v>
      </c>
      <c r="L210" s="24" t="str">
        <f t="shared" si="34"/>
        <v/>
      </c>
      <c r="M210" s="24">
        <f t="shared" si="35"/>
        <v>1000000000</v>
      </c>
    </row>
    <row r="211" spans="1:13" x14ac:dyDescent="0.3">
      <c r="A211" s="24">
        <f t="shared" si="36"/>
        <v>1.8300000000000014</v>
      </c>
      <c r="B211" s="20">
        <f t="shared" si="26"/>
        <v>1098.0000000000009</v>
      </c>
      <c r="C211" s="20">
        <f t="shared" si="27"/>
        <v>600</v>
      </c>
      <c r="D211" s="24">
        <f t="shared" si="28"/>
        <v>3.1415926535897931</v>
      </c>
      <c r="E211" s="20">
        <f t="shared" si="29"/>
        <v>282743.3388230814</v>
      </c>
      <c r="F211" s="24">
        <f t="shared" si="30"/>
        <v>1</v>
      </c>
      <c r="G211" s="16">
        <f t="shared" si="31"/>
        <v>1.1707017644929472E-46</v>
      </c>
      <c r="H211" s="24">
        <f t="shared" si="32"/>
        <v>1.9511696074882452E-49</v>
      </c>
      <c r="I211" s="24" cm="1">
        <f t="array" ref="I211">_xlfn.LET(_xlpm.x,$B211,_xlpm.dep,$H$6:$H$29,_xlpm.e,IF(_xlpm.x&lt;=$C$5,$C$12*(_xlpm.x-_xlpm.dep)/_xlpm.x,$C$13*(_xlpm.x-_xlpm.dep)/(_xlpm.x-3*$C$5/7))/$C$14,_xlpm.s,(_xlpm.e&gt;=1)*1+(_xlpm.e&lt;=-1)*(-1)+(ABS(_xlpm.e)&lt;1)*_xlpm.e,AVERAGE(_xlpm.s))</f>
        <v>0.84638785923832838</v>
      </c>
      <c r="J211" s="24" cm="1">
        <f t="array" ref="J211">_xlfn.LET(_xlpm.x,$B211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3.8983148423841013E-2</v>
      </c>
      <c r="K211" s="24">
        <f t="shared" si="33"/>
        <v>-0.88652640644216341</v>
      </c>
      <c r="L211" s="24" t="str">
        <f t="shared" si="34"/>
        <v/>
      </c>
      <c r="M211" s="24">
        <f t="shared" si="35"/>
        <v>1000000000</v>
      </c>
    </row>
    <row r="212" spans="1:13" x14ac:dyDescent="0.3">
      <c r="A212" s="24">
        <f t="shared" si="36"/>
        <v>1.8400000000000014</v>
      </c>
      <c r="B212" s="20">
        <f t="shared" si="26"/>
        <v>1104.0000000000009</v>
      </c>
      <c r="C212" s="20">
        <f t="shared" si="27"/>
        <v>600</v>
      </c>
      <c r="D212" s="24">
        <f t="shared" si="28"/>
        <v>3.1415926535897931</v>
      </c>
      <c r="E212" s="20">
        <f t="shared" si="29"/>
        <v>282743.3388230814</v>
      </c>
      <c r="F212" s="24">
        <f t="shared" si="30"/>
        <v>1</v>
      </c>
      <c r="G212" s="16">
        <f t="shared" si="31"/>
        <v>1.1707017644929472E-46</v>
      </c>
      <c r="H212" s="24">
        <f t="shared" si="32"/>
        <v>1.9511696074882452E-49</v>
      </c>
      <c r="I212" s="24" cm="1">
        <f t="array" ref="I212">_xlfn.LET(_xlpm.x,$B212,_xlpm.dep,$H$6:$H$29,_xlpm.e,IF(_xlpm.x&lt;=$C$5,$C$12*(_xlpm.x-_xlpm.dep)/_xlpm.x,$C$13*(_xlpm.x-_xlpm.dep)/(_xlpm.x-3*$C$5/7))/$C$14,_xlpm.s,(_xlpm.e&gt;=1)*1+(_xlpm.e&lt;=-1)*(-1)+(ABS(_xlpm.e)&lt;1)*_xlpm.e,AVERAGE(_xlpm.s))</f>
        <v>0.84707471988475058</v>
      </c>
      <c r="J212" s="24" cm="1">
        <f t="array" ref="J212">_xlfn.LET(_xlpm.x,$B212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3.8761977707366772E-2</v>
      </c>
      <c r="K212" s="24">
        <f t="shared" si="33"/>
        <v>-0.88580755592484173</v>
      </c>
      <c r="L212" s="24" t="str">
        <f t="shared" si="34"/>
        <v/>
      </c>
      <c r="M212" s="24">
        <f t="shared" si="35"/>
        <v>1000000000</v>
      </c>
    </row>
  </sheetData>
  <mergeCells count="1">
    <mergeCell ref="A2:M2"/>
  </mergeCells>
  <conditionalFormatting sqref="C27">
    <cfRule type="containsText" dxfId="101" priority="1" operator="containsText" text="AUSSERHALB DES GÜLTIGKEITSBEREICHS">
      <formula>NOT(ISERROR(SEARCH("AUSSERHALB DES GÜLTIGKEITSBEREICHS",C27)))</formula>
    </cfRule>
    <cfRule type="containsText" dxfId="100" priority="2" operator="containsText" text="OK">
      <formula>NOT(ISERROR(SEARCH("OK",C27)))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8685-FAD2-49CD-822D-151C4C26345B}">
  <sheetPr>
    <tabColor rgb="FFC00000"/>
  </sheetPr>
  <dimension ref="A1:M212"/>
  <sheetViews>
    <sheetView workbookViewId="0">
      <selection activeCell="C17" sqref="C17"/>
    </sheetView>
  </sheetViews>
  <sheetFormatPr defaultRowHeight="14.4" x14ac:dyDescent="0.3"/>
  <cols>
    <col min="1" max="1" width="53.33203125" customWidth="1"/>
    <col min="2" max="2" width="15.33203125" customWidth="1"/>
    <col min="3" max="3" width="18.109375" customWidth="1"/>
    <col min="4" max="4" width="10.44140625" customWidth="1"/>
    <col min="5" max="5" width="3.88671875" customWidth="1"/>
    <col min="6" max="9" width="14.33203125" customWidth="1"/>
    <col min="10" max="10" width="3.88671875" customWidth="1"/>
    <col min="11" max="11" width="34.33203125" customWidth="1"/>
    <col min="12" max="13" width="17.109375" customWidth="1"/>
  </cols>
  <sheetData>
    <row r="1" spans="1:13" ht="17.399999999999999" x14ac:dyDescent="0.35">
      <c r="A1" s="35" t="s">
        <v>1290</v>
      </c>
    </row>
    <row r="2" spans="1:13" ht="42" customHeight="1" x14ac:dyDescent="0.3">
      <c r="A2" s="78" t="s">
        <v>509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4" spans="1:13" x14ac:dyDescent="0.3">
      <c r="A4" s="4" t="s">
        <v>1249</v>
      </c>
      <c r="B4" s="4"/>
      <c r="C4" s="4"/>
      <c r="D4" s="4"/>
      <c r="F4" s="4" t="s">
        <v>519</v>
      </c>
      <c r="G4" s="4"/>
      <c r="H4" s="4"/>
      <c r="I4" s="4"/>
    </row>
    <row r="5" spans="1:13" x14ac:dyDescent="0.3">
      <c r="A5" t="s">
        <v>511</v>
      </c>
      <c r="B5" t="s">
        <v>169</v>
      </c>
      <c r="C5" s="37">
        <f>Pfahl_2025!C9</f>
        <v>600</v>
      </c>
      <c r="D5" t="s">
        <v>21</v>
      </c>
      <c r="F5" s="5" t="s">
        <v>113</v>
      </c>
      <c r="G5" s="5" t="s">
        <v>181</v>
      </c>
      <c r="H5" s="5" t="s">
        <v>182</v>
      </c>
      <c r="I5" s="5" t="s">
        <v>183</v>
      </c>
    </row>
    <row r="6" spans="1:13" x14ac:dyDescent="0.3">
      <c r="A6" t="s">
        <v>512</v>
      </c>
      <c r="B6" t="s">
        <v>95</v>
      </c>
      <c r="C6" s="37">
        <f>Pfahl_2025!C36</f>
        <v>70</v>
      </c>
      <c r="D6" t="s">
        <v>21</v>
      </c>
      <c r="F6">
        <v>1</v>
      </c>
      <c r="G6" s="16">
        <f>(F6-1)*360/$C$17</f>
        <v>0</v>
      </c>
      <c r="H6" s="16">
        <f>$C$7-$C$8*COS(RADIANS(G6))</f>
        <v>70</v>
      </c>
      <c r="I6" s="16">
        <f>$C$7-H6</f>
        <v>230</v>
      </c>
    </row>
    <row r="7" spans="1:13" x14ac:dyDescent="0.3">
      <c r="A7" t="s">
        <v>399</v>
      </c>
      <c r="B7" t="s">
        <v>90</v>
      </c>
      <c r="C7" s="37">
        <f>C5/2</f>
        <v>300</v>
      </c>
      <c r="D7" t="s">
        <v>21</v>
      </c>
      <c r="F7">
        <f>F6+1</f>
        <v>2</v>
      </c>
      <c r="G7" s="16">
        <f>(F7-1)*360/$C$17</f>
        <v>15</v>
      </c>
      <c r="H7" s="16">
        <f>$C$7-$C$8*COS(RADIANS(G7))</f>
        <v>77.837059953514284</v>
      </c>
      <c r="I7" s="16">
        <f>$C$7-H7</f>
        <v>222.16294004648572</v>
      </c>
    </row>
    <row r="8" spans="1:13" x14ac:dyDescent="0.3">
      <c r="A8" t="s">
        <v>513</v>
      </c>
      <c r="B8" t="s">
        <v>98</v>
      </c>
      <c r="C8" s="37">
        <f>C7-C6</f>
        <v>230</v>
      </c>
      <c r="D8" t="s">
        <v>21</v>
      </c>
      <c r="F8">
        <f>F7+1</f>
        <v>3</v>
      </c>
      <c r="G8" s="16">
        <f>(F8-1)*360/$C$17</f>
        <v>30</v>
      </c>
      <c r="H8" s="16">
        <f>$C$7-$C$8*COS(RADIANS(G8))</f>
        <v>100.81415712957909</v>
      </c>
      <c r="I8" s="16">
        <f>$C$7-H8</f>
        <v>199.18584287042091</v>
      </c>
    </row>
    <row r="9" spans="1:13" x14ac:dyDescent="0.3">
      <c r="A9" t="s">
        <v>400</v>
      </c>
      <c r="B9" t="s">
        <v>92</v>
      </c>
      <c r="C9" s="37">
        <f>Pfahl_2025!C35</f>
        <v>282743.3388230814</v>
      </c>
      <c r="D9" t="s">
        <v>93</v>
      </c>
      <c r="F9">
        <f>F8+1</f>
        <v>4</v>
      </c>
      <c r="G9" s="16">
        <f>(F9-1)*360/$C$17</f>
        <v>45</v>
      </c>
      <c r="H9" s="16">
        <f>$C$7-$C$8*COS(RADIANS(G9))</f>
        <v>137.36544032709406</v>
      </c>
      <c r="I9" s="16">
        <f>$C$7-H9</f>
        <v>162.63455967290594</v>
      </c>
    </row>
    <row r="10" spans="1:13" x14ac:dyDescent="0.3">
      <c r="A10" t="s">
        <v>390</v>
      </c>
      <c r="B10" t="s">
        <v>64</v>
      </c>
      <c r="C10" s="37">
        <f>Pfahl_2025!C24</f>
        <v>16.666666666666668</v>
      </c>
      <c r="D10" t="s">
        <v>43</v>
      </c>
      <c r="F10">
        <f>F9+1</f>
        <v>5</v>
      </c>
      <c r="G10" s="16">
        <f>(F10-1)*360/$C$17</f>
        <v>60</v>
      </c>
      <c r="H10" s="16">
        <f>$C$7-$C$8*COS(RADIANS(G10))</f>
        <v>184.99999999999997</v>
      </c>
      <c r="I10" s="16">
        <f>$C$7-H10</f>
        <v>115.00000000000003</v>
      </c>
    </row>
    <row r="11" spans="1:13" x14ac:dyDescent="0.3">
      <c r="A11" t="s">
        <v>392</v>
      </c>
      <c r="B11" t="s">
        <v>70</v>
      </c>
      <c r="C11" s="37">
        <f>Pfahl_2025!C26</f>
        <v>434.78260869565219</v>
      </c>
      <c r="D11" t="s">
        <v>43</v>
      </c>
      <c r="F11">
        <f>F10+1</f>
        <v>6</v>
      </c>
      <c r="G11" s="16">
        <f>(F11-1)*360/$C$17</f>
        <v>75</v>
      </c>
      <c r="H11" s="16">
        <f>$C$7-$C$8*COS(RADIANS(G11))</f>
        <v>240.47161962642022</v>
      </c>
      <c r="I11" s="16">
        <f>$C$7-H11</f>
        <v>59.528380373579779</v>
      </c>
    </row>
    <row r="12" spans="1:13" x14ac:dyDescent="0.3">
      <c r="A12" t="s">
        <v>514</v>
      </c>
      <c r="B12" t="s">
        <v>79</v>
      </c>
      <c r="C12" s="38">
        <f>Pfahl_2025!C29/1000</f>
        <v>3.5000000000000001E-3</v>
      </c>
      <c r="D12" t="s">
        <v>28</v>
      </c>
      <c r="F12">
        <f>F11+1</f>
        <v>7</v>
      </c>
      <c r="G12" s="16">
        <f>(F12-1)*360/$C$17</f>
        <v>90</v>
      </c>
      <c r="H12" s="16">
        <f>$C$7-$C$8*COS(RADIANS(G12))</f>
        <v>300</v>
      </c>
      <c r="I12" s="16">
        <f>$C$7-H12</f>
        <v>0</v>
      </c>
    </row>
    <row r="13" spans="1:13" x14ac:dyDescent="0.3">
      <c r="A13" t="s">
        <v>515</v>
      </c>
      <c r="B13" t="s">
        <v>83</v>
      </c>
      <c r="C13" s="38">
        <f>Pfahl_2025!C30/1000</f>
        <v>2E-3</v>
      </c>
      <c r="D13" t="s">
        <v>28</v>
      </c>
      <c r="F13">
        <f>F12+1</f>
        <v>8</v>
      </c>
      <c r="G13" s="16">
        <f>(F13-1)*360/$C$17</f>
        <v>105</v>
      </c>
      <c r="H13" s="16">
        <f>$C$7-$C$8*COS(RADIANS(G13))</f>
        <v>359.52838037357981</v>
      </c>
      <c r="I13" s="16">
        <f>$C$7-H13</f>
        <v>-59.528380373579807</v>
      </c>
    </row>
    <row r="14" spans="1:13" x14ac:dyDescent="0.3">
      <c r="A14" t="s">
        <v>394</v>
      </c>
      <c r="B14" t="s">
        <v>76</v>
      </c>
      <c r="C14" s="38">
        <f>Pfahl_2025!C28</f>
        <v>2.1739130434782609E-3</v>
      </c>
      <c r="D14" t="s">
        <v>28</v>
      </c>
      <c r="F14">
        <f>F13+1</f>
        <v>9</v>
      </c>
      <c r="G14" s="16">
        <f>(F14-1)*360/$C$17</f>
        <v>120</v>
      </c>
      <c r="H14" s="16">
        <f>$C$7-$C$8*COS(RADIANS(G14))</f>
        <v>414.99999999999994</v>
      </c>
      <c r="I14" s="16">
        <f>$C$7-H14</f>
        <v>-114.99999999999994</v>
      </c>
    </row>
    <row r="15" spans="1:13" x14ac:dyDescent="0.3">
      <c r="A15" t="s">
        <v>516</v>
      </c>
      <c r="B15" t="s">
        <v>158</v>
      </c>
      <c r="C15" s="25">
        <f>Pfahl_2025!C59</f>
        <v>0.21220659078919374</v>
      </c>
      <c r="D15" t="s">
        <v>28</v>
      </c>
      <c r="F15">
        <f>F14+1</f>
        <v>10</v>
      </c>
      <c r="G15" s="16">
        <f>(F15-1)*360/$C$17</f>
        <v>135</v>
      </c>
      <c r="H15" s="16">
        <f>$C$7-$C$8*COS(RADIANS(G15))</f>
        <v>462.63455967290588</v>
      </c>
      <c r="I15" s="16">
        <f>$C$7-H15</f>
        <v>-162.63455967290588</v>
      </c>
    </row>
    <row r="16" spans="1:13" x14ac:dyDescent="0.3">
      <c r="A16" t="s">
        <v>517</v>
      </c>
      <c r="B16" t="s">
        <v>162</v>
      </c>
      <c r="C16" s="25">
        <f>Pfahl_2025!C60</f>
        <v>0.10875587777946179</v>
      </c>
      <c r="D16" t="s">
        <v>28</v>
      </c>
      <c r="F16">
        <f>F15+1</f>
        <v>11</v>
      </c>
      <c r="G16" s="16">
        <f>(F16-1)*360/$C$17</f>
        <v>150</v>
      </c>
      <c r="H16" s="16">
        <f>$C$7-$C$8*COS(RADIANS(G16))</f>
        <v>499.18584287042091</v>
      </c>
      <c r="I16" s="16">
        <f>$C$7-H16</f>
        <v>-199.18584287042091</v>
      </c>
    </row>
    <row r="17" spans="1:13" x14ac:dyDescent="0.3">
      <c r="A17" t="s">
        <v>518</v>
      </c>
      <c r="B17" t="s">
        <v>179</v>
      </c>
      <c r="C17" s="6">
        <v>24</v>
      </c>
      <c r="D17" t="s">
        <v>28</v>
      </c>
      <c r="F17">
        <f>F16+1</f>
        <v>12</v>
      </c>
      <c r="G17" s="16">
        <f>(F17-1)*360/$C$17</f>
        <v>165</v>
      </c>
      <c r="H17" s="16">
        <f>$C$7-$C$8*COS(RADIANS(G17))</f>
        <v>522.16294004648569</v>
      </c>
      <c r="I17" s="16">
        <f>$C$7-H17</f>
        <v>-222.16294004648569</v>
      </c>
    </row>
    <row r="18" spans="1:13" x14ac:dyDescent="0.3">
      <c r="F18">
        <f>F17+1</f>
        <v>13</v>
      </c>
      <c r="G18" s="16">
        <f>(F18-1)*360/$C$17</f>
        <v>180</v>
      </c>
      <c r="H18" s="16">
        <f>$C$7-$C$8*COS(RADIANS(G18))</f>
        <v>530</v>
      </c>
      <c r="I18" s="16">
        <f>$C$7-H18</f>
        <v>-230</v>
      </c>
      <c r="K18" t="s">
        <v>527</v>
      </c>
    </row>
    <row r="19" spans="1:13" x14ac:dyDescent="0.3">
      <c r="A19" s="4" t="s">
        <v>520</v>
      </c>
      <c r="B19" s="4"/>
      <c r="C19" s="4"/>
      <c r="D19" s="4"/>
      <c r="F19">
        <f>F18+1</f>
        <v>14</v>
      </c>
      <c r="G19" s="16">
        <f>(F19-1)*360/$C$17</f>
        <v>195</v>
      </c>
      <c r="H19" s="16">
        <f>$C$7-$C$8*COS(RADIANS(G19))</f>
        <v>522.16294004648569</v>
      </c>
      <c r="I19" s="16">
        <f>$C$7-H19</f>
        <v>-222.16294004648569</v>
      </c>
      <c r="K19" t="s">
        <v>210</v>
      </c>
      <c r="L19" s="24" cm="1">
        <f t="array" ref="L19">INDEX($L$33:$L$212,$C$21)</f>
        <v>0.11109731464041406</v>
      </c>
    </row>
    <row r="20" spans="1:13" x14ac:dyDescent="0.3">
      <c r="A20" t="s">
        <v>521</v>
      </c>
      <c r="C20" s="18">
        <f>MIN(M33:M212)</f>
        <v>2.3414368609522701E-3</v>
      </c>
      <c r="F20">
        <f>F19+1</f>
        <v>15</v>
      </c>
      <c r="G20" s="16">
        <f>(F20-1)*360/$C$17</f>
        <v>210</v>
      </c>
      <c r="H20" s="16">
        <f>$C$7-$C$8*COS(RADIANS(G20))</f>
        <v>499.18584287042086</v>
      </c>
      <c r="I20" s="16">
        <f>$C$7-H20</f>
        <v>-199.18584287042086</v>
      </c>
      <c r="K20" t="s">
        <v>528</v>
      </c>
      <c r="L20" s="24" cm="1">
        <f t="array" ref="L20">INDEX($K$33:$K$212,$C$21)</f>
        <v>0.14489099368037445</v>
      </c>
    </row>
    <row r="21" spans="1:13" x14ac:dyDescent="0.3">
      <c r="A21" t="s">
        <v>522</v>
      </c>
      <c r="C21">
        <f>MATCH(C20,M33:M212,0)</f>
        <v>33</v>
      </c>
      <c r="F21">
        <f>F20+1</f>
        <v>16</v>
      </c>
      <c r="G21" s="16">
        <f>(F21-1)*360/$C$17</f>
        <v>225</v>
      </c>
      <c r="H21" s="16">
        <f>$C$7-$C$8*COS(RADIANS(G21))</f>
        <v>462.63455967290599</v>
      </c>
      <c r="I21" s="16">
        <f>$C$7-H21</f>
        <v>-162.63455967290599</v>
      </c>
      <c r="K21" t="s">
        <v>529</v>
      </c>
      <c r="L21" s="24" cm="1">
        <f t="array" ref="L21">IF((L19-$C$16)*(IFERROR(INDEX($L$33:$L$212,$C$21+1),L19)-$C$16)&lt;0,$C$21+1,MAX(1,$C$21-1))</f>
        <v>32</v>
      </c>
    </row>
    <row r="22" spans="1:13" x14ac:dyDescent="0.3">
      <c r="A22" t="s">
        <v>430</v>
      </c>
      <c r="B22" t="s">
        <v>185</v>
      </c>
      <c r="C22" s="21" cm="1">
        <f t="array" ref="C22">INDEX(A33:A212,C21)</f>
        <v>0.37000000000000016</v>
      </c>
      <c r="F22">
        <f>F21+1</f>
        <v>17</v>
      </c>
      <c r="G22" s="16">
        <f>(F22-1)*360/$C$17</f>
        <v>240</v>
      </c>
      <c r="H22" s="16">
        <f>$C$7-$C$8*COS(RADIANS(G22))</f>
        <v>415.00000000000011</v>
      </c>
      <c r="I22" s="16">
        <f>$C$7-H22</f>
        <v>-115.00000000000011</v>
      </c>
      <c r="K22" t="s">
        <v>213</v>
      </c>
      <c r="L22" s="24" cm="1">
        <f t="array" ref="L22">INDEX($L$33:$L$212,L21)</f>
        <v>9.9615329745983014E-2</v>
      </c>
    </row>
    <row r="23" spans="1:13" x14ac:dyDescent="0.3">
      <c r="A23" t="s">
        <v>431</v>
      </c>
      <c r="B23" t="s">
        <v>203</v>
      </c>
      <c r="C23" s="20">
        <f>C22*C5</f>
        <v>222.00000000000009</v>
      </c>
      <c r="D23" t="s">
        <v>21</v>
      </c>
      <c r="F23">
        <f>F22+1</f>
        <v>18</v>
      </c>
      <c r="G23" s="16">
        <f>(F23-1)*360/$C$17</f>
        <v>255</v>
      </c>
      <c r="H23" s="16">
        <f>$C$7-$C$8*COS(RADIANS(G23))</f>
        <v>359.52838037357975</v>
      </c>
      <c r="I23" s="16">
        <f>$C$7-H23</f>
        <v>-59.528380373579751</v>
      </c>
      <c r="K23" t="s">
        <v>530</v>
      </c>
      <c r="L23" s="24" cm="1">
        <f t="array" ref="L23">INDEX($K$33:$K$212,L21)</f>
        <v>0.10031178528326981</v>
      </c>
    </row>
    <row r="24" spans="1:13" x14ac:dyDescent="0.3">
      <c r="A24" t="s">
        <v>523</v>
      </c>
      <c r="B24" t="s">
        <v>196</v>
      </c>
      <c r="C24" s="24" cm="1">
        <f t="array" ref="C24">INDEX(L33:L212,C21)</f>
        <v>0.11109731464041406</v>
      </c>
      <c r="F24">
        <f>F23+1</f>
        <v>19</v>
      </c>
      <c r="G24" s="16">
        <f>(F24-1)*360/$C$17</f>
        <v>270</v>
      </c>
      <c r="H24" s="16">
        <f>$C$7-$C$8*COS(RADIANS(G24))</f>
        <v>300.00000000000006</v>
      </c>
      <c r="I24" s="16">
        <f>$C$7-H24</f>
        <v>0</v>
      </c>
      <c r="K24" t="s">
        <v>531</v>
      </c>
      <c r="L24" s="24">
        <f>MIN($L$33:$L$212)</f>
        <v>8.0182560977529085E-2</v>
      </c>
    </row>
    <row r="25" spans="1:13" x14ac:dyDescent="0.3">
      <c r="A25" t="s">
        <v>524</v>
      </c>
      <c r="B25" t="s">
        <v>206</v>
      </c>
      <c r="C25" s="24">
        <f>MAX(L33:L212)</f>
        <v>1.7944893035530012</v>
      </c>
      <c r="F25">
        <f>F24+1</f>
        <v>20</v>
      </c>
      <c r="G25" s="16">
        <f>(F25-1)*360/$C$17</f>
        <v>285</v>
      </c>
      <c r="H25" s="16">
        <f>$C$7-$C$8*COS(RADIANS(G25))</f>
        <v>240.47161962642033</v>
      </c>
      <c r="I25" s="16">
        <f>$C$7-H25</f>
        <v>59.528380373579665</v>
      </c>
    </row>
    <row r="26" spans="1:13" x14ac:dyDescent="0.3">
      <c r="A26" t="s">
        <v>525</v>
      </c>
      <c r="B26" t="s">
        <v>208</v>
      </c>
      <c r="C26" s="24">
        <f>IFERROR(L20+($C$16-L19)*(L23-L20)/(L22-L19),L20)</f>
        <v>0.13580028308174968</v>
      </c>
      <c r="F26">
        <f>F25+1</f>
        <v>21</v>
      </c>
      <c r="G26" s="16">
        <f>(F26-1)*360/$C$17</f>
        <v>300</v>
      </c>
      <c r="H26" s="16">
        <f>$C$7-$C$8*COS(RADIANS(G26))</f>
        <v>184.99999999999997</v>
      </c>
      <c r="I26" s="16">
        <f>$C$7-H26</f>
        <v>115.00000000000003</v>
      </c>
    </row>
    <row r="27" spans="1:13" x14ac:dyDescent="0.3">
      <c r="A27" t="s">
        <v>432</v>
      </c>
      <c r="C27" t="str">
        <f>IF($C$16&gt;$C$25,"AUSSERHALB DES GÜLTIGKEITSBEREICHS: μ_Ed &gt; μ_Rd,max → D oder f_ck erhöhen",IF($C$16&lt;$L$24,"μ_Ed wird mit ω→0 abgedeckt → Mindestbewehrung maßgebend (9.8.5)","OK — Lösung durch Interpolation ermittelt"))</f>
        <v>OK — Lösung durch Interpolation ermittelt</v>
      </c>
      <c r="F27">
        <f>F26+1</f>
        <v>22</v>
      </c>
      <c r="G27" s="16">
        <f>(F27-1)*360/$C$17</f>
        <v>315</v>
      </c>
      <c r="H27" s="16">
        <f>$C$7-$C$8*COS(RADIANS(G27))</f>
        <v>137.36544032709412</v>
      </c>
      <c r="I27" s="16">
        <f>$C$7-H27</f>
        <v>162.63455967290588</v>
      </c>
    </row>
    <row r="28" spans="1:13" ht="15.6" x14ac:dyDescent="0.3">
      <c r="A28" s="8" t="s">
        <v>526</v>
      </c>
      <c r="B28" s="9" t="s">
        <v>218</v>
      </c>
      <c r="C28" s="39">
        <f>IF($C$16&gt;$C$25,NA(),IF($C$16&lt;$L$24,0,MAX(0,$C$26)))</f>
        <v>0.13580028308174968</v>
      </c>
      <c r="D28" s="9" t="s">
        <v>28</v>
      </c>
      <c r="F28">
        <f>F27+1</f>
        <v>23</v>
      </c>
      <c r="G28" s="16">
        <f>(F28-1)*360/$C$17</f>
        <v>330</v>
      </c>
      <c r="H28" s="16">
        <f>$C$7-$C$8*COS(RADIANS(G28))</f>
        <v>100.81415712957917</v>
      </c>
      <c r="I28" s="16">
        <f>$C$7-H28</f>
        <v>199.18584287042083</v>
      </c>
    </row>
    <row r="29" spans="1:13" x14ac:dyDescent="0.3">
      <c r="A29" s="1" t="s">
        <v>219</v>
      </c>
      <c r="F29">
        <f>F28+1</f>
        <v>24</v>
      </c>
      <c r="G29" s="16">
        <f>(F29-1)*360/$C$17</f>
        <v>345</v>
      </c>
      <c r="H29" s="16">
        <f>$C$7-$C$8*COS(RADIANS(G29))</f>
        <v>77.837059953514284</v>
      </c>
      <c r="I29" s="16">
        <f>$C$7-H29</f>
        <v>222.16294004648572</v>
      </c>
    </row>
    <row r="31" spans="1:13" ht="57.6" x14ac:dyDescent="0.3">
      <c r="A31" s="36" t="s">
        <v>532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</row>
    <row r="32" spans="1:13" x14ac:dyDescent="0.3">
      <c r="A32" s="5" t="s">
        <v>185</v>
      </c>
      <c r="B32" s="5" t="s">
        <v>186</v>
      </c>
      <c r="C32" s="5" t="s">
        <v>187</v>
      </c>
      <c r="D32" s="5" t="s">
        <v>188</v>
      </c>
      <c r="E32" s="5" t="s">
        <v>189</v>
      </c>
      <c r="F32" s="5" t="s">
        <v>190</v>
      </c>
      <c r="G32" s="5" t="s">
        <v>191</v>
      </c>
      <c r="H32" s="5" t="s">
        <v>192</v>
      </c>
      <c r="I32" s="5" t="s">
        <v>193</v>
      </c>
      <c r="J32" s="5" t="s">
        <v>194</v>
      </c>
      <c r="K32" s="5" t="s">
        <v>533</v>
      </c>
      <c r="L32" s="5" t="s">
        <v>196</v>
      </c>
      <c r="M32" s="5" t="s">
        <v>197</v>
      </c>
    </row>
    <row r="33" spans="1:13" x14ac:dyDescent="0.3">
      <c r="A33" s="24">
        <v>0.05</v>
      </c>
      <c r="B33" s="20">
        <f>A33*$C$5</f>
        <v>30</v>
      </c>
      <c r="C33" s="20">
        <f>MIN(0.8*B33,$C$5)</f>
        <v>24</v>
      </c>
      <c r="D33" s="24">
        <f>ACOS(MAX(-1,($C$7-C33)/$C$7))</f>
        <v>0.40271584158066132</v>
      </c>
      <c r="E33" s="20">
        <f>$C$7^2*(D33-SIN(D33)*COS(D33))</f>
        <v>3793.5856298679932</v>
      </c>
      <c r="F33" s="24">
        <f>E33/$C$9</f>
        <v>1.3417064556352718E-2</v>
      </c>
      <c r="G33" s="16">
        <f>IF(E33&gt;0,2*$C$7^3*SIN(D33)^3/(3*E33),0)</f>
        <v>285.63369441411879</v>
      </c>
      <c r="H33" s="24">
        <f>F33*G33/$C$5</f>
        <v>6.387276195706261E-3</v>
      </c>
      <c r="I33" s="24" cm="1">
        <f t="array" ref="I33">_xlfn.LET(_xlpm.x,$B33,_xlpm.dep,$H$6:$H$29,_xlpm.e,IF(_xlpm.x&lt;=$C$5,$C$12*(_xlpm.x-_xlpm.dep)/_xlpm.x,$C$13*(_xlpm.x-_xlpm.dep)/(_xlpm.x-3*$C$5/7))/$C$14,_xlpm.s,(_xlpm.e&gt;=1)*1+(_xlpm.e&lt;=-1)*(-1)+(ABS(_xlpm.e)&lt;1)*_xlpm.e,AVERAGE(_xlpm.s))</f>
        <v>-1</v>
      </c>
      <c r="J33" s="24" cm="1">
        <f t="array" ref="J33">_xlfn.LET(_xlpm.x,$B33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2.3684757858670008E-17</v>
      </c>
      <c r="K33" s="24">
        <f>IFERROR(($C$15-F33)/I33,"")</f>
        <v>-0.19878952623284102</v>
      </c>
      <c r="L33" s="24" t="str">
        <f>IF(AND(ISNUMBER(K33),N(K33)&gt;0),H33+K33*J33,"")</f>
        <v/>
      </c>
      <c r="M33" s="24">
        <f>IF(ISNUMBER(L33),ABS(L33-$C$16),1000000000)</f>
        <v>1000000000</v>
      </c>
    </row>
    <row r="34" spans="1:13" x14ac:dyDescent="0.3">
      <c r="A34" s="24">
        <f>A33+0.01</f>
        <v>6.0000000000000005E-2</v>
      </c>
      <c r="B34" s="20">
        <f>A34*$C$5</f>
        <v>36</v>
      </c>
      <c r="C34" s="20">
        <f>MIN(0.8*B34,$C$5)</f>
        <v>28.8</v>
      </c>
      <c r="D34" s="24">
        <f>ACOS(MAX(-1,($C$7-C34)/$C$7))</f>
        <v>0.44176142415005892</v>
      </c>
      <c r="E34" s="20">
        <f>$C$7^2*(D34-SIN(D34)*COS(D34))</f>
        <v>4974.4876421581603</v>
      </c>
      <c r="F34" s="24">
        <f>E34/$C$9</f>
        <v>1.7593651057755968E-2</v>
      </c>
      <c r="G34" s="16">
        <f>IF(E34&gt;0,2*$C$7^3*SIN(D34)^3/(3*E34),0)</f>
        <v>282.76875157203438</v>
      </c>
      <c r="H34" s="24">
        <f>F34*G34/$C$5</f>
        <v>8.2915579086594287E-3</v>
      </c>
      <c r="I34" s="24" cm="1">
        <f t="array" ref="I34">_xlfn.LET(_xlpm.x,$B34,_xlpm.dep,$H$6:$H$29,_xlpm.e,IF(_xlpm.x&lt;=$C$5,$C$12*(_xlpm.x-_xlpm.dep)/_xlpm.x,$C$13*(_xlpm.x-_xlpm.dep)/(_xlpm.x-3*$C$5/7))/$C$14,_xlpm.s,(_xlpm.e&gt;=1)*1+(_xlpm.e&lt;=-1)*(-1)+(ABS(_xlpm.e)&lt;1)*_xlpm.e,AVERAGE(_xlpm.s))</f>
        <v>-1</v>
      </c>
      <c r="J34" s="24" cm="1">
        <f t="array" ref="J34">_xlfn.LET(_xlpm.x,$B34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2.3684757858670008E-17</v>
      </c>
      <c r="K34" s="24">
        <f>IFERROR(($C$15-F34)/I34,"")</f>
        <v>-0.19461293973143778</v>
      </c>
      <c r="L34" s="24" t="str">
        <f>IF(AND(ISNUMBER(K34),N(K34)&gt;0),H34+K34*J34,"")</f>
        <v/>
      </c>
      <c r="M34" s="24">
        <f>IF(ISNUMBER(L34),ABS(L34-$C$16),1000000000)</f>
        <v>1000000000</v>
      </c>
    </row>
    <row r="35" spans="1:13" x14ac:dyDescent="0.3">
      <c r="A35" s="24">
        <f>A34+0.01</f>
        <v>7.0000000000000007E-2</v>
      </c>
      <c r="B35" s="20">
        <f>A35*$C$5</f>
        <v>42.000000000000007</v>
      </c>
      <c r="C35" s="20">
        <f>MIN(0.8*B35,$C$5)</f>
        <v>33.600000000000009</v>
      </c>
      <c r="D35" s="24">
        <f>ACOS(MAX(-1,($C$7-C35)/$C$7))</f>
        <v>0.47781889725220439</v>
      </c>
      <c r="E35" s="20">
        <f>$C$7^2*(D35-SIN(D35)*COS(D35))</f>
        <v>6253.0120990364048</v>
      </c>
      <c r="F35" s="24">
        <f>E35/$C$9</f>
        <v>2.2115506328334932E-2</v>
      </c>
      <c r="G35" s="16">
        <f>IF(E35&gt;0,2*$C$7^3*SIN(D35)^3/(3*E35),0)</f>
        <v>279.90667482995889</v>
      </c>
      <c r="H35" s="24">
        <f>F35*G35/$C$5</f>
        <v>1.0317129730908573E-2</v>
      </c>
      <c r="I35" s="24" cm="1">
        <f t="array" ref="I35">_xlfn.LET(_xlpm.x,$B35,_xlpm.dep,$H$6:$H$29,_xlpm.e,IF(_xlpm.x&lt;=$C$5,$C$12*(_xlpm.x-_xlpm.dep)/_xlpm.x,$C$13*(_xlpm.x-_xlpm.dep)/(_xlpm.x-3*$C$5/7))/$C$14,_xlpm.s,(_xlpm.e&gt;=1)*1+(_xlpm.e&lt;=-1)*(-1)+(ABS(_xlpm.e)&lt;1)*_xlpm.e,AVERAGE(_xlpm.s))</f>
        <v>-1</v>
      </c>
      <c r="J35" s="24" cm="1">
        <f t="array" ref="J35">_xlfn.LET(_xlpm.x,$B35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2.3684757858670008E-17</v>
      </c>
      <c r="K35" s="24">
        <f>IFERROR(($C$15-F35)/I35,"")</f>
        <v>-0.19009108446085882</v>
      </c>
      <c r="L35" s="24" t="str">
        <f>IF(AND(ISNUMBER(K35),N(K35)&gt;0),H35+K35*J35,"")</f>
        <v/>
      </c>
      <c r="M35" s="24">
        <f>IF(ISNUMBER(L35),ABS(L35-$C$16),1000000000)</f>
        <v>1000000000</v>
      </c>
    </row>
    <row r="36" spans="1:13" x14ac:dyDescent="0.3">
      <c r="A36" s="24">
        <f>A35+0.01</f>
        <v>0.08</v>
      </c>
      <c r="B36" s="20">
        <f>A36*$C$5</f>
        <v>48</v>
      </c>
      <c r="C36" s="20">
        <f>MIN(0.8*B36,$C$5)</f>
        <v>38.400000000000006</v>
      </c>
      <c r="D36" s="24">
        <f>ACOS(MAX(-1,($C$7-C36)/$C$7))</f>
        <v>0.51152300369407722</v>
      </c>
      <c r="E36" s="20">
        <f>$C$7^2*(D36-SIN(D36)*COS(D36))</f>
        <v>7620.6493954978359</v>
      </c>
      <c r="F36" s="24">
        <f>E36/$C$9</f>
        <v>2.6952533796972104E-2</v>
      </c>
      <c r="G36" s="16">
        <f>IF(E36&gt;0,2*$C$7^3*SIN(D36)^3/(3*E36),0)</f>
        <v>277.04750586324388</v>
      </c>
      <c r="H36" s="24">
        <f>F36*G36/$C$5</f>
        <v>1.2445220441909847E-2</v>
      </c>
      <c r="I36" s="24" cm="1">
        <f t="array" ref="I36">_xlfn.LET(_xlpm.x,$B36,_xlpm.dep,$H$6:$H$29,_xlpm.e,IF(_xlpm.x&lt;=$C$5,$C$12*(_xlpm.x-_xlpm.dep)/_xlpm.x,$C$13*(_xlpm.x-_xlpm.dep)/(_xlpm.x-3*$C$5/7))/$C$14,_xlpm.s,(_xlpm.e&gt;=1)*1+(_xlpm.e&lt;=-1)*(-1)+(ABS(_xlpm.e)&lt;1)*_xlpm.e,AVERAGE(_xlpm.s))</f>
        <v>-0.98907986111111112</v>
      </c>
      <c r="J36" s="24" cm="1">
        <f t="array" ref="J36">_xlfn.LET(_xlpm.x,$B36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4.1860532407407645E-3</v>
      </c>
      <c r="K36" s="24">
        <f>IFERROR(($C$15-F36)/I36,"")</f>
        <v>-0.18729939237071433</v>
      </c>
      <c r="L36" s="24" t="str">
        <f>IF(AND(ISNUMBER(K36),N(K36)&gt;0),H36+K36*J36,"")</f>
        <v/>
      </c>
      <c r="M36" s="24">
        <f>IF(ISNUMBER(L36),ABS(L36-$C$16),1000000000)</f>
        <v>1000000000</v>
      </c>
    </row>
    <row r="37" spans="1:13" x14ac:dyDescent="0.3">
      <c r="A37" s="24">
        <f>A36+0.01</f>
        <v>0.09</v>
      </c>
      <c r="B37" s="20">
        <f>A37*$C$5</f>
        <v>54</v>
      </c>
      <c r="C37" s="20">
        <f>MIN(0.8*B37,$C$5)</f>
        <v>43.2</v>
      </c>
      <c r="D37" s="24">
        <f>ACOS(MAX(-1,($C$7-C37)/$C$7))</f>
        <v>0.54331424735514799</v>
      </c>
      <c r="E37" s="20">
        <f>$C$7^2*(D37-SIN(D37)*COS(D37))</f>
        <v>9070.4649747656767</v>
      </c>
      <c r="F37" s="24">
        <f>E37/$C$9</f>
        <v>3.2080207486130247E-2</v>
      </c>
      <c r="G37" s="16">
        <f>IF(E37&gt;0,2*$C$7^3*SIN(D37)^3/(3*E37),0)</f>
        <v>274.19128722498965</v>
      </c>
      <c r="H37" s="24">
        <f>F37*G37/$C$5</f>
        <v>1.4660188975111337E-2</v>
      </c>
      <c r="I37" s="24" cm="1">
        <f t="array" ref="I37">_xlfn.LET(_xlpm.x,$B37,_xlpm.dep,$H$6:$H$29,_xlpm.e,IF(_xlpm.x&lt;=$C$5,$C$12*(_xlpm.x-_xlpm.dep)/_xlpm.x,$C$13*(_xlpm.x-_xlpm.dep)/(_xlpm.x-3*$C$5/7))/$C$14,_xlpm.s,(_xlpm.e&gt;=1)*1+(_xlpm.e&lt;=-1)*(-1)+(ABS(_xlpm.e)&lt;1)*_xlpm.e,AVERAGE(_xlpm.s))</f>
        <v>-0.95410133723018209</v>
      </c>
      <c r="J37" s="24" cm="1">
        <f t="array" ref="J37">_xlfn.LET(_xlpm.x,$B37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1.7279587281783769E-2</v>
      </c>
      <c r="K37" s="24">
        <f>IFERROR(($C$15-F37)/I37,"")</f>
        <v>-0.18879166842589493</v>
      </c>
      <c r="L37" s="24" t="str">
        <f>IF(AND(ISNUMBER(K37),N(K37)&gt;0),H37+K37*J37,"")</f>
        <v/>
      </c>
      <c r="M37" s="24">
        <f>IF(ISNUMBER(L37),ABS(L37-$C$16),1000000000)</f>
        <v>1000000000</v>
      </c>
    </row>
    <row r="38" spans="1:13" x14ac:dyDescent="0.3">
      <c r="A38" s="24">
        <f>A37+0.01</f>
        <v>9.9999999999999992E-2</v>
      </c>
      <c r="B38" s="20">
        <f>A38*$C$5</f>
        <v>59.999999999999993</v>
      </c>
      <c r="C38" s="20">
        <f>MIN(0.8*B38,$C$5)</f>
        <v>48</v>
      </c>
      <c r="D38" s="24">
        <f>ACOS(MAX(-1,($C$7-C38)/$C$7))</f>
        <v>0.57351310442309666</v>
      </c>
      <c r="E38" s="20">
        <f>$C$7^2*(D38-SIN(D38)*COS(D38))</f>
        <v>10596.647660137083</v>
      </c>
      <c r="F38" s="24">
        <f>E38/$C$9</f>
        <v>3.7477974562532962E-2</v>
      </c>
      <c r="G38" s="16">
        <f>IF(E38&gt;0,2*$C$7^3*SIN(D38)^3/(3*E38),0)</f>
        <v>271.33806237066068</v>
      </c>
      <c r="H38" s="24">
        <f>F38*G38/$C$5</f>
        <v>1.6948668332291004E-2</v>
      </c>
      <c r="I38" s="24" cm="1">
        <f t="array" ref="I38">_xlfn.LET(_xlpm.x,$B38,_xlpm.dep,$H$6:$H$29,_xlpm.e,IF(_xlpm.x&lt;=$C$5,$C$12*(_xlpm.x-_xlpm.dep)/_xlpm.x,$C$13*(_xlpm.x-_xlpm.dep)/(_xlpm.x-3*$C$5/7))/$C$14,_xlpm.s,(_xlpm.e&gt;=1)*1+(_xlpm.e&lt;=-1)*(-1)+(ABS(_xlpm.e)&lt;1)*_xlpm.e,AVERAGE(_xlpm.s))</f>
        <v>-0.92606620350716407</v>
      </c>
      <c r="J38" s="24" cm="1">
        <f t="array" ref="J38">_xlfn.LET(_xlpm.x,$B38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2.7773785130290496E-2</v>
      </c>
      <c r="K38" s="24">
        <f>IFERROR(($C$15-F38)/I38,"")</f>
        <v>-0.18867832079924193</v>
      </c>
      <c r="L38" s="24" t="str">
        <f>IF(AND(ISNUMBER(K38),N(K38)&gt;0),H38+K38*J38,"")</f>
        <v/>
      </c>
      <c r="M38" s="24">
        <f>IF(ISNUMBER(L38),ABS(L38-$C$16),1000000000)</f>
        <v>1000000000</v>
      </c>
    </row>
    <row r="39" spans="1:13" x14ac:dyDescent="0.3">
      <c r="A39" s="24">
        <f>A38+0.01</f>
        <v>0.10999999999999999</v>
      </c>
      <c r="B39" s="20">
        <f>A39*$C$5</f>
        <v>65.999999999999986</v>
      </c>
      <c r="C39" s="20">
        <f>MIN(0.8*B39,$C$5)</f>
        <v>52.79999999999999</v>
      </c>
      <c r="D39" s="24">
        <f>ACOS(MAX(-1,($C$7-C39)/$C$7))</f>
        <v>0.60236134403518282</v>
      </c>
      <c r="E39" s="20">
        <f>$C$7^2*(D39-SIN(D39)*COS(D39))</f>
        <v>12194.221490979342</v>
      </c>
      <c r="F39" s="24">
        <f>E39/$C$9</f>
        <v>4.3128236165484092E-2</v>
      </c>
      <c r="G39" s="16">
        <f>IF(E39&gt;0,2*$C$7^3*SIN(D39)^3/(3*E39),0)</f>
        <v>268.48787568357221</v>
      </c>
      <c r="H39" s="24">
        <f>F39*G39/$C$5</f>
        <v>1.9299014183417059E-2</v>
      </c>
      <c r="I39" s="24" cm="1">
        <f t="array" ref="I39">_xlfn.LET(_xlpm.x,$B39,_xlpm.dep,$H$6:$H$29,_xlpm.e,IF(_xlpm.x&lt;=$C$5,$C$12*(_xlpm.x-_xlpm.dep)/_xlpm.x,$C$13*(_xlpm.x-_xlpm.dep)/(_xlpm.x-3*$C$5/7))/$C$14,_xlpm.s,(_xlpm.e&gt;=1)*1+(_xlpm.e&lt;=-1)*(-1)+(ABS(_xlpm.e)&lt;1)*_xlpm.e,AVERAGE(_xlpm.s))</f>
        <v>-0.89056623674719759</v>
      </c>
      <c r="J39" s="24" cm="1">
        <f t="array" ref="J39">_xlfn.LET(_xlpm.x,$B39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4.053027778589826E-2</v>
      </c>
      <c r="K39" s="24">
        <f>IFERROR(($C$15-F39)/I39,"")</f>
        <v>-0.18985488967251901</v>
      </c>
      <c r="L39" s="24" t="str">
        <f>IF(AND(ISNUMBER(K39),N(K39)&gt;0),H39+K39*J39,"")</f>
        <v/>
      </c>
      <c r="M39" s="24">
        <f>IF(ISNUMBER(L39),ABS(L39-$C$16),1000000000)</f>
        <v>1000000000</v>
      </c>
    </row>
    <row r="40" spans="1:13" x14ac:dyDescent="0.3">
      <c r="A40" s="24">
        <f>A39+0.01</f>
        <v>0.11999999999999998</v>
      </c>
      <c r="B40" s="20">
        <f>A40*$C$5</f>
        <v>71.999999999999986</v>
      </c>
      <c r="C40" s="20">
        <f>MIN(0.8*B40,$C$5)</f>
        <v>57.599999999999994</v>
      </c>
      <c r="D40" s="24">
        <f>ACOS(MAX(-1,($C$7-C40)/$C$7))</f>
        <v>0.63004669044584005</v>
      </c>
      <c r="E40" s="20">
        <f>$C$7^2*(D40-SIN(D40)*COS(D40))</f>
        <v>13858.851869852408</v>
      </c>
      <c r="F40" s="24">
        <f>E40/$C$9</f>
        <v>4.9015661792563711E-2</v>
      </c>
      <c r="G40" s="16">
        <f>IF(E40&gt;0,2*$C$7^3*SIN(D40)^3/(3*E40),0)</f>
        <v>265.64077250128702</v>
      </c>
      <c r="H40" s="24">
        <f>F40*G40/$C$5</f>
        <v>2.1700930438730739E-2</v>
      </c>
      <c r="I40" s="24" cm="1">
        <f t="array" ref="I40">_xlfn.LET(_xlpm.x,$B40,_xlpm.dep,$H$6:$H$29,_xlpm.e,IF(_xlpm.x&lt;=$C$5,$C$12*(_xlpm.x-_xlpm.dep)/_xlpm.x,$C$13*(_xlpm.x-_xlpm.dep)/(_xlpm.x-3*$C$5/7))/$C$14,_xlpm.s,(_xlpm.e&gt;=1)*1+(_xlpm.e&lt;=-1)*(-1)+(ABS(_xlpm.e)&lt;1)*_xlpm.e,AVERAGE(_xlpm.s))</f>
        <v>-0.85437321701826441</v>
      </c>
      <c r="J40" s="24" cm="1">
        <f t="array" ref="J40">_xlfn.LET(_xlpm.x,$B40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5.3354957454354972E-2</v>
      </c>
      <c r="K40" s="24">
        <f>IFERROR(($C$15-F40)/I40,"")</f>
        <v>-0.19100660665155353</v>
      </c>
      <c r="L40" s="24" t="str">
        <f>IF(AND(ISNUMBER(K40),N(K40)&gt;0),H40+K40*J40,"")</f>
        <v/>
      </c>
      <c r="M40" s="24">
        <f>IF(ISNUMBER(L40),ABS(L40-$C$16),1000000000)</f>
        <v>1000000000</v>
      </c>
    </row>
    <row r="41" spans="1:13" x14ac:dyDescent="0.3">
      <c r="A41" s="24">
        <f>A40+0.01</f>
        <v>0.12999999999999998</v>
      </c>
      <c r="B41" s="20">
        <f>A41*$C$5</f>
        <v>77.999999999999986</v>
      </c>
      <c r="C41" s="20">
        <f>MIN(0.8*B41,$C$5)</f>
        <v>62.399999999999991</v>
      </c>
      <c r="D41" s="24">
        <f>ACOS(MAX(-1,($C$7-C41)/$C$7))</f>
        <v>0.65671836474870404</v>
      </c>
      <c r="E41" s="20">
        <f>$C$7^2*(D41-SIN(D41)*COS(D41))</f>
        <v>15586.709610103437</v>
      </c>
      <c r="F41" s="24">
        <f>E41/$C$9</f>
        <v>5.512670846635357E-2</v>
      </c>
      <c r="G41" s="16">
        <f>IF(E41&gt;0,2*$C$7^3*SIN(D41)^3/(3*E41),0)</f>
        <v>262.79679914296486</v>
      </c>
      <c r="H41" s="24">
        <f>F41*G41/$C$5</f>
        <v>2.4145204220408497E-2</v>
      </c>
      <c r="I41" s="24" cm="1">
        <f t="array" ref="I41">_xlfn.LET(_xlpm.x,$B41,_xlpm.dep,$H$6:$H$29,_xlpm.e,IF(_xlpm.x&lt;=$C$5,$C$12*(_xlpm.x-_xlpm.dep)/_xlpm.x,$C$13*(_xlpm.x-_xlpm.dep)/(_xlpm.x-3*$C$5/7))/$C$14,_xlpm.s,(_xlpm.e&gt;=1)*1+(_xlpm.e&lt;=-1)*(-1)+(ABS(_xlpm.e)&lt;1)*_xlpm.e,AVERAGE(_xlpm.s))</f>
        <v>-0.82374835417070569</v>
      </c>
      <c r="J41" s="24" cm="1">
        <f t="array" ref="J41">_xlfn.LET(_xlpm.x,$B41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6.4206609481510649E-2</v>
      </c>
      <c r="K41" s="24">
        <f>IFERROR(($C$15-F41)/I41,"")</f>
        <v>-0.19068916074615724</v>
      </c>
      <c r="L41" s="24" t="str">
        <f>IF(AND(ISNUMBER(K41),N(K41)&gt;0),H41+K41*J41,"")</f>
        <v/>
      </c>
      <c r="M41" s="24">
        <f>IF(ISNUMBER(L41),ABS(L41-$C$16),1000000000)</f>
        <v>1000000000</v>
      </c>
    </row>
    <row r="42" spans="1:13" x14ac:dyDescent="0.3">
      <c r="A42" s="24">
        <f>A41+0.01</f>
        <v>0.13999999999999999</v>
      </c>
      <c r="B42" s="20">
        <f>A42*$C$5</f>
        <v>83.999999999999986</v>
      </c>
      <c r="C42" s="20">
        <f>MIN(0.8*B42,$C$5)</f>
        <v>67.199999999999989</v>
      </c>
      <c r="D42" s="24">
        <f>ACOS(MAX(-1,($C$7-C42)/$C$7))</f>
        <v>0.68249731727597174</v>
      </c>
      <c r="E42" s="20">
        <f>$C$7^2*(D42-SIN(D42)*COS(D42))</f>
        <v>17374.372328444391</v>
      </c>
      <c r="F42" s="24">
        <f>E42/$C$9</f>
        <v>6.1449271982021512E-2</v>
      </c>
      <c r="G42" s="16">
        <f>IF(E42&gt;0,2*$C$7^3*SIN(D42)^3/(3*E42),0)</f>
        <v>259.9560029376986</v>
      </c>
      <c r="H42" s="24">
        <f>F42*G42/$C$5</f>
        <v>2.6623511879796374E-2</v>
      </c>
      <c r="I42" s="24" cm="1">
        <f t="array" ref="I42">_xlfn.LET(_xlpm.x,$B42,_xlpm.dep,$H$6:$H$29,_xlpm.e,IF(_xlpm.x&lt;=$C$5,$C$12*(_xlpm.x-_xlpm.dep)/_xlpm.x,$C$13*(_xlpm.x-_xlpm.dep)/(_xlpm.x-3*$C$5/7))/$C$14,_xlpm.s,(_xlpm.e&gt;=1)*1+(_xlpm.e&lt;=-1)*(-1)+(ABS(_xlpm.e)&lt;1)*_xlpm.e,AVERAGE(_xlpm.s))</f>
        <v>-0.79749847172994093</v>
      </c>
      <c r="J42" s="24" cm="1">
        <f t="array" ref="J42">_xlfn.LET(_xlpm.x,$B42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7.3508025504786911E-2</v>
      </c>
      <c r="K42" s="24">
        <f>IFERROR(($C$15-F42)/I42,"")</f>
        <v>-0.18903775261179884</v>
      </c>
      <c r="L42" s="24" t="str">
        <f>IF(AND(ISNUMBER(K42),N(K42)&gt;0),H42+K42*J42,"")</f>
        <v/>
      </c>
      <c r="M42" s="24">
        <f>IF(ISNUMBER(L42),ABS(L42-$C$16),1000000000)</f>
        <v>1000000000</v>
      </c>
    </row>
    <row r="43" spans="1:13" x14ac:dyDescent="0.3">
      <c r="A43" s="24">
        <f>A42+0.01</f>
        <v>0.15</v>
      </c>
      <c r="B43" s="20">
        <f>A43*$C$5</f>
        <v>90</v>
      </c>
      <c r="C43" s="20">
        <f>MIN(0.8*B43,$C$5)</f>
        <v>72</v>
      </c>
      <c r="D43" s="24">
        <f>ACOS(MAX(-1,($C$7-C43)/$C$7))</f>
        <v>0.70748321177934292</v>
      </c>
      <c r="E43" s="20">
        <f>$C$7^2*(D43-SIN(D43)*COS(D43))</f>
        <v>19218.750909972892</v>
      </c>
      <c r="F43" s="24">
        <f>E43/$C$9</f>
        <v>6.797242683053438E-2</v>
      </c>
      <c r="G43" s="16">
        <f>IF(E43&gt;0,2*$C$7^3*SIN(D43)^3/(3*E43),0)</f>
        <v>257.11843225388986</v>
      </c>
      <c r="H43" s="24">
        <f>F43*G43/$C$5</f>
        <v>2.9128273038598732E-2</v>
      </c>
      <c r="I43" s="24" cm="1">
        <f t="array" ref="I43">_xlfn.LET(_xlpm.x,$B43,_xlpm.dep,$H$6:$H$29,_xlpm.e,IF(_xlpm.x&lt;=$C$5,$C$12*(_xlpm.x-_xlpm.dep)/_xlpm.x,$C$13*(_xlpm.x-_xlpm.dep)/(_xlpm.x-3*$C$5/7))/$C$14,_xlpm.s,(_xlpm.e&gt;=1)*1+(_xlpm.e&lt;=-1)*(-1)+(ABS(_xlpm.e)&lt;1)*_xlpm.e,AVERAGE(_xlpm.s))</f>
        <v>-0.7620248318800017</v>
      </c>
      <c r="J43" s="24" cm="1">
        <f t="array" ref="J43">_xlfn.LET(_xlpm.x,$B43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8.5018119615626428E-2</v>
      </c>
      <c r="K43" s="24">
        <f>IFERROR(($C$15-F43)/I43,"")</f>
        <v>-0.18927751160394249</v>
      </c>
      <c r="L43" s="24" t="str">
        <f>IF(AND(ISNUMBER(K43),N(K43)&gt;0),H43+K43*J43,"")</f>
        <v/>
      </c>
      <c r="M43" s="24">
        <f>IF(ISNUMBER(L43),ABS(L43-$C$16),1000000000)</f>
        <v>1000000000</v>
      </c>
    </row>
    <row r="44" spans="1:13" x14ac:dyDescent="0.3">
      <c r="A44" s="24">
        <f>A43+0.01</f>
        <v>0.16</v>
      </c>
      <c r="B44" s="20">
        <f>A44*$C$5</f>
        <v>96</v>
      </c>
      <c r="C44" s="20">
        <f>MIN(0.8*B44,$C$5)</f>
        <v>76.800000000000011</v>
      </c>
      <c r="D44" s="24">
        <f>ACOS(MAX(-1,($C$7-C44)/$C$7))</f>
        <v>0.73175933890163392</v>
      </c>
      <c r="E44" s="20">
        <f>$C$7^2*(D44-SIN(D44)*COS(D44))</f>
        <v>21117.033375601419</v>
      </c>
      <c r="F44" s="24">
        <f>E44/$C$9</f>
        <v>7.4686227670299962E-2</v>
      </c>
      <c r="G44" s="16">
        <f>IF(E44&gt;0,2*$C$7^3*SIN(D44)^3/(3*E44),0)</f>
        <v>254.2841365297048</v>
      </c>
      <c r="H44" s="24">
        <f>F44*G44/$C$5</f>
        <v>3.1652538189671953E-2</v>
      </c>
      <c r="I44" s="24" cm="1">
        <f t="array" ref="I44">_xlfn.LET(_xlpm.x,$B44,_xlpm.dep,$H$6:$H$29,_xlpm.e,IF(_xlpm.x&lt;=$C$5,$C$12*(_xlpm.x-_xlpm.dep)/_xlpm.x,$C$13*(_xlpm.x-_xlpm.dep)/(_xlpm.x-3*$C$5/7))/$C$14,_xlpm.s,(_xlpm.e&gt;=1)*1+(_xlpm.e&lt;=-1)*(-1)+(ABS(_xlpm.e)&lt;1)*_xlpm.e,AVERAGE(_xlpm.s))</f>
        <v>-0.72932015488750146</v>
      </c>
      <c r="J44" s="24" cm="1">
        <f t="array" ref="J44">_xlfn.LET(_xlpm.x,$B44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9.554082849520025E-2</v>
      </c>
      <c r="K44" s="24">
        <f>IFERROR(($C$15-F44)/I44,"")</f>
        <v>-0.18855966367761556</v>
      </c>
      <c r="L44" s="24" t="str">
        <f>IF(AND(ISNUMBER(K44),N(K44)&gt;0),H44+K44*J44,"")</f>
        <v/>
      </c>
      <c r="M44" s="24">
        <f>IF(ISNUMBER(L44),ABS(L44-$C$16),1000000000)</f>
        <v>1000000000</v>
      </c>
    </row>
    <row r="45" spans="1:13" x14ac:dyDescent="0.3">
      <c r="A45" s="24">
        <f>A44+0.01</f>
        <v>0.17</v>
      </c>
      <c r="B45" s="20">
        <f>A45*$C$5</f>
        <v>102.00000000000001</v>
      </c>
      <c r="C45" s="20">
        <f>MIN(0.8*B45,$C$5)</f>
        <v>81.600000000000023</v>
      </c>
      <c r="D45" s="24">
        <f>ACOS(MAX(-1,($C$7-C45)/$C$7))</f>
        <v>0.75539616303736268</v>
      </c>
      <c r="E45" s="20">
        <f>$C$7^2*(D45-SIN(D45)*COS(D45))</f>
        <v>23066.641172102391</v>
      </c>
      <c r="F45" s="24">
        <f>E45/$C$9</f>
        <v>8.1581554734825021E-2</v>
      </c>
      <c r="G45" s="16">
        <f>IF(E45&gt;0,2*$C$7^3*SIN(D45)^3/(3*E45),0)</f>
        <v>251.45316630465899</v>
      </c>
      <c r="H45" s="24">
        <f>F45*G45/$C$5</f>
        <v>3.418990041688099E-2</v>
      </c>
      <c r="I45" s="24" cm="1">
        <f t="array" ref="I45">_xlfn.LET(_xlpm.x,$B45,_xlpm.dep,$H$6:$H$29,_xlpm.e,IF(_xlpm.x&lt;=$C$5,$C$12*(_xlpm.x-_xlpm.dep)/_xlpm.x,$C$13*(_xlpm.x-_xlpm.dep)/(_xlpm.x-3*$C$5/7))/$C$14,_xlpm.s,(_xlpm.e&gt;=1)*1+(_xlpm.e&lt;=-1)*(-1)+(ABS(_xlpm.e)&lt;1)*_xlpm.e,AVERAGE(_xlpm.s))</f>
        <v>-0.70046308695294268</v>
      </c>
      <c r="J45" s="24" cm="1">
        <f t="array" ref="J45">_xlfn.LET(_xlpm.x,$B45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0.10482557162423593</v>
      </c>
      <c r="K45" s="24">
        <f>IFERROR(($C$15-F45)/I45,"")</f>
        <v>-0.18648382546837067</v>
      </c>
      <c r="L45" s="24" t="str">
        <f>IF(AND(ISNUMBER(K45),N(K45)&gt;0),H45+K45*J45,"")</f>
        <v/>
      </c>
      <c r="M45" s="24">
        <f>IF(ISNUMBER(L45),ABS(L45-$C$16),1000000000)</f>
        <v>1000000000</v>
      </c>
    </row>
    <row r="46" spans="1:13" x14ac:dyDescent="0.3">
      <c r="A46" s="24">
        <f>A45+0.01</f>
        <v>0.18000000000000002</v>
      </c>
      <c r="B46" s="20">
        <f>A46*$C$5</f>
        <v>108.00000000000001</v>
      </c>
      <c r="C46" s="20">
        <f>MIN(0.8*B46,$C$5)</f>
        <v>86.40000000000002</v>
      </c>
      <c r="D46" s="24">
        <f>ACOS(MAX(-1,($C$7-C46)/$C$7))</f>
        <v>0.77845394015561808</v>
      </c>
      <c r="E46" s="20">
        <f>$C$7^2*(D46-SIN(D46)*COS(D46))</f>
        <v>25065.194545523467</v>
      </c>
      <c r="F46" s="24">
        <f>E46/$C$9</f>
        <v>8.864999136622384E-2</v>
      </c>
      <c r="G46" s="16">
        <f>IF(E46&gt;0,2*$C$7^3*SIN(D46)^3/(3*E46),0)</f>
        <v>248.62557325238609</v>
      </c>
      <c r="H46" s="24">
        <f>F46*G46/$C$5</f>
        <v>3.6734424870410794E-2</v>
      </c>
      <c r="I46" s="24" cm="1">
        <f t="array" ref="I46">_xlfn.LET(_xlpm.x,$B46,_xlpm.dep,$H$6:$H$29,_xlpm.e,IF(_xlpm.x&lt;=$C$5,$C$12*(_xlpm.x-_xlpm.dep)/_xlpm.x,$C$13*(_xlpm.x-_xlpm.dep)/(_xlpm.x-3*$C$5/7))/$C$14,_xlpm.s,(_xlpm.e&gt;=1)*1+(_xlpm.e&lt;=-1)*(-1)+(ABS(_xlpm.e)&lt;1)*_xlpm.e,AVERAGE(_xlpm.s))</f>
        <v>-0.67481235990000143</v>
      </c>
      <c r="J46" s="24" cm="1">
        <f t="array" ref="J46">_xlfn.LET(_xlpm.x,$B46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0.11307867662782321</v>
      </c>
      <c r="K46" s="24">
        <f>IFERROR(($C$15-F46)/I46,"")</f>
        <v>-0.18309771243857983</v>
      </c>
      <c r="L46" s="24" t="str">
        <f>IF(AND(ISNUMBER(K46),N(K46)&gt;0),H46+K46*J46,"")</f>
        <v/>
      </c>
      <c r="M46" s="24">
        <f>IF(ISNUMBER(L46),ABS(L46-$C$16),1000000000)</f>
        <v>1000000000</v>
      </c>
    </row>
    <row r="47" spans="1:13" x14ac:dyDescent="0.3">
      <c r="A47" s="24">
        <f>A46+0.01</f>
        <v>0.19000000000000003</v>
      </c>
      <c r="B47" s="20">
        <f>A47*$C$5</f>
        <v>114.00000000000001</v>
      </c>
      <c r="C47" s="20">
        <f>MIN(0.8*B47,$C$5)</f>
        <v>91.200000000000017</v>
      </c>
      <c r="D47" s="24">
        <f>ACOS(MAX(-1,($C$7-C47)/$C$7))</f>
        <v>0.80098468766555209</v>
      </c>
      <c r="E47" s="20">
        <f>$C$7^2*(D47-SIN(D47)*COS(D47))</f>
        <v>27110.484695853964</v>
      </c>
      <c r="F47" s="24">
        <f>E47/$C$9</f>
        <v>9.5883725532496369E-2</v>
      </c>
      <c r="G47" s="16">
        <f>IF(E47&gt;0,2*$C$7^3*SIN(D47)^3/(3*E47),0)</f>
        <v>245.80141021464124</v>
      </c>
      <c r="H47" s="24">
        <f>F47*G47/$C$5</f>
        <v>3.928059158753535E-2</v>
      </c>
      <c r="I47" s="24" cm="1">
        <f t="array" ref="I47">_xlfn.LET(_xlpm.x,$B47,_xlpm.dep,$H$6:$H$29,_xlpm.e,IF(_xlpm.x&lt;=$C$5,$C$12*(_xlpm.x-_xlpm.dep)/_xlpm.x,$C$13*(_xlpm.x-_xlpm.dep)/(_xlpm.x-3*$C$5/7))/$C$14,_xlpm.s,(_xlpm.e&gt;=1)*1+(_xlpm.e&lt;=-1)*(-1)+(ABS(_xlpm.e)&lt;1)*_xlpm.e,AVERAGE(_xlpm.s))</f>
        <v>-0.65186170937894861</v>
      </c>
      <c r="J47" s="24" cm="1">
        <f t="array" ref="J47">_xlfn.LET(_xlpm.x,$B47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0.12046303373629605</v>
      </c>
      <c r="K47" s="24">
        <f>IFERROR(($C$15-F47)/I47,"")</f>
        <v>-0.17844715157072535</v>
      </c>
      <c r="L47" s="24" t="str">
        <f>IF(AND(ISNUMBER(K47),N(K47)&gt;0),H47+K47*J47,"")</f>
        <v/>
      </c>
      <c r="M47" s="24">
        <f>IF(ISNUMBER(L47),ABS(L47-$C$16),1000000000)</f>
        <v>1000000000</v>
      </c>
    </row>
    <row r="48" spans="1:13" x14ac:dyDescent="0.3">
      <c r="A48" s="24">
        <f>A47+0.01</f>
        <v>0.20000000000000004</v>
      </c>
      <c r="B48" s="20">
        <f>A48*$C$5</f>
        <v>120.00000000000003</v>
      </c>
      <c r="C48" s="20">
        <f>MIN(0.8*B48,$C$5)</f>
        <v>96.000000000000028</v>
      </c>
      <c r="D48" s="24">
        <f>ACOS(MAX(-1,($C$7-C48)/$C$7))</f>
        <v>0.82303369213497612</v>
      </c>
      <c r="E48" s="20">
        <f>$C$7^2*(D48-SIN(D48)*COS(D48))</f>
        <v>29200.451087140264</v>
      </c>
      <c r="F48" s="24">
        <f>E48/$C$9</f>
        <v>0.10327546957847737</v>
      </c>
      <c r="G48" s="16">
        <f>IF(E48&gt;0,2*$C$7^3*SIN(D48)^3/(3*E48),0)</f>
        <v>242.9807312365958</v>
      </c>
      <c r="H48" s="24">
        <f>F48*G48/$C$5</f>
        <v>4.1823248528302062E-2</v>
      </c>
      <c r="I48" s="24" cm="1">
        <f t="array" ref="I48">_xlfn.LET(_xlpm.x,$B48,_xlpm.dep,$H$6:$H$29,_xlpm.e,IF(_xlpm.x&lt;=$C$5,$C$12*(_xlpm.x-_xlpm.dep)/_xlpm.x,$C$13*(_xlpm.x-_xlpm.dep)/(_xlpm.x-3*$C$5/7))/$C$14,_xlpm.s,(_xlpm.e&gt;=1)*1+(_xlpm.e&lt;=-1)*(-1)+(ABS(_xlpm.e)&lt;1)*_xlpm.e,AVERAGE(_xlpm.s))</f>
        <v>-0.62054640168777886</v>
      </c>
      <c r="J48" s="24" cm="1">
        <f t="array" ref="J48">_xlfn.LET(_xlpm.x,$B48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0.12915206855984759</v>
      </c>
      <c r="K48" s="24">
        <f>IFERROR(($C$15-F48)/I48,"")</f>
        <v>-0.17554065403399741</v>
      </c>
      <c r="L48" s="24" t="str">
        <f>IF(AND(ISNUMBER(K48),N(K48)&gt;0),H48+K48*J48,"")</f>
        <v/>
      </c>
      <c r="M48" s="24">
        <f>IF(ISNUMBER(L48),ABS(L48-$C$16),1000000000)</f>
        <v>1000000000</v>
      </c>
    </row>
    <row r="49" spans="1:13" x14ac:dyDescent="0.3">
      <c r="A49" s="24">
        <f>A48+0.01</f>
        <v>0.21000000000000005</v>
      </c>
      <c r="B49" s="20">
        <f>A49*$C$5</f>
        <v>126.00000000000003</v>
      </c>
      <c r="C49" s="20">
        <f>MIN(0.8*B49,$C$5)</f>
        <v>100.80000000000003</v>
      </c>
      <c r="D49" s="24">
        <f>ACOS(MAX(-1,($C$7-C49)/$C$7))</f>
        <v>0.84464068082071642</v>
      </c>
      <c r="E49" s="20">
        <f>$C$7^2*(D49-SIN(D49)*COS(D49))</f>
        <v>31333.162740364067</v>
      </c>
      <c r="F49" s="24">
        <f>E49/$C$9</f>
        <v>0.11081839406292751</v>
      </c>
      <c r="G49" s="16">
        <f>IF(E49&gt;0,2*$C$7^3*SIN(D49)^3/(3*E49),0)</f>
        <v>240.16359160348591</v>
      </c>
      <c r="H49" s="24">
        <f>F49*G49/$C$5</f>
        <v>4.4357572556471818E-2</v>
      </c>
      <c r="I49" s="24" cm="1">
        <f t="array" ref="I49">_xlfn.LET(_xlpm.x,$B49,_xlpm.dep,$H$6:$H$29,_xlpm.e,IF(_xlpm.x&lt;=$C$5,$C$12*(_xlpm.x-_xlpm.dep)/_xlpm.x,$C$13*(_xlpm.x-_xlpm.dep)/(_xlpm.x-3*$C$5/7))/$C$14,_xlpm.s,(_xlpm.e&gt;=1)*1+(_xlpm.e&lt;=-1)*(-1)+(ABS(_xlpm.e)&lt;1)*_xlpm.e,AVERAGE(_xlpm.s))</f>
        <v>-0.59200847779788468</v>
      </c>
      <c r="J49" s="24" cm="1">
        <f t="array" ref="J49">_xlfn.LET(_xlpm.x,$B49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0.13705287299455993</v>
      </c>
      <c r="K49" s="24">
        <f>IFERROR(($C$15-F49)/I49,"")</f>
        <v>-0.17126139325471076</v>
      </c>
      <c r="L49" s="24" t="str">
        <f>IF(AND(ISNUMBER(K49),N(K49)&gt;0),H49+K49*J49,"")</f>
        <v/>
      </c>
      <c r="M49" s="24">
        <f>IF(ISNUMBER(L49),ABS(L49-$C$16),1000000000)</f>
        <v>1000000000</v>
      </c>
    </row>
    <row r="50" spans="1:13" x14ac:dyDescent="0.3">
      <c r="A50" s="24">
        <f>A49+0.01</f>
        <v>0.22000000000000006</v>
      </c>
      <c r="B50" s="20">
        <f>A50*$C$5</f>
        <v>132.00000000000003</v>
      </c>
      <c r="C50" s="20">
        <f>MIN(0.8*B50,$C$5)</f>
        <v>105.60000000000002</v>
      </c>
      <c r="D50" s="24">
        <f>ACOS(MAX(-1,($C$7-C50)/$C$7))</f>
        <v>0.86584074431493285</v>
      </c>
      <c r="E50" s="20">
        <f>$C$7^2*(D50-SIN(D50)*COS(D50))</f>
        <v>33506.802647273733</v>
      </c>
      <c r="F50" s="24">
        <f>E50/$C$9</f>
        <v>0.11850607263373819</v>
      </c>
      <c r="G50" s="16">
        <f>IF(E50&gt;0,2*$C$7^3*SIN(D50)^3/(3*E50),0)</f>
        <v>237.3500478786774</v>
      </c>
      <c r="H50" s="24">
        <f>F50*G50/$C$5</f>
        <v>4.6879036689219639E-2</v>
      </c>
      <c r="I50" s="24" cm="1">
        <f t="array" ref="I50">_xlfn.LET(_xlpm.x,$B50,_xlpm.dep,$H$6:$H$29,_xlpm.e,IF(_xlpm.x&lt;=$C$5,$C$12*(_xlpm.x-_xlpm.dep)/_xlpm.x,$C$13*(_xlpm.x-_xlpm.dep)/(_xlpm.x-3*$C$5/7))/$C$14,_xlpm.s,(_xlpm.e&gt;=1)*1+(_xlpm.e&lt;=-1)*(-1)+(ABS(_xlpm.e)&lt;1)*_xlpm.e,AVERAGE(_xlpm.s))</f>
        <v>-0.56606491062525355</v>
      </c>
      <c r="J50" s="24" cm="1">
        <f t="array" ref="J50">_xlfn.LET(_xlpm.x,$B50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0.14423542248066204</v>
      </c>
      <c r="K50" s="24">
        <f>IFERROR(($C$15-F50)/I50,"")</f>
        <v>-0.16552963520024153</v>
      </c>
      <c r="L50" s="24" t="str">
        <f>IF(AND(ISNUMBER(K50),N(K50)&gt;0),H50+K50*J50,"")</f>
        <v/>
      </c>
      <c r="M50" s="24">
        <f>IF(ISNUMBER(L50),ABS(L50-$C$16),1000000000)</f>
        <v>1000000000</v>
      </c>
    </row>
    <row r="51" spans="1:13" x14ac:dyDescent="0.3">
      <c r="A51" s="24">
        <f>A50+0.01</f>
        <v>0.23000000000000007</v>
      </c>
      <c r="B51" s="20">
        <f>A51*$C$5</f>
        <v>138.00000000000003</v>
      </c>
      <c r="C51" s="20">
        <f>MIN(0.8*B51,$C$5)</f>
        <v>110.40000000000003</v>
      </c>
      <c r="D51" s="24">
        <f>ACOS(MAX(-1,($C$7-C51)/$C$7))</f>
        <v>0.88666507202864253</v>
      </c>
      <c r="E51" s="20">
        <f>$C$7^2*(D51-SIN(D51)*COS(D51))</f>
        <v>35719.654661188681</v>
      </c>
      <c r="F51" s="24">
        <f>E51/$C$9</f>
        <v>0.12633243566363642</v>
      </c>
      <c r="G51" s="16">
        <f>IF(E51&gt;0,2*$C$7^3*SIN(D51)^3/(3*E51),0)</f>
        <v>234.54015794321307</v>
      </c>
      <c r="H51" s="24">
        <f>F51*G51/$C$5</f>
        <v>4.9383382356500152E-2</v>
      </c>
      <c r="I51" s="24" cm="1">
        <f t="array" ref="I51">_xlfn.LET(_xlpm.x,$B51,_xlpm.dep,$H$6:$H$29,_xlpm.e,IF(_xlpm.x&lt;=$C$5,$C$12*(_xlpm.x-_xlpm.dep)/_xlpm.x,$C$13*(_xlpm.x-_xlpm.dep)/(_xlpm.x-3*$C$5/7))/$C$14,_xlpm.s,(_xlpm.e&gt;=1)*1+(_xlpm.e&lt;=-1)*(-1)+(ABS(_xlpm.e)&lt;1)*_xlpm.e,AVERAGE(_xlpm.s))</f>
        <v>-0.54237730581545984</v>
      </c>
      <c r="J51" s="24" cm="1">
        <f t="array" ref="J51">_xlfn.LET(_xlpm.x,$B51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0.1507934024462336</v>
      </c>
      <c r="K51" s="24">
        <f>IFERROR(($C$15-F51)/I51,"")</f>
        <v>-0.15832918192704659</v>
      </c>
      <c r="L51" s="24" t="str">
        <f>IF(AND(ISNUMBER(K51),N(K51)&gt;0),H51+K51*J51,"")</f>
        <v/>
      </c>
      <c r="M51" s="24">
        <f>IF(ISNUMBER(L51),ABS(L51-$C$16),1000000000)</f>
        <v>1000000000</v>
      </c>
    </row>
    <row r="52" spans="1:13" x14ac:dyDescent="0.3">
      <c r="A52" s="24">
        <f>A51+0.01</f>
        <v>0.24000000000000007</v>
      </c>
      <c r="B52" s="20">
        <f>A52*$C$5</f>
        <v>144.00000000000006</v>
      </c>
      <c r="C52" s="20">
        <f>MIN(0.8*B52,$C$5)</f>
        <v>115.20000000000005</v>
      </c>
      <c r="D52" s="24">
        <f>ACOS(MAX(-1,($C$7-C52)/$C$7))</f>
        <v>0.90714154492811294</v>
      </c>
      <c r="E52" s="20">
        <f>$C$7^2*(D52-SIN(D52)*COS(D52))</f>
        <v>37970.092376326676</v>
      </c>
      <c r="F52" s="24">
        <f>E52/$C$9</f>
        <v>0.13429173091885069</v>
      </c>
      <c r="G52" s="16">
        <f>IF(E52&gt;0,2*$C$7^3*SIN(D52)^3/(3*E52),0)</f>
        <v>231.73398103691406</v>
      </c>
      <c r="H52" s="24">
        <f>F52*G52/$C$5</f>
        <v>5.1866595710272183E-2</v>
      </c>
      <c r="I52" s="24" cm="1">
        <f t="array" ref="I52">_xlfn.LET(_xlpm.x,$B52,_xlpm.dep,$H$6:$H$29,_xlpm.e,IF(_xlpm.x&lt;=$C$5,$C$12*(_xlpm.x-_xlpm.dep)/_xlpm.x,$C$13*(_xlpm.x-_xlpm.dep)/(_xlpm.x-3*$C$5/7))/$C$14,_xlpm.s,(_xlpm.e&gt;=1)*1+(_xlpm.e&lt;=-1)*(-1)+(ABS(_xlpm.e)&lt;1)*_xlpm.e,AVERAGE(_xlpm.s))</f>
        <v>-0.52066366807314912</v>
      </c>
      <c r="J52" s="24" cm="1">
        <f t="array" ref="J52">_xlfn.LET(_xlpm.x,$B52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0.15680488408134083</v>
      </c>
      <c r="K52" s="24">
        <f>IFERROR(($C$15-F52)/I52,"")</f>
        <v>-0.1496452789930344</v>
      </c>
      <c r="L52" s="24" t="str">
        <f>IF(AND(ISNUMBER(K52),N(K52)&gt;0),H52+K52*J52,"")</f>
        <v/>
      </c>
      <c r="M52" s="24">
        <f>IF(ISNUMBER(L52),ABS(L52-$C$16),1000000000)</f>
        <v>1000000000</v>
      </c>
    </row>
    <row r="53" spans="1:13" x14ac:dyDescent="0.3">
      <c r="A53" s="24">
        <f>A52+0.01</f>
        <v>0.25000000000000006</v>
      </c>
      <c r="B53" s="20">
        <f>A53*$C$5</f>
        <v>150.00000000000003</v>
      </c>
      <c r="C53" s="20">
        <f>MIN(0.8*B53,$C$5)</f>
        <v>120.00000000000003</v>
      </c>
      <c r="D53" s="24">
        <f>ACOS(MAX(-1,($C$7-C53)/$C$7))</f>
        <v>0.9272952180016123</v>
      </c>
      <c r="E53" s="20">
        <f>$C$7^2*(D53-SIN(D53)*COS(D53))</f>
        <v>40256.569620145106</v>
      </c>
      <c r="F53" s="24">
        <f>E53/$C$9</f>
        <v>0.14237848993264704</v>
      </c>
      <c r="G53" s="16">
        <f>IF(E53&gt;0,2*$C$7^3*SIN(D53)^3/(3*E53),0)</f>
        <v>228.9315778011088</v>
      </c>
      <c r="H53" s="24">
        <f>F53*G53/$C$5</f>
        <v>5.4324887242033618E-2</v>
      </c>
      <c r="I53" s="24" cm="1">
        <f t="array" ref="I53">_xlfn.LET(_xlpm.x,$B53,_xlpm.dep,$H$6:$H$29,_xlpm.e,IF(_xlpm.x&lt;=$C$5,$C$12*(_xlpm.x-_xlpm.dep)/_xlpm.x,$C$13*(_xlpm.x-_xlpm.dep)/(_xlpm.x-3*$C$5/7))/$C$14,_xlpm.s,(_xlpm.e&gt;=1)*1+(_xlpm.e&lt;=-1)*(-1)+(ABS(_xlpm.e)&lt;1)*_xlpm.e,AVERAGE(_xlpm.s))</f>
        <v>-0.49827562557163235</v>
      </c>
      <c r="J53" s="24" cm="1">
        <f t="array" ref="J53">_xlfn.LET(_xlpm.x,$B53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0.16257470124893486</v>
      </c>
      <c r="K53" s="24">
        <f>IFERROR(($C$15-F53)/I53,"")</f>
        <v>-0.1401395076799882</v>
      </c>
      <c r="L53" s="24" t="str">
        <f>IF(AND(ISNUMBER(K53),N(K53)&gt;0),H53+K53*J53,"")</f>
        <v/>
      </c>
      <c r="M53" s="24">
        <f>IF(ISNUMBER(L53),ABS(L53-$C$16),1000000000)</f>
        <v>1000000000</v>
      </c>
    </row>
    <row r="54" spans="1:13" x14ac:dyDescent="0.3">
      <c r="A54" s="24">
        <f>A53+0.01</f>
        <v>0.26000000000000006</v>
      </c>
      <c r="B54" s="20">
        <f>A54*$C$5</f>
        <v>156.00000000000003</v>
      </c>
      <c r="C54" s="20">
        <f>MIN(0.8*B54,$C$5)</f>
        <v>124.80000000000003</v>
      </c>
      <c r="D54" s="24">
        <f>ACOS(MAX(-1,($C$7-C54)/$C$7))</f>
        <v>0.94714871655134181</v>
      </c>
      <c r="E54" s="20">
        <f>$C$7^2*(D54-SIN(D54)*COS(D54))</f>
        <v>42577.612266462776</v>
      </c>
      <c r="F54" s="24">
        <f>E54/$C$9</f>
        <v>0.15058749905017038</v>
      </c>
      <c r="G54" s="16">
        <f>IF(E54&gt;0,2*$C$7^3*SIN(D54)^3/(3*E54),0)</f>
        <v>226.13301032307177</v>
      </c>
      <c r="H54" s="24">
        <f>F54*G54/$C$5</f>
        <v>5.6754674128729574E-2</v>
      </c>
      <c r="I54" s="24" cm="1">
        <f t="array" ref="I54">_xlfn.LET(_xlpm.x,$B54,_xlpm.dep,$H$6:$H$29,_xlpm.e,IF(_xlpm.x&lt;=$C$5,$C$12*(_xlpm.x-_xlpm.dep)/_xlpm.x,$C$13*(_xlpm.x-_xlpm.dep)/(_xlpm.x-3*$C$5/7))/$C$14,_xlpm.s,(_xlpm.e&gt;=1)*1+(_xlpm.e&lt;=-1)*(-1)+(ABS(_xlpm.e)&lt;1)*_xlpm.e,AVERAGE(_xlpm.s))</f>
        <v>-0.47156310151118491</v>
      </c>
      <c r="J54" s="24" cm="1">
        <f t="array" ref="J54">_xlfn.LET(_xlpm.x,$B54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0.16850059733836928</v>
      </c>
      <c r="K54" s="24">
        <f>IFERROR(($C$15-F54)/I54,"")</f>
        <v>-0.1306698754452098</v>
      </c>
      <c r="L54" s="24" t="str">
        <f>IF(AND(ISNUMBER(K54),N(K54)&gt;0),H54+K54*J54,"")</f>
        <v/>
      </c>
      <c r="M54" s="24">
        <f>IF(ISNUMBER(L54),ABS(L54-$C$16),1000000000)</f>
        <v>1000000000</v>
      </c>
    </row>
    <row r="55" spans="1:13" x14ac:dyDescent="0.3">
      <c r="A55" s="24">
        <f>A54+0.01</f>
        <v>0.27000000000000007</v>
      </c>
      <c r="B55" s="20">
        <f>A55*$C$5</f>
        <v>162.00000000000006</v>
      </c>
      <c r="C55" s="20">
        <f>MIN(0.8*B55,$C$5)</f>
        <v>129.60000000000005</v>
      </c>
      <c r="D55" s="24">
        <f>ACOS(MAX(-1,($C$7-C55)/$C$7))</f>
        <v>0.96672256442390436</v>
      </c>
      <c r="E55" s="20">
        <f>$C$7^2*(D55-SIN(D55)*COS(D55))</f>
        <v>44931.811139389836</v>
      </c>
      <c r="F55" s="24">
        <f>E55/$C$9</f>
        <v>0.15891377433123063</v>
      </c>
      <c r="G55" s="16">
        <f>IF(E55&gt;0,2*$C$7^3*SIN(D55)^3/(3*E55),0)</f>
        <v>223.33834218225161</v>
      </c>
      <c r="H55" s="24">
        <f>F55*G55/$C$5</f>
        <v>5.9152564848435826E-2</v>
      </c>
      <c r="I55" s="24" cm="1">
        <f t="array" ref="I55">_xlfn.LET(_xlpm.x,$B55,_xlpm.dep,$H$6:$H$29,_xlpm.e,IF(_xlpm.x&lt;=$C$5,$C$12*(_xlpm.x-_xlpm.dep)/_xlpm.x,$C$13*(_xlpm.x-_xlpm.dep)/(_xlpm.x-3*$C$5/7))/$C$14,_xlpm.s,(_xlpm.e&gt;=1)*1+(_xlpm.e&lt;=-1)*(-1)+(ABS(_xlpm.e)&lt;1)*_xlpm.e,AVERAGE(_xlpm.s))</f>
        <v>-0.4468292829366966</v>
      </c>
      <c r="J55" s="24" cm="1">
        <f t="array" ref="J55">_xlfn.LET(_xlpm.x,$B55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0.17398753816191964</v>
      </c>
      <c r="K55" s="24">
        <f>IFERROR(($C$15-F55)/I55,"")</f>
        <v>-0.1192688538846574</v>
      </c>
      <c r="L55" s="24" t="str">
        <f>IF(AND(ISNUMBER(K55),N(K55)&gt;0),H55+K55*J55,"")</f>
        <v/>
      </c>
      <c r="M55" s="24">
        <f>IF(ISNUMBER(L55),ABS(L55-$C$16),1000000000)</f>
        <v>1000000000</v>
      </c>
    </row>
    <row r="56" spans="1:13" x14ac:dyDescent="0.3">
      <c r="A56" s="24">
        <f>A55+0.01</f>
        <v>0.28000000000000008</v>
      </c>
      <c r="B56" s="20">
        <f>A56*$C$5</f>
        <v>168.00000000000006</v>
      </c>
      <c r="C56" s="20">
        <f>MIN(0.8*B56,$C$5)</f>
        <v>134.40000000000006</v>
      </c>
      <c r="D56" s="24">
        <f>ACOS(MAX(-1,($C$7-C56)/$C$7))</f>
        <v>0.98603545796151482</v>
      </c>
      <c r="E56" s="20">
        <f>$C$7^2*(D56-SIN(D56)*COS(D56))</f>
        <v>47317.815825233003</v>
      </c>
      <c r="F56" s="24">
        <f>E56/$C$9</f>
        <v>0.16735253966439428</v>
      </c>
      <c r="G56" s="16">
        <f>IF(E56&gt;0,2*$C$7^3*SIN(D56)^3/(3*E56),0)</f>
        <v>220.5476384983796</v>
      </c>
      <c r="H56" s="24">
        <f>F56*G56/$C$5</f>
        <v>6.1515345699480938E-2</v>
      </c>
      <c r="I56" s="24" cm="1">
        <f t="array" ref="I56">_xlfn.LET(_xlpm.x,$B56,_xlpm.dep,$H$6:$H$29,_xlpm.e,IF(_xlpm.x&lt;=$C$5,$C$12*(_xlpm.x-_xlpm.dep)/_xlpm.x,$C$13*(_xlpm.x-_xlpm.dep)/(_xlpm.x-3*$C$5/7))/$C$14,_xlpm.s,(_xlpm.e&gt;=1)*1+(_xlpm.e&lt;=-1)*(-1)+(ABS(_xlpm.e)&lt;1)*_xlpm.e,AVERAGE(_xlpm.s))</f>
        <v>-0.4238621656889574</v>
      </c>
      <c r="J56" s="24" cm="1">
        <f t="array" ref="J56">_xlfn.LET(_xlpm.x,$B56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0.17908255464093076</v>
      </c>
      <c r="K56" s="24">
        <f>IFERROR(($C$15-F56)/I56,"")</f>
        <v>-0.10582225722338871</v>
      </c>
      <c r="L56" s="24" t="str">
        <f>IF(AND(ISNUMBER(K56),N(K56)&gt;0),H56+K56*J56,"")</f>
        <v/>
      </c>
      <c r="M56" s="24">
        <f>IF(ISNUMBER(L56),ABS(L56-$C$16),1000000000)</f>
        <v>1000000000</v>
      </c>
    </row>
    <row r="57" spans="1:13" x14ac:dyDescent="0.3">
      <c r="A57" s="24">
        <f>A56+0.01</f>
        <v>0.29000000000000009</v>
      </c>
      <c r="B57" s="20">
        <f>A57*$C$5</f>
        <v>174.00000000000006</v>
      </c>
      <c r="C57" s="20">
        <f>MIN(0.8*B57,$C$5)</f>
        <v>139.20000000000005</v>
      </c>
      <c r="D57" s="24">
        <f>ACOS(MAX(-1,($C$7-C57)/$C$7))</f>
        <v>1.0051044962776214</v>
      </c>
      <c r="E57" s="20">
        <f>$C$7^2*(D57-SIN(D57)*COS(D57))</f>
        <v>49734.32924565245</v>
      </c>
      <c r="F57" s="24">
        <f>E57/$C$9</f>
        <v>0.17589920757345337</v>
      </c>
      <c r="G57" s="16">
        <f>IF(E57&gt;0,2*$C$7^3*SIN(D57)^3/(3*E57),0)</f>
        <v>217.76096598155254</v>
      </c>
      <c r="H57" s="24">
        <f>F57*G57/$C$5</f>
        <v>6.3839968927641377E-2</v>
      </c>
      <c r="I57" s="24" cm="1">
        <f t="array" ref="I57">_xlfn.LET(_xlpm.x,$B57,_xlpm.dep,$H$6:$H$29,_xlpm.e,IF(_xlpm.x&lt;=$C$5,$C$12*(_xlpm.x-_xlpm.dep)/_xlpm.x,$C$13*(_xlpm.x-_xlpm.dep)/(_xlpm.x-3*$C$5/7))/$C$14,_xlpm.s,(_xlpm.e&gt;=1)*1+(_xlpm.e&lt;=-1)*(-1)+(ABS(_xlpm.e)&lt;1)*_xlpm.e,AVERAGE(_xlpm.s))</f>
        <v>-0.40247898756175188</v>
      </c>
      <c r="J57" s="24" cm="1">
        <f t="array" ref="J57">_xlfn.LET(_xlpm.x,$B57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0.18382619067311345</v>
      </c>
      <c r="K57" s="24">
        <f>IFERROR(($C$15-F57)/I57,"")</f>
        <v>-9.0209388161337917E-2</v>
      </c>
      <c r="L57" s="24" t="str">
        <f>IF(AND(ISNUMBER(K57),N(K57)&gt;0),H57+K57*J57,"")</f>
        <v/>
      </c>
      <c r="M57" s="24">
        <f>IF(ISNUMBER(L57),ABS(L57-$C$16),1000000000)</f>
        <v>1000000000</v>
      </c>
    </row>
    <row r="58" spans="1:13" x14ac:dyDescent="0.3">
      <c r="A58" s="24">
        <f>A57+0.01</f>
        <v>0.3000000000000001</v>
      </c>
      <c r="B58" s="20">
        <f>A58*$C$5</f>
        <v>180.00000000000006</v>
      </c>
      <c r="C58" s="20">
        <f>MIN(0.8*B58,$C$5)</f>
        <v>144.00000000000006</v>
      </c>
      <c r="D58" s="24">
        <f>ACOS(MAX(-1,($C$7-C58)/$C$7))</f>
        <v>1.0239453760989528</v>
      </c>
      <c r="E58" s="20">
        <f>$C$7^2*(D58-SIN(D58)*COS(D58))</f>
        <v>52180.102873300537</v>
      </c>
      <c r="F58" s="24">
        <f>E58/$C$9</f>
        <v>0.18454936229620869</v>
      </c>
      <c r="G58" s="16">
        <f>IF(E58&gt;0,2*$C$7^3*SIN(D58)^3/(3*E58),0)</f>
        <v>214.9783929843872</v>
      </c>
      <c r="H58" s="24">
        <f>F58*G58/$C$5</f>
        <v>6.6123542221220674E-2</v>
      </c>
      <c r="I58" s="24" cm="1">
        <f t="array" ref="I58">_xlfn.LET(_xlpm.x,$B58,_xlpm.dep,$H$6:$H$29,_xlpm.e,IF(_xlpm.x&lt;=$C$5,$C$12*(_xlpm.x-_xlpm.dep)/_xlpm.x,$C$13*(_xlpm.x-_xlpm.dep)/(_xlpm.x-3*$C$5/7))/$C$14,_xlpm.s,(_xlpm.e&gt;=1)*1+(_xlpm.e&lt;=-1)*(-1)+(ABS(_xlpm.e)&lt;1)*_xlpm.e,AVERAGE(_xlpm.s))</f>
        <v>-0.38252135464302689</v>
      </c>
      <c r="J58" s="24" cm="1">
        <f t="array" ref="J58">_xlfn.LET(_xlpm.x,$B58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0.1882535843031507</v>
      </c>
      <c r="K58" s="24">
        <f>IFERROR(($C$15-F58)/I58,"")</f>
        <v>-7.230244313757353E-2</v>
      </c>
      <c r="L58" s="24" t="str">
        <f>IF(AND(ISNUMBER(K58),N(K58)&gt;0),H58+K58*J58,"")</f>
        <v/>
      </c>
      <c r="M58" s="24">
        <f>IF(ISNUMBER(L58),ABS(L58-$C$16),1000000000)</f>
        <v>1000000000</v>
      </c>
    </row>
    <row r="59" spans="1:13" x14ac:dyDescent="0.3">
      <c r="A59" s="24">
        <f>A58+0.01</f>
        <v>0.31000000000000011</v>
      </c>
      <c r="B59" s="20">
        <f>A59*$C$5</f>
        <v>186.00000000000006</v>
      </c>
      <c r="C59" s="20">
        <f>MIN(0.8*B59,$C$5)</f>
        <v>148.80000000000004</v>
      </c>
      <c r="D59" s="24">
        <f>ACOS(MAX(-1,($C$7-C59)/$C$7))</f>
        <v>1.0425725576412255</v>
      </c>
      <c r="E59" s="20">
        <f>$C$7^2*(D59-SIN(D59)*COS(D59))</f>
        <v>54653.932493027685</v>
      </c>
      <c r="F59" s="24">
        <f>E59/$C$9</f>
        <v>0.19329874479280246</v>
      </c>
      <c r="G59" s="16">
        <f>IF(E59&gt;0,2*$C$7^3*SIN(D59)^3/(3*E59),0)</f>
        <v>212.19998955635438</v>
      </c>
      <c r="H59" s="24">
        <f>F59*G59/$C$5</f>
        <v>6.8363319377148499E-2</v>
      </c>
      <c r="I59" s="24" cm="1">
        <f t="array" ref="I59">_xlfn.LET(_xlpm.x,$B59,_xlpm.dep,$H$6:$H$29,_xlpm.e,IF(_xlpm.x&lt;=$C$5,$C$12*(_xlpm.x-_xlpm.dep)/_xlpm.x,$C$13*(_xlpm.x-_xlpm.dep)/(_xlpm.x-3*$C$5/7))/$C$14,_xlpm.s,(_xlpm.e&gt;=1)*1+(_xlpm.e&lt;=-1)*(-1)+(ABS(_xlpm.e)&lt;1)*_xlpm.e,AVERAGE(_xlpm.s))</f>
        <v>-0.36291941130328764</v>
      </c>
      <c r="J59" s="24" cm="1">
        <f t="array" ref="J59">_xlfn.LET(_xlpm.x,$B59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0.19233007679098715</v>
      </c>
      <c r="K59" s="24">
        <f>IFERROR(($C$15-F59)/I59,"")</f>
        <v>-5.2099296448461965E-2</v>
      </c>
      <c r="L59" s="24" t="str">
        <f>IF(AND(ISNUMBER(K59),N(K59)&gt;0),H59+K59*J59,"")</f>
        <v/>
      </c>
      <c r="M59" s="24">
        <f>IF(ISNUMBER(L59),ABS(L59-$C$16),1000000000)</f>
        <v>1000000000</v>
      </c>
    </row>
    <row r="60" spans="1:13" x14ac:dyDescent="0.3">
      <c r="A60" s="24">
        <f>A59+0.01</f>
        <v>0.32000000000000012</v>
      </c>
      <c r="B60" s="20">
        <f>A60*$C$5</f>
        <v>192.00000000000006</v>
      </c>
      <c r="C60" s="20">
        <f>MIN(0.8*B60,$C$5)</f>
        <v>153.60000000000005</v>
      </c>
      <c r="D60" s="24">
        <f>ACOS(MAX(-1,($C$7-C60)/$C$7))</f>
        <v>1.0609994066378645</v>
      </c>
      <c r="E60" s="20">
        <f>$C$7^2*(D60-SIN(D60)*COS(D60))</f>
        <v>57154.654428984213</v>
      </c>
      <c r="F60" s="24">
        <f>E60/$C$9</f>
        <v>0.20214323940182058</v>
      </c>
      <c r="G60" s="16">
        <f>IF(E60&gt;0,2*$C$7^3*SIN(D60)^3/(3*E60),0)</f>
        <v>209.42582750040251</v>
      </c>
      <c r="H60" s="24">
        <f>F60*G60/$C$5</f>
        <v>7.0556691975563746E-2</v>
      </c>
      <c r="I60" s="24" cm="1">
        <f t="array" ref="I60">_xlfn.LET(_xlpm.x,$B60,_xlpm.dep,$H$6:$H$29,_xlpm.e,IF(_xlpm.x&lt;=$C$5,$C$12*(_xlpm.x-_xlpm.dep)/_xlpm.x,$C$13*(_xlpm.x-_xlpm.dep)/(_xlpm.x-3*$C$5/7))/$C$14,_xlpm.s,(_xlpm.e&gt;=1)*1+(_xlpm.e&lt;=-1)*(-1)+(ABS(_xlpm.e)&lt;1)*_xlpm.e,AVERAGE(_xlpm.s))</f>
        <v>-0.33944276303339332</v>
      </c>
      <c r="J60" s="24" cm="1">
        <f t="array" ref="J60">_xlfn.LET(_xlpm.x,$B60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0.19591054139185238</v>
      </c>
      <c r="K60" s="24">
        <f>IFERROR(($C$15-F60)/I60,"")</f>
        <v>-2.9646681217896986E-2</v>
      </c>
      <c r="L60" s="24" t="str">
        <f>IF(AND(ISNUMBER(K60),N(K60)&gt;0),H60+K60*J60,"")</f>
        <v/>
      </c>
      <c r="M60" s="24">
        <f>IF(ISNUMBER(L60),ABS(L60-$C$16),1000000000)</f>
        <v>1000000000</v>
      </c>
    </row>
    <row r="61" spans="1:13" x14ac:dyDescent="0.3">
      <c r="A61" s="24">
        <f>A60+0.01</f>
        <v>0.33000000000000013</v>
      </c>
      <c r="B61" s="20">
        <f>A61*$C$5</f>
        <v>198.00000000000009</v>
      </c>
      <c r="C61" s="20">
        <f>MIN(0.8*B61,$C$5)</f>
        <v>158.40000000000009</v>
      </c>
      <c r="D61" s="24">
        <f>ACOS(MAX(-1,($C$7-C61)/$C$7))</f>
        <v>1.0792383166073571</v>
      </c>
      <c r="E61" s="20">
        <f>$C$7^2*(D61-SIN(D61)*COS(D61))</f>
        <v>59681.142171663938</v>
      </c>
      <c r="F61" s="24">
        <f>E61/$C$9</f>
        <v>0.21107886191089975</v>
      </c>
      <c r="G61" s="16">
        <f>IF(E61&gt;0,2*$C$7^3*SIN(D61)^3/(3*E61),0)</f>
        <v>206.65598043198975</v>
      </c>
      <c r="H61" s="24">
        <f>F61*G61/$C$5</f>
        <v>7.2701181927775943E-2</v>
      </c>
      <c r="I61" s="24" cm="1">
        <f t="array" ref="I61">_xlfn.LET(_xlpm.x,$B61,_xlpm.dep,$H$6:$H$29,_xlpm.e,IF(_xlpm.x&lt;=$C$5,$C$12*(_xlpm.x-_xlpm.dep)/_xlpm.x,$C$13*(_xlpm.x-_xlpm.dep)/(_xlpm.x-3*$C$5/7))/$C$14,_xlpm.s,(_xlpm.e&gt;=1)*1+(_xlpm.e&lt;=-1)*(-1)+(ABS(_xlpm.e)&lt;1)*_xlpm.e,AVERAGE(_xlpm.s))</f>
        <v>-0.31738894193137113</v>
      </c>
      <c r="J61" s="24" cm="1">
        <f t="array" ref="J61">_xlfn.LET(_xlpm.x,$B61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0.19927400813811971</v>
      </c>
      <c r="K61" s="24">
        <f>IFERROR(($C$15-F61)/I61,"")</f>
        <v>-3.5531448305399244E-3</v>
      </c>
      <c r="L61" s="24" t="str">
        <f>IF(AND(ISNUMBER(K61),N(K61)&gt;0),H61+K61*J61,"")</f>
        <v/>
      </c>
      <c r="M61" s="24">
        <f>IF(ISNUMBER(L61),ABS(L61-$C$16),1000000000)</f>
        <v>1000000000</v>
      </c>
    </row>
    <row r="62" spans="1:13" x14ac:dyDescent="0.3">
      <c r="A62" s="24">
        <f>A61+0.01</f>
        <v>0.34000000000000014</v>
      </c>
      <c r="B62" s="20">
        <f>A62*$C$5</f>
        <v>204.00000000000009</v>
      </c>
      <c r="C62" s="20">
        <f>MIN(0.8*B62,$C$5)</f>
        <v>163.20000000000007</v>
      </c>
      <c r="D62" s="24">
        <f>ACOS(MAX(-1,($C$7-C62)/$C$7))</f>
        <v>1.0973008146448406</v>
      </c>
      <c r="E62" s="20">
        <f>$C$7^2*(D62-SIN(D62)*COS(D62))</f>
        <v>62232.303349938687</v>
      </c>
      <c r="F62" s="24">
        <f>E62/$C$9</f>
        <v>0.2201017488474902</v>
      </c>
      <c r="G62" s="16">
        <f>IF(E62&gt;0,2*$C$7^3*SIN(D62)^3/(3*E62),0)</f>
        <v>203.89052384065096</v>
      </c>
      <c r="H62" s="24">
        <f>F62*G62/$C$5</f>
        <v>7.479443478459695E-2</v>
      </c>
      <c r="I62" s="24" cm="1">
        <f t="array" ref="I62">_xlfn.LET(_xlpm.x,$B62,_xlpm.dep,$H$6:$H$29,_xlpm.e,IF(_xlpm.x&lt;=$C$5,$C$12*(_xlpm.x-_xlpm.dep)/_xlpm.x,$C$13*(_xlpm.x-_xlpm.dep)/(_xlpm.x-3*$C$5/7))/$C$14,_xlpm.s,(_xlpm.e&gt;=1)*1+(_xlpm.e&lt;=-1)*(-1)+(ABS(_xlpm.e)&lt;1)*_xlpm.e,AVERAGE(_xlpm.s))</f>
        <v>-0.29663240442358579</v>
      </c>
      <c r="J62" s="24" cm="1">
        <f t="array" ref="J62">_xlfn.LET(_xlpm.x,$B62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0.20243962389931244</v>
      </c>
      <c r="K62" s="24">
        <f>IFERROR(($C$15-F62)/I62,"")</f>
        <v>2.6615966228093944E-2</v>
      </c>
      <c r="L62" s="24">
        <f>IF(AND(ISNUMBER(K62),N(K62)&gt;0),H62+K62*J62,"")</f>
        <v>8.0182560977529085E-2</v>
      </c>
      <c r="M62" s="24">
        <f>IF(ISNUMBER(L62),ABS(L62-$C$16),1000000000)</f>
        <v>2.8573316801932702E-2</v>
      </c>
    </row>
    <row r="63" spans="1:13" x14ac:dyDescent="0.3">
      <c r="A63" s="24">
        <f>A62+0.01</f>
        <v>0.35000000000000014</v>
      </c>
      <c r="B63" s="20">
        <f>A63*$C$5</f>
        <v>210.00000000000009</v>
      </c>
      <c r="C63" s="20">
        <f>MIN(0.8*B63,$C$5)</f>
        <v>168.00000000000009</v>
      </c>
      <c r="D63" s="24">
        <f>ACOS(MAX(-1,($C$7-C63)/$C$7))</f>
        <v>1.1151976533990735</v>
      </c>
      <c r="E63" s="20">
        <f>$C$7^2*(D63-SIN(D63)*COS(D63))</f>
        <v>64807.077002017089</v>
      </c>
      <c r="F63" s="24">
        <f>E63/$C$9</f>
        <v>0.22920814782684684</v>
      </c>
      <c r="G63" s="16">
        <f>IF(E63&gt;0,2*$C$7^3*SIN(D63)^3/(3*E63),0)</f>
        <v>201.12953515423283</v>
      </c>
      <c r="H63" s="24">
        <f>F63*G63/$C$5</f>
        <v>7.6834213709960644E-2</v>
      </c>
      <c r="I63" s="24" cm="1">
        <f t="array" ref="I63">_xlfn.LET(_xlpm.x,$B63,_xlpm.dep,$H$6:$H$29,_xlpm.e,IF(_xlpm.x&lt;=$C$5,$C$12*(_xlpm.x-_xlpm.dep)/_xlpm.x,$C$13*(_xlpm.x-_xlpm.dep)/(_xlpm.x-3*$C$5/7))/$C$14,_xlpm.s,(_xlpm.e&gt;=1)*1+(_xlpm.e&lt;=-1)*(-1)+(ABS(_xlpm.e)&lt;1)*_xlpm.e,AVERAGE(_xlpm.s))</f>
        <v>-0.27816605535864275</v>
      </c>
      <c r="J63" s="24" cm="1">
        <f t="array" ref="J63">_xlfn.LET(_xlpm.x,$B63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0.20501553027774888</v>
      </c>
      <c r="K63" s="24">
        <f>IFERROR(($C$15-F63)/I63,"")</f>
        <v>6.1120171603011725E-2</v>
      </c>
      <c r="L63" s="24">
        <f>IF(AND(ISNUMBER(K63),N(K63)&gt;0),H63+K63*J63,"")</f>
        <v>8.9364798101819104E-2</v>
      </c>
      <c r="M63" s="24">
        <f>IF(ISNUMBER(L63),ABS(L63-$C$16),1000000000)</f>
        <v>1.9391079677642684E-2</v>
      </c>
    </row>
    <row r="64" spans="1:13" x14ac:dyDescent="0.3">
      <c r="A64" s="24">
        <f>A63+0.01</f>
        <v>0.36000000000000015</v>
      </c>
      <c r="B64" s="20">
        <f>A64*$C$5</f>
        <v>216.00000000000009</v>
      </c>
      <c r="C64" s="20">
        <f>MIN(0.8*B64,$C$5)</f>
        <v>172.80000000000007</v>
      </c>
      <c r="D64" s="24">
        <f>ACOS(MAX(-1,($C$7-C64)/$C$7))</f>
        <v>1.1329388914046707</v>
      </c>
      <c r="E64" s="20">
        <f>$C$7^2*(D64-SIN(D64)*COS(D64))</f>
        <v>67404.431106489501</v>
      </c>
      <c r="F64" s="24">
        <f>E64/$C$9</f>
        <v>0.23839440881988702</v>
      </c>
      <c r="G64" s="16">
        <f>IF(E64&gt;0,2*$C$7^3*SIN(D64)^3/(3*E64),0)</f>
        <v>198.37309380594021</v>
      </c>
      <c r="H64" s="24">
        <f>F64*G64/$C$5</f>
        <v>7.8818394039398512E-2</v>
      </c>
      <c r="I64" s="24" cm="1">
        <f t="array" ref="I64">_xlfn.LET(_xlpm.x,$B64,_xlpm.dep,$H$6:$H$29,_xlpm.e,IF(_xlpm.x&lt;=$C$5,$C$12*(_xlpm.x-_xlpm.dep)/_xlpm.x,$C$13*(_xlpm.x-_xlpm.dep)/(_xlpm.x-3*$C$5/7))/$C$14,_xlpm.s,(_xlpm.e&gt;=1)*1+(_xlpm.e&lt;=-1)*(-1)+(ABS(_xlpm.e)&lt;1)*_xlpm.e,AVERAGE(_xlpm.s))</f>
        <v>-0.26106422048756955</v>
      </c>
      <c r="J64" s="24" cm="1">
        <f t="array" ref="J64">_xlfn.LET(_xlpm.x,$B64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0.20732295460454792</v>
      </c>
      <c r="K64" s="24">
        <f>IFERROR(($C$15-F64)/I64,"")</f>
        <v>0.10031178528326981</v>
      </c>
      <c r="L64" s="24">
        <f>IF(AND(ISNUMBER(K64),N(K64)&gt;0),H64+K64*J64,"")</f>
        <v>9.9615329745983014E-2</v>
      </c>
      <c r="M64" s="24">
        <f>IF(ISNUMBER(L64),ABS(L64-$C$16),1000000000)</f>
        <v>9.1405480334787736E-3</v>
      </c>
    </row>
    <row r="65" spans="1:13" x14ac:dyDescent="0.3">
      <c r="A65" s="24">
        <f>A64+0.01</f>
        <v>0.37000000000000016</v>
      </c>
      <c r="B65" s="20">
        <f>A65*$C$5</f>
        <v>222.00000000000009</v>
      </c>
      <c r="C65" s="20">
        <f>MIN(0.8*B65,$C$5)</f>
        <v>177.60000000000008</v>
      </c>
      <c r="D65" s="24">
        <f>ACOS(MAX(-1,($C$7-C65)/$C$7))</f>
        <v>1.1505339635501028</v>
      </c>
      <c r="E65" s="20">
        <f>$C$7^2*(D65-SIN(D65)*COS(D65))</f>
        <v>70023.360340535146</v>
      </c>
      <c r="F65" s="24">
        <f>E65/$C$9</f>
        <v>0.24765697622447003</v>
      </c>
      <c r="G65" s="16">
        <f>IF(E65&gt;0,2*$C$7^3*SIN(D65)^3/(3*E65),0)</f>
        <v>195.62128130434385</v>
      </c>
      <c r="H65" s="24">
        <f>F65*G65/$C$5</f>
        <v>8.0744958354983756E-2</v>
      </c>
      <c r="I65" s="24" cm="1">
        <f t="array" ref="I65">_xlfn.LET(_xlpm.x,$B65,_xlpm.dep,$H$6:$H$29,_xlpm.e,IF(_xlpm.x&lt;=$C$5,$C$12*(_xlpm.x-_xlpm.dep)/_xlpm.x,$C$13*(_xlpm.x-_xlpm.dep)/(_xlpm.x-3*$C$5/7))/$C$14,_xlpm.s,(_xlpm.e&gt;=1)*1+(_xlpm.e&lt;=-1)*(-1)+(ABS(_xlpm.e)&lt;1)*_xlpm.e,AVERAGE(_xlpm.s))</f>
        <v>-0.24466935131578202</v>
      </c>
      <c r="J65" s="24" cm="1">
        <f t="array" ref="J65">_xlfn.LET(_xlpm.x,$B65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0.2094840784402843</v>
      </c>
      <c r="K65" s="24">
        <f>IFERROR(($C$15-F65)/I65,"")</f>
        <v>0.14489099368037445</v>
      </c>
      <c r="L65" s="24">
        <f>IF(AND(ISNUMBER(K65),N(K65)&gt;0),H65+K65*J65,"")</f>
        <v>0.11109731464041406</v>
      </c>
      <c r="M65" s="24">
        <f>IF(ISNUMBER(L65),ABS(L65-$C$16),1000000000)</f>
        <v>2.3414368609522701E-3</v>
      </c>
    </row>
    <row r="66" spans="1:13" x14ac:dyDescent="0.3">
      <c r="A66" s="24">
        <f>A65+0.01</f>
        <v>0.38000000000000017</v>
      </c>
      <c r="B66" s="20">
        <f>A66*$C$5</f>
        <v>228.00000000000011</v>
      </c>
      <c r="C66" s="20">
        <f>MIN(0.8*B66,$C$5)</f>
        <v>182.40000000000009</v>
      </c>
      <c r="D66" s="24">
        <f>ACOS(MAX(-1,($C$7-C66)/$C$7))</f>
        <v>1.1679917431511839</v>
      </c>
      <c r="E66" s="20">
        <f>$C$7^2*(D66-SIN(D66)*COS(D66))</f>
        <v>72662.884037239404</v>
      </c>
      <c r="F66" s="24">
        <f>E66/$C$9</f>
        <v>0.25699238164088506</v>
      </c>
      <c r="G66" s="16">
        <f>IF(E66&gt;0,2*$C$7^3*SIN(D66)^3/(3*E66),0)</f>
        <v>192.87418130651187</v>
      </c>
      <c r="H66" s="24">
        <f>F66*G66/$C$5</f>
        <v>8.2611992018327265E-2</v>
      </c>
      <c r="I66" s="24" cm="1">
        <f t="array" ref="I66">_xlfn.LET(_xlpm.x,$B66,_xlpm.dep,$H$6:$H$29,_xlpm.e,IF(_xlpm.x&lt;=$C$5,$C$12*(_xlpm.x-_xlpm.dep)/_xlpm.x,$C$13*(_xlpm.x-_xlpm.dep)/(_xlpm.x-3*$C$5/7))/$C$14,_xlpm.s,(_xlpm.e&gt;=1)*1+(_xlpm.e&lt;=-1)*(-1)+(ABS(_xlpm.e)&lt;1)*_xlpm.e,AVERAGE(_xlpm.s))</f>
        <v>-0.22362542101799818</v>
      </c>
      <c r="J66" s="24" cm="1">
        <f t="array" ref="J66">_xlfn.LET(_xlpm.x,$B66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0.21098459659072658</v>
      </c>
      <c r="K66" s="24">
        <f>IFERROR(($C$15-F66)/I66,"")</f>
        <v>0.20027146577439781</v>
      </c>
      <c r="L66" s="24">
        <f>IF(AND(ISNUMBER(K66),N(K66)&gt;0),H66+K66*J66,"")</f>
        <v>0.12486618643337209</v>
      </c>
      <c r="M66" s="24">
        <f>IF(ISNUMBER(L66),ABS(L66-$C$16),1000000000)</f>
        <v>1.6110308653910305E-2</v>
      </c>
    </row>
    <row r="67" spans="1:13" x14ac:dyDescent="0.3">
      <c r="A67" s="24">
        <f>A66+0.01</f>
        <v>0.39000000000000018</v>
      </c>
      <c r="B67" s="20">
        <f>A67*$C$5</f>
        <v>234.00000000000011</v>
      </c>
      <c r="C67" s="20">
        <f>MIN(0.8*B67,$C$5)</f>
        <v>187.2000000000001</v>
      </c>
      <c r="D67" s="24">
        <f>ACOS(MAX(-1,($C$7-C67)/$C$7))</f>
        <v>1.1853205968501044</v>
      </c>
      <c r="E67" s="20">
        <f>$C$7^2*(D67-SIN(D67)*COS(D67))</f>
        <v>75322.044318000757</v>
      </c>
      <c r="F67" s="24">
        <f>E67/$C$9</f>
        <v>0.26639723726659176</v>
      </c>
      <c r="G67" s="16">
        <f>IF(E67&gt;0,2*$C$7^3*SIN(D67)^3/(3*E67),0)</f>
        <v>190.13187969443598</v>
      </c>
      <c r="H67" s="24">
        <f>F67*G67/$C$5</f>
        <v>8.44176791115029E-2</v>
      </c>
      <c r="I67" s="24" cm="1">
        <f t="array" ref="I67">_xlfn.LET(_xlpm.x,$B67,_xlpm.dep,$H$6:$H$29,_xlpm.e,IF(_xlpm.x&lt;=$C$5,$C$12*(_xlpm.x-_xlpm.dep)/_xlpm.x,$C$13*(_xlpm.x-_xlpm.dep)/(_xlpm.x-3*$C$5/7))/$C$14,_xlpm.s,(_xlpm.e&gt;=1)*1+(_xlpm.e&lt;=-1)*(-1)+(ABS(_xlpm.e)&lt;1)*_xlpm.e,AVERAGE(_xlpm.s))</f>
        <v>-0.20366066663292126</v>
      </c>
      <c r="J67" s="24" cm="1">
        <f t="array" ref="J67">_xlfn.LET(_xlpm.x,$B67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0.21240816509242827</v>
      </c>
      <c r="K67" s="24">
        <f>IFERROR(($C$15-F67)/I67,"")</f>
        <v>0.26608302611064039</v>
      </c>
      <c r="L67" s="24">
        <f>IF(AND(ISNUMBER(K67),N(K67)&gt;0),H67+K67*J67,"")</f>
        <v>0.14093588644990471</v>
      </c>
      <c r="M67" s="24">
        <f>IF(ISNUMBER(L67),ABS(L67-$C$16),1000000000)</f>
        <v>3.2180008670442919E-2</v>
      </c>
    </row>
    <row r="68" spans="1:13" x14ac:dyDescent="0.3">
      <c r="A68" s="24">
        <f>A67+0.01</f>
        <v>0.40000000000000019</v>
      </c>
      <c r="B68" s="20">
        <f>A68*$C$5</f>
        <v>240.00000000000011</v>
      </c>
      <c r="C68" s="20">
        <f>MIN(0.8*B68,$C$5)</f>
        <v>192.00000000000011</v>
      </c>
      <c r="D68" s="24">
        <f>ACOS(MAX(-1,($C$7-C68)/$C$7))</f>
        <v>1.2025284333582569</v>
      </c>
      <c r="E68" s="20">
        <f>$C$7^2*(D68-SIN(D68)*COS(D68))</f>
        <v>77999.904379365093</v>
      </c>
      <c r="F68" s="24">
        <f>E68/$C$9</f>
        <v>0.27586822983713621</v>
      </c>
      <c r="G68" s="16">
        <f>IF(E68&gt;0,2*$C$7^3*SIN(D68)^3/(3*E68),0)</f>
        <v>187.39446465493509</v>
      </c>
      <c r="H68" s="24">
        <f>F68*G68/$C$5</f>
        <v>8.6160298742724559E-2</v>
      </c>
      <c r="I68" s="24" cm="1">
        <f t="array" ref="I68">_xlfn.LET(_xlpm.x,$B68,_xlpm.dep,$H$6:$H$29,_xlpm.e,IF(_xlpm.x&lt;=$C$5,$C$12*(_xlpm.x-_xlpm.dep)/_xlpm.x,$C$13*(_xlpm.x-_xlpm.dep)/(_xlpm.x-3*$C$5/7))/$C$14,_xlpm.s,(_xlpm.e&gt;=1)*1+(_xlpm.e&lt;=-1)*(-1)+(ABS(_xlpm.e)&lt;1)*_xlpm.e,AVERAGE(_xlpm.s))</f>
        <v>-0.18469414996709821</v>
      </c>
      <c r="J68" s="24" cm="1">
        <f t="array" ref="J68">_xlfn.LET(_xlpm.x,$B68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0.21376055516904477</v>
      </c>
      <c r="K68" s="24">
        <f>IFERROR(($C$15-F68)/I68,"")</f>
        <v>0.34468681904263504</v>
      </c>
      <c r="L68" s="24">
        <f>IF(AND(ISNUMBER(K68),N(K68)&gt;0),H68+K68*J68,"")</f>
        <v>0.1598407445407303</v>
      </c>
      <c r="M68" s="24">
        <f>IF(ISNUMBER(L68),ABS(L68-$C$16),1000000000)</f>
        <v>5.1084866761268513E-2</v>
      </c>
    </row>
    <row r="69" spans="1:13" x14ac:dyDescent="0.3">
      <c r="A69" s="24">
        <f>A68+0.01</f>
        <v>0.4100000000000002</v>
      </c>
      <c r="B69" s="20">
        <f>A69*$C$5</f>
        <v>246.00000000000011</v>
      </c>
      <c r="C69" s="20">
        <f>MIN(0.8*B69,$C$5)</f>
        <v>196.8000000000001</v>
      </c>
      <c r="D69" s="24">
        <f>ACOS(MAX(-1,($C$7-C69)/$C$7))</f>
        <v>1.2196227468970275</v>
      </c>
      <c r="E69" s="20">
        <f>$C$7^2*(D69-SIN(D69)*COS(D69))</f>
        <v>80695.546916430874</v>
      </c>
      <c r="F69" s="24">
        <f>E69/$C$9</f>
        <v>0.28540211505008722</v>
      </c>
      <c r="G69" s="16">
        <f>IF(E69&gt;0,2*$C$7^3*SIN(D69)^3/(3*E69),0)</f>
        <v>184.662026763233</v>
      </c>
      <c r="H69" s="24">
        <f>F69*G69/$C$5</f>
        <v>8.7838221679437514E-2</v>
      </c>
      <c r="I69" s="24" cm="1">
        <f t="array" ref="I69">_xlfn.LET(_xlpm.x,$B69,_xlpm.dep,$H$6:$H$29,_xlpm.e,IF(_xlpm.x&lt;=$C$5,$C$12*(_xlpm.x-_xlpm.dep)/_xlpm.x,$C$13*(_xlpm.x-_xlpm.dep)/(_xlpm.x-3*$C$5/7))/$C$14,_xlpm.s,(_xlpm.e&gt;=1)*1+(_xlpm.e&lt;=-1)*(-1)+(ABS(_xlpm.e)&lt;1)*_xlpm.e,AVERAGE(_xlpm.s))</f>
        <v>-0.1666528292361934</v>
      </c>
      <c r="J69" s="24" cm="1">
        <f t="array" ref="J69">_xlfn.LET(_xlpm.x,$B69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0.21504697499802158</v>
      </c>
      <c r="K69" s="24">
        <f>IFERROR(($C$15-F69)/I69,"")</f>
        <v>0.43920961076007342</v>
      </c>
      <c r="L69" s="24">
        <f>IF(AND(ISNUMBER(K69),N(K69)&gt;0),H69+K69*J69,"")</f>
        <v>0.18228891986344981</v>
      </c>
      <c r="M69" s="24">
        <f>IF(ISNUMBER(L69),ABS(L69-$C$16),1000000000)</f>
        <v>7.3533042083988018E-2</v>
      </c>
    </row>
    <row r="70" spans="1:13" x14ac:dyDescent="0.3">
      <c r="A70" s="24">
        <f>A69+0.01</f>
        <v>0.42000000000000021</v>
      </c>
      <c r="B70" s="20">
        <f>A70*$C$5</f>
        <v>252.00000000000011</v>
      </c>
      <c r="C70" s="20">
        <f>MIN(0.8*B70,$C$5)</f>
        <v>201.60000000000011</v>
      </c>
      <c r="D70" s="24">
        <f>ACOS(MAX(-1,($C$7-C70)/$C$7))</f>
        <v>1.2366106560566177</v>
      </c>
      <c r="E70" s="20">
        <f>$C$7^2*(D70-SIN(D70)*COS(D70))</f>
        <v>83408.072667330169</v>
      </c>
      <c r="F70" s="24">
        <f>E70/$C$9</f>
        <v>0.29499571241719119</v>
      </c>
      <c r="G70" s="16">
        <f>IF(E70&gt;0,2*$C$7^3*SIN(D70)^3/(3*E70),0)</f>
        <v>181.93465907041579</v>
      </c>
      <c r="H70" s="24">
        <f>F70*G70/$C$5</f>
        <v>8.9449907276426835E-2</v>
      </c>
      <c r="I70" s="24" cm="1">
        <f t="array" ref="I70">_xlfn.LET(_xlpm.x,$B70,_xlpm.dep,$H$6:$H$29,_xlpm.e,IF(_xlpm.x&lt;=$C$5,$C$12*(_xlpm.x-_xlpm.dep)/_xlpm.x,$C$13*(_xlpm.x-_xlpm.dep)/(_xlpm.x-3*$C$5/7))/$C$14,_xlpm.s,(_xlpm.e&gt;=1)*1+(_xlpm.e&lt;=-1)*(-1)+(ABS(_xlpm.e)&lt;1)*_xlpm.e,AVERAGE(_xlpm.s))</f>
        <v>-0.14947061901628408</v>
      </c>
      <c r="J70" s="24" cm="1">
        <f t="array" ref="J70">_xlfn.LET(_xlpm.x,$B70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0.21627213673990411</v>
      </c>
      <c r="K70" s="24">
        <f>IFERROR(($C$15-F70)/I70,"")</f>
        <v>0.553882242362146</v>
      </c>
      <c r="L70" s="24">
        <f>IF(AND(ISNUMBER(K70),N(K70)&gt;0),H70+K70*J70,"")</f>
        <v>0.20923920333437757</v>
      </c>
      <c r="M70" s="24">
        <f>IF(ISNUMBER(L70),ABS(L70-$C$16),1000000000)</f>
        <v>0.10048332555491578</v>
      </c>
    </row>
    <row r="71" spans="1:13" x14ac:dyDescent="0.3">
      <c r="A71" s="24">
        <f>A70+0.01</f>
        <v>0.43000000000000022</v>
      </c>
      <c r="B71" s="20">
        <f>A71*$C$5</f>
        <v>258.00000000000011</v>
      </c>
      <c r="C71" s="20">
        <f>MIN(0.8*B71,$C$5)</f>
        <v>206.40000000000009</v>
      </c>
      <c r="D71" s="24">
        <f>ACOS(MAX(-1,($C$7-C71)/$C$7))</f>
        <v>1.2534989386827575</v>
      </c>
      <c r="E71" s="20">
        <f>$C$7^2*(D71-SIN(D71)*COS(D71))</f>
        <v>86136.59906527905</v>
      </c>
      <c r="F71" s="24">
        <f>E71/$C$9</f>
        <v>0.30464590049697537</v>
      </c>
      <c r="G71" s="16">
        <f>IF(E71&gt;0,2*$C$7^3*SIN(D71)^3/(3*E71),0)</f>
        <v>179.21245719499427</v>
      </c>
      <c r="H71" s="24">
        <f>F71*G71/$C$5</f>
        <v>9.0993900670741132E-2</v>
      </c>
      <c r="I71" s="24" cm="1">
        <f t="array" ref="I71">_xlfn.LET(_xlpm.x,$B71,_xlpm.dep,$H$6:$H$29,_xlpm.e,IF(_xlpm.x&lt;=$C$5,$C$12*(_xlpm.x-_xlpm.dep)/_xlpm.x,$C$13*(_xlpm.x-_xlpm.dep)/(_xlpm.x-3*$C$5/7))/$C$14,_xlpm.s,(_xlpm.e&gt;=1)*1+(_xlpm.e&lt;=-1)*(-1)+(ABS(_xlpm.e)&lt;1)*_xlpm.e,AVERAGE(_xlpm.s))</f>
        <v>-0.1313983048789544</v>
      </c>
      <c r="J71" s="24" cm="1">
        <f t="array" ref="J71">_xlfn.LET(_xlpm.x,$B71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0.21711653622161303</v>
      </c>
      <c r="K71" s="24">
        <f>IFERROR(($C$15-F71)/I71,"")</f>
        <v>0.70350458320552745</v>
      </c>
      <c r="L71" s="24">
        <f>IF(AND(ISNUMBER(K71),N(K71)&gt;0),H71+K71*J71,"")</f>
        <v>0.24373637899235479</v>
      </c>
      <c r="M71" s="24">
        <f>IF(ISNUMBER(L71),ABS(L71-$C$16),1000000000)</f>
        <v>0.13498050121289301</v>
      </c>
    </row>
    <row r="72" spans="1:13" x14ac:dyDescent="0.3">
      <c r="A72" s="24">
        <f>A71+0.01</f>
        <v>0.44000000000000022</v>
      </c>
      <c r="B72" s="20">
        <f>A72*$C$5</f>
        <v>264.00000000000011</v>
      </c>
      <c r="C72" s="20">
        <f>MIN(0.8*B72,$C$5)</f>
        <v>211.2000000000001</v>
      </c>
      <c r="D72" s="24">
        <f>ACOS(MAX(-1,($C$7-C72)/$C$7))</f>
        <v>1.2702940633102175</v>
      </c>
      <c r="E72" s="20">
        <f>$C$7^2*(D72-SIN(D72)*COS(D72))</f>
        <v>88880.258986380053</v>
      </c>
      <c r="F72" s="24">
        <f>E72/$C$9</f>
        <v>0.31434961246600523</v>
      </c>
      <c r="G72" s="16">
        <f>IF(E72&gt;0,2*$C$7^3*SIN(D72)^3/(3*E72),0)</f>
        <v>176.49551941880725</v>
      </c>
      <c r="H72" s="24">
        <f>F72*G72/$C$5</f>
        <v>9.2468830218813941E-2</v>
      </c>
      <c r="I72" s="24" cm="1">
        <f t="array" ref="I72">_xlfn.LET(_xlpm.x,$B72,_xlpm.dep,$H$6:$H$29,_xlpm.e,IF(_xlpm.x&lt;=$C$5,$C$12*(_xlpm.x-_xlpm.dep)/_xlpm.x,$C$13*(_xlpm.x-_xlpm.dep)/(_xlpm.x-3*$C$5/7))/$C$14,_xlpm.s,(_xlpm.e&gt;=1)*1+(_xlpm.e&lt;=-1)*(-1)+(ABS(_xlpm.e)&lt;1)*_xlpm.e,AVERAGE(_xlpm.s))</f>
        <v>-0.11085516158625086</v>
      </c>
      <c r="J72" s="24" cm="1">
        <f t="array" ref="J72">_xlfn.LET(_xlpm.x,$B72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0.21729153012923749</v>
      </c>
      <c r="K72" s="24">
        <f>IFERROR(($C$15-F72)/I72,"")</f>
        <v>0.92140970447586346</v>
      </c>
      <c r="L72" s="24">
        <f>IF(AND(ISNUMBER(K72),N(K72)&gt;0),H72+K72*J72,"")</f>
        <v>0.29268335478030283</v>
      </c>
      <c r="M72" s="24">
        <f>IF(ISNUMBER(L72),ABS(L72-$C$16),1000000000)</f>
        <v>0.18392747700084106</v>
      </c>
    </row>
    <row r="73" spans="1:13" x14ac:dyDescent="0.3">
      <c r="A73" s="24">
        <f>A72+0.01</f>
        <v>0.45000000000000023</v>
      </c>
      <c r="B73" s="20">
        <f>A73*$C$5</f>
        <v>270.00000000000011</v>
      </c>
      <c r="C73" s="20">
        <f>MIN(0.8*B73,$C$5)</f>
        <v>216.00000000000011</v>
      </c>
      <c r="D73" s="24">
        <f>ACOS(MAX(-1,($C$7-C73)/$C$7))</f>
        <v>1.2870022175865692</v>
      </c>
      <c r="E73" s="20">
        <f>$C$7^2*(D73-SIN(D73)*COS(D73))</f>
        <v>91638.199582791276</v>
      </c>
      <c r="F73" s="24">
        <f>E73/$C$9</f>
        <v>0.32410383199206427</v>
      </c>
      <c r="G73" s="16">
        <f>IF(E73&gt;0,2*$C$7^3*SIN(D73)^3/(3*E73),0)</f>
        <v>173.78394678752076</v>
      </c>
      <c r="H73" s="24">
        <f>F73*G73/$C$5</f>
        <v>9.3873405154234105E-2</v>
      </c>
      <c r="I73" s="24" cm="1">
        <f t="array" ref="I73">_xlfn.LET(_xlpm.x,$B73,_xlpm.dep,$H$6:$H$29,_xlpm.e,IF(_xlpm.x&lt;=$C$5,$C$12*(_xlpm.x-_xlpm.dep)/_xlpm.x,$C$13*(_xlpm.x-_xlpm.dep)/(_xlpm.x-3*$C$5/7))/$C$14,_xlpm.s,(_xlpm.e&gt;=1)*1+(_xlpm.e&lt;=-1)*(-1)+(ABS(_xlpm.e)&lt;1)*_xlpm.e,AVERAGE(_xlpm.s))</f>
        <v>-9.1962456458833497E-2</v>
      </c>
      <c r="J73" s="24" cm="1">
        <f t="array" ref="J73">_xlfn.LET(_xlpm.x,$B73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0.2172139439504609</v>
      </c>
      <c r="K73" s="24">
        <f>IFERROR(($C$15-F73)/I73,"")</f>
        <v>1.2167709031669978</v>
      </c>
      <c r="L73" s="24">
        <f>IF(AND(ISNUMBER(K73),N(K73)&gt;0),H73+K73*J73,"")</f>
        <v>0.35817301191530204</v>
      </c>
      <c r="M73" s="24">
        <f>IF(ISNUMBER(L73),ABS(L73-$C$16),1000000000)</f>
        <v>0.24941713413584027</v>
      </c>
    </row>
    <row r="74" spans="1:13" x14ac:dyDescent="0.3">
      <c r="A74" s="24">
        <f>A73+0.01</f>
        <v>0.46000000000000024</v>
      </c>
      <c r="B74" s="20">
        <f>A74*$C$5</f>
        <v>276.00000000000017</v>
      </c>
      <c r="C74" s="20">
        <f>MIN(0.8*B74,$C$5)</f>
        <v>220.80000000000015</v>
      </c>
      <c r="D74" s="24">
        <f>ACOS(MAX(-1,($C$7-C74)/$C$7))</f>
        <v>1.3036293340668403</v>
      </c>
      <c r="E74" s="20">
        <f>$C$7^2*(D74-SIN(D74)*COS(D74))</f>
        <v>94409.581192102545</v>
      </c>
      <c r="F74" s="24">
        <f>E74/$C$9</f>
        <v>0.33390558937686116</v>
      </c>
      <c r="G74" s="16">
        <f>IF(E74&gt;0,2*$C$7^3*SIN(D74)^3/(3*E74),0)</f>
        <v>171.07784321599598</v>
      </c>
      <c r="H74" s="24">
        <f>F74*G74/$C$5</f>
        <v>9.5206413447265645E-2</v>
      </c>
      <c r="I74" s="24" cm="1">
        <f t="array" ref="I74">_xlfn.LET(_xlpm.x,$B74,_xlpm.dep,$H$6:$H$29,_xlpm.e,IF(_xlpm.x&lt;=$C$5,$C$12*(_xlpm.x-_xlpm.dep)/_xlpm.x,$C$13*(_xlpm.x-_xlpm.dep)/(_xlpm.x-3*$C$5/7))/$C$14,_xlpm.s,(_xlpm.e&gt;=1)*1+(_xlpm.e&lt;=-1)*(-1)+(ABS(_xlpm.e)&lt;1)*_xlpm.e,AVERAGE(_xlpm.s))</f>
        <v>-7.4274866825670305E-2</v>
      </c>
      <c r="J74" s="24" cm="1">
        <f t="array" ref="J74">_xlfn.LET(_xlpm.x,$B74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0.21701235388444876</v>
      </c>
      <c r="K74" s="24">
        <f>IFERROR(($C$15-F74)/I74,"")</f>
        <v>1.6384950089955159</v>
      </c>
      <c r="L74" s="24">
        <f>IF(AND(ISNUMBER(K74),N(K74)&gt;0),H74+K74*J74,"")</f>
        <v>0.45078007217730359</v>
      </c>
      <c r="M74" s="24">
        <f>IF(ISNUMBER(L74),ABS(L74-$C$16),1000000000)</f>
        <v>0.34202419439784182</v>
      </c>
    </row>
    <row r="75" spans="1:13" x14ac:dyDescent="0.3">
      <c r="A75" s="24">
        <f>A74+0.01</f>
        <v>0.47000000000000025</v>
      </c>
      <c r="B75" s="20">
        <f>A75*$C$5</f>
        <v>282.00000000000017</v>
      </c>
      <c r="C75" s="20">
        <f>MIN(0.8*B75,$C$5)</f>
        <v>225.60000000000014</v>
      </c>
      <c r="D75" s="24">
        <f>ACOS(MAX(-1,($C$7-C75)/$C$7))</f>
        <v>1.3201811137071817</v>
      </c>
      <c r="E75" s="20">
        <f>$C$7^2*(D75-SIN(D75)*COS(D75))</f>
        <v>97193.576314805818</v>
      </c>
      <c r="F75" s="24">
        <f>E75/$C$9</f>
        <v>0.34375195793957125</v>
      </c>
      <c r="G75" s="16">
        <f>IF(E75&gt;0,2*$C$7^3*SIN(D75)^3/(3*E75),0)</f>
        <v>168.37731559881581</v>
      </c>
      <c r="H75" s="24">
        <f>F75*G75/$C$5</f>
        <v>9.6466719849503418E-2</v>
      </c>
      <c r="I75" s="24" cm="1">
        <f t="array" ref="I75">_xlfn.LET(_xlpm.x,$B75,_xlpm.dep,$H$6:$H$29,_xlpm.e,IF(_xlpm.x&lt;=$C$5,$C$12*(_xlpm.x-_xlpm.dep)/_xlpm.x,$C$13*(_xlpm.x-_xlpm.dep)/(_xlpm.x-3*$C$5/7))/$C$14,_xlpm.s,(_xlpm.e&gt;=1)*1+(_xlpm.e&lt;=-1)*(-1)+(ABS(_xlpm.e)&lt;1)*_xlpm.e,AVERAGE(_xlpm.s))</f>
        <v>-5.7339940581152472E-2</v>
      </c>
      <c r="J75" s="24" cm="1">
        <f t="array" ref="J75">_xlfn.LET(_xlpm.x,$B75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0.21681934211911799</v>
      </c>
      <c r="K75" s="24">
        <f>IFERROR(($C$15-F75)/I75,"")</f>
        <v>2.2941315567671903</v>
      </c>
      <c r="L75" s="24">
        <f>IF(AND(ISNUMBER(K75),N(K75)&gt;0),H75+K75*J75,"")</f>
        <v>0.59387881472247361</v>
      </c>
      <c r="M75" s="24">
        <f>IF(ISNUMBER(L75),ABS(L75-$C$16),1000000000)</f>
        <v>0.48512293694301184</v>
      </c>
    </row>
    <row r="76" spans="1:13" x14ac:dyDescent="0.3">
      <c r="A76" s="24">
        <f>A75+0.01</f>
        <v>0.48000000000000026</v>
      </c>
      <c r="B76" s="20">
        <f>A76*$C$5</f>
        <v>288.00000000000017</v>
      </c>
      <c r="C76" s="20">
        <f>MIN(0.8*B76,$C$5)</f>
        <v>230.40000000000015</v>
      </c>
      <c r="D76" s="24">
        <f>ACOS(MAX(-1,($C$7-C76)/$C$7))</f>
        <v>1.3366630473416077</v>
      </c>
      <c r="E76" s="20">
        <f>$C$7^2*(D76-SIN(D76)*COS(D76))</f>
        <v>99989.368652645178</v>
      </c>
      <c r="F76" s="24">
        <f>E76/$C$9</f>
        <v>0.35364005061569526</v>
      </c>
      <c r="G76" s="16">
        <f>IF(E76&gt;0,2*$C$7^3*SIN(D76)^3/(3*E76),0)</f>
        <v>165.68247392628507</v>
      </c>
      <c r="H76" s="24">
        <f>F76*G76/$C$5</f>
        <v>9.7653264109041765E-2</v>
      </c>
      <c r="I76" s="24" cm="1">
        <f t="array" ref="I76">_xlfn.LET(_xlpm.x,$B76,_xlpm.dep,$H$6:$H$29,_xlpm.e,IF(_xlpm.x&lt;=$C$5,$C$12*(_xlpm.x-_xlpm.dep)/_xlpm.x,$C$13*(_xlpm.x-_xlpm.dep)/(_xlpm.x-3*$C$5/7))/$C$14,_xlpm.s,(_xlpm.e&gt;=1)*1+(_xlpm.e&lt;=-1)*(-1)+(ABS(_xlpm.e)&lt;1)*_xlpm.e,AVERAGE(_xlpm.s))</f>
        <v>-3.9131944444443935E-2</v>
      </c>
      <c r="J76" s="24" cm="1">
        <f t="array" ref="J76">_xlfn.LET(_xlpm.x,$B76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0.21609803305614453</v>
      </c>
      <c r="K76" s="24">
        <f>IFERROR(($C$15-F76)/I76,"")</f>
        <v>3.6142712005353119</v>
      </c>
      <c r="L76" s="24">
        <f>IF(AND(ISNUMBER(K76),N(K76)&gt;0),H76+K76*J76,"")</f>
        <v>0.87869016147619272</v>
      </c>
      <c r="M76" s="24">
        <f>IF(ISNUMBER(L76),ABS(L76-$C$16),1000000000)</f>
        <v>0.76993428369673089</v>
      </c>
    </row>
    <row r="77" spans="1:13" x14ac:dyDescent="0.3">
      <c r="A77" s="24">
        <f>A76+0.01</f>
        <v>0.49000000000000027</v>
      </c>
      <c r="B77" s="20">
        <f>A77*$C$5</f>
        <v>294.00000000000017</v>
      </c>
      <c r="C77" s="20">
        <f>MIN(0.8*B77,$C$5)</f>
        <v>235.20000000000016</v>
      </c>
      <c r="D77" s="24">
        <f>ACOS(MAX(-1,($C$7-C77)/$C$7))</f>
        <v>1.3530804353887878</v>
      </c>
      <c r="E77" s="20">
        <f>$C$7^2*(D77-SIN(D77)*COS(D77))</f>
        <v>102796.15220140645</v>
      </c>
      <c r="F77" s="24">
        <f>E77/$C$9</f>
        <v>0.36356701674845898</v>
      </c>
      <c r="G77" s="16">
        <f>IF(E77&gt;0,2*$C$7^3*SIN(D77)^3/(3*E77),0)</f>
        <v>162.99343140623805</v>
      </c>
      <c r="H77" s="24">
        <f>F77*G77/$C$5</f>
        <v>9.8765059343267583E-2</v>
      </c>
      <c r="I77" s="24" cm="1">
        <f t="array" ref="I77">_xlfn.LET(_xlpm.x,$B77,_xlpm.dep,$H$6:$H$29,_xlpm.e,IF(_xlpm.x&lt;=$C$5,$C$12*(_xlpm.x-_xlpm.dep)/_xlpm.x,$C$13*(_xlpm.x-_xlpm.dep)/(_xlpm.x-3*$C$5/7))/$C$14,_xlpm.s,(_xlpm.e&gt;=1)*1+(_xlpm.e&lt;=-1)*(-1)+(ABS(_xlpm.e)&lt;1)*_xlpm.e,AVERAGE(_xlpm.s))</f>
        <v>-1.916666666666611E-2</v>
      </c>
      <c r="J77" s="24" cm="1">
        <f t="array" ref="J77">_xlfn.LET(_xlpm.x,$B77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0.21472839509647779</v>
      </c>
      <c r="K77" s="24">
        <f>IFERROR(($C$15-F77)/I77,"")</f>
        <v>7.8970657022227639</v>
      </c>
      <c r="L77" s="24">
        <f>IF(AND(ISNUMBER(K77),N(K77)&gt;0),H77+K77*J77,"")</f>
        <v>1.7944893035530012</v>
      </c>
      <c r="M77" s="24">
        <f>IF(ISNUMBER(L77),ABS(L77-$C$16),1000000000)</f>
        <v>1.6857334257735395</v>
      </c>
    </row>
    <row r="78" spans="1:13" x14ac:dyDescent="0.3">
      <c r="A78" s="24">
        <f>A77+0.01</f>
        <v>0.50000000000000022</v>
      </c>
      <c r="B78" s="20">
        <f>A78*$C$5</f>
        <v>300.00000000000011</v>
      </c>
      <c r="C78" s="20">
        <f>MIN(0.8*B78,$C$5)</f>
        <v>240.00000000000011</v>
      </c>
      <c r="D78" s="24">
        <f>ACOS(MAX(-1,($C$7-C78)/$C$7))</f>
        <v>1.3694384060045661</v>
      </c>
      <c r="E78" s="20">
        <f>$C$7^2*(D78-SIN(D78)*COS(D78))</f>
        <v>105613.13039237208</v>
      </c>
      <c r="F78" s="24">
        <f>E78/$C$9</f>
        <v>0.37353003905233112</v>
      </c>
      <c r="G78" s="16">
        <f>IF(E78&gt;0,2*$C$7^3*SIN(D78)^3/(3*E78),0)</f>
        <v>160.31030459201469</v>
      </c>
      <c r="H78" s="24">
        <f>F78*G78/$C$5</f>
        <v>9.9801190557910577E-2</v>
      </c>
      <c r="I78" s="24" cm="1">
        <f t="array" ref="I78">_xlfn.LET(_xlpm.x,$B78,_xlpm.dep,$H$6:$H$29,_xlpm.e,IF(_xlpm.x&lt;=$C$5,$C$12*(_xlpm.x-_xlpm.dep)/_xlpm.x,$C$13*(_xlpm.x-_xlpm.dep)/(_xlpm.x-3*$C$5/7))/$C$14,_xlpm.s,(_xlpm.e&gt;=1)*1+(_xlpm.e&lt;=-1)*(-1)+(ABS(_xlpm.e)&lt;1)*_xlpm.e,AVERAGE(_xlpm.s))</f>
        <v>3.7007434154171886E-16</v>
      </c>
      <c r="J78" s="24" cm="1">
        <f t="array" ref="J78">_xlfn.LET(_xlpm.x,$B78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0.21341354265519774</v>
      </c>
      <c r="K78" s="24">
        <f>IFERROR(($C$15-F78)/I78,"")</f>
        <v>-435921732890393.38</v>
      </c>
      <c r="L78" s="24" t="str">
        <f>IF(AND(ISNUMBER(K78),N(K78)&gt;0),H78+K78*J78,"")</f>
        <v/>
      </c>
      <c r="M78" s="24">
        <f>IF(ISNUMBER(L78),ABS(L78-$C$16),1000000000)</f>
        <v>1000000000</v>
      </c>
    </row>
    <row r="79" spans="1:13" x14ac:dyDescent="0.3">
      <c r="A79" s="24">
        <f>A78+0.01</f>
        <v>0.51000000000000023</v>
      </c>
      <c r="B79" s="20">
        <f>A79*$C$5</f>
        <v>306.00000000000011</v>
      </c>
      <c r="C79" s="20">
        <f>MIN(0.8*B79,$C$5)</f>
        <v>244.8000000000001</v>
      </c>
      <c r="D79" s="24">
        <f>ACOS(MAX(-1,($C$7-C79)/$C$7))</f>
        <v>1.3857419318694049</v>
      </c>
      <c r="E79" s="20">
        <f>$C$7^2*(D79-SIN(D79)*COS(D79))</f>
        <v>108439.51527724287</v>
      </c>
      <c r="F79" s="24">
        <f>E79/$C$9</f>
        <v>0.38352633073027342</v>
      </c>
      <c r="G79" s="16">
        <f>IF(E79&gt;0,2*$C$7^3*SIN(D79)^3/(3*E79),0)</f>
        <v>157.63321351699167</v>
      </c>
      <c r="H79" s="24">
        <f>F79*G79/$C$5</f>
        <v>0.1007608133023226</v>
      </c>
      <c r="I79" s="24" cm="1">
        <f t="array" ref="I79">_xlfn.LET(_xlpm.x,$B79,_xlpm.dep,$H$6:$H$29,_xlpm.e,IF(_xlpm.x&lt;=$C$5,$C$12*(_xlpm.x-_xlpm.dep)/_xlpm.x,$C$13*(_xlpm.x-_xlpm.dep)/(_xlpm.x-3*$C$5/7))/$C$14,_xlpm.s,(_xlpm.e&gt;=1)*1+(_xlpm.e&lt;=-1)*(-1)+(ABS(_xlpm.e)&lt;1)*_xlpm.e,AVERAGE(_xlpm.s))</f>
        <v>1.8415032679738864E-2</v>
      </c>
      <c r="J79" s="24" cm="1">
        <f t="array" ref="J79">_xlfn.LET(_xlpm.x,$B79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0.21215025305475216</v>
      </c>
      <c r="K79" s="24">
        <f>IFERROR(($C$15-F79)/I79,"")</f>
        <v>-9.3032547332687709</v>
      </c>
      <c r="L79" s="24" t="str">
        <f>IF(AND(ISNUMBER(K79),N(K79)&gt;0),H79+K79*J79,"")</f>
        <v/>
      </c>
      <c r="M79" s="24">
        <f>IF(ISNUMBER(L79),ABS(L79-$C$16),1000000000)</f>
        <v>1000000000</v>
      </c>
    </row>
    <row r="80" spans="1:13" x14ac:dyDescent="0.3">
      <c r="A80" s="24">
        <f>A79+0.01</f>
        <v>0.52000000000000024</v>
      </c>
      <c r="B80" s="20">
        <f>A80*$C$5</f>
        <v>312.00000000000017</v>
      </c>
      <c r="C80" s="20">
        <f>MIN(0.8*B80,$C$5)</f>
        <v>249.60000000000014</v>
      </c>
      <c r="D80" s="24">
        <f>ACOS(MAX(-1,($C$7-C80)/$C$7))</f>
        <v>1.4019958457774899</v>
      </c>
      <c r="E80" s="20">
        <f>$C$7^2*(D80-SIN(D80)*COS(D80))</f>
        <v>111274.52675182497</v>
      </c>
      <c r="F80" s="24">
        <f>E80/$C$9</f>
        <v>0.39355313272809528</v>
      </c>
      <c r="G80" s="16">
        <f>IF(E80&gt;0,2*$C$7^3*SIN(D80)^3/(3*E80),0)</f>
        <v>154.96228183608659</v>
      </c>
      <c r="H80" s="24">
        <f>F80*G80/$C$5</f>
        <v>0.10164315245214316</v>
      </c>
      <c r="I80" s="24" cm="1">
        <f t="array" ref="I80">_xlfn.LET(_xlpm.x,$B80,_xlpm.dep,$H$6:$H$29,_xlpm.e,IF(_xlpm.x&lt;=$C$5,$C$12*(_xlpm.x-_xlpm.dep)/_xlpm.x,$C$13*(_xlpm.x-_xlpm.dep)/(_xlpm.x-3*$C$5/7))/$C$14,_xlpm.s,(_xlpm.e&gt;=1)*1+(_xlpm.e&lt;=-1)*(-1)+(ABS(_xlpm.e)&lt;1)*_xlpm.e,AVERAGE(_xlpm.s))</f>
        <v>3.8961216073350596E-2</v>
      </c>
      <c r="J80" s="24" cm="1">
        <f t="array" ref="J80">_xlfn.LET(_xlpm.x,$B80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0.20999293067370228</v>
      </c>
      <c r="K80" s="24">
        <f>IFERROR(($C$15-F80)/I80,"")</f>
        <v>-4.6545400841053892</v>
      </c>
      <c r="L80" s="24" t="str">
        <f>IF(AND(ISNUMBER(K80),N(K80)&gt;0),H80+K80*J80,"")</f>
        <v/>
      </c>
      <c r="M80" s="24">
        <f>IF(ISNUMBER(L80),ABS(L80-$C$16),1000000000)</f>
        <v>1000000000</v>
      </c>
    </row>
    <row r="81" spans="1:13" x14ac:dyDescent="0.3">
      <c r="A81" s="24">
        <f>A80+0.01</f>
        <v>0.53000000000000025</v>
      </c>
      <c r="B81" s="20">
        <f>A81*$C$5</f>
        <v>318.00000000000017</v>
      </c>
      <c r="C81" s="20">
        <f>MIN(0.8*B81,$C$5)</f>
        <v>254.40000000000015</v>
      </c>
      <c r="D81" s="24">
        <f>ACOS(MAX(-1,($C$7-C81)/$C$7))</f>
        <v>1.4182048551751854</v>
      </c>
      <c r="E81" s="20">
        <f>$C$7^2*(D81-SIN(D81)*COS(D81))</f>
        <v>114117.39181421131</v>
      </c>
      <c r="F81" s="24">
        <f>E81/$C$9</f>
        <v>0.40360771111080718</v>
      </c>
      <c r="G81" s="16">
        <f>IF(E81&gt;0,2*$C$7^3*SIN(D81)^3/(3*E81),0)</f>
        <v>152.29763697468161</v>
      </c>
      <c r="H81" s="24">
        <f>F81*G81/$C$5</f>
        <v>0.1024475011115598</v>
      </c>
      <c r="I81" s="24" cm="1">
        <f t="array" ref="I81">_xlfn.LET(_xlpm.x,$B81,_xlpm.dep,$H$6:$H$29,_xlpm.e,IF(_xlpm.x&lt;=$C$5,$C$12*(_xlpm.x-_xlpm.dep)/_xlpm.x,$C$13*(_xlpm.x-_xlpm.dep)/(_xlpm.x-3*$C$5/7))/$C$14,_xlpm.s,(_xlpm.e&gt;=1)*1+(_xlpm.e&lt;=-1)*(-1)+(ABS(_xlpm.e)&lt;1)*_xlpm.e,AVERAGE(_xlpm.s))</f>
        <v>6.0049998160016903E-2</v>
      </c>
      <c r="J81" s="24" cm="1">
        <f t="array" ref="J81">_xlfn.LET(_xlpm.x,$B81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0.20747949622687667</v>
      </c>
      <c r="K81" s="24">
        <f>IFERROR(($C$15-F81)/I81,"")</f>
        <v>-3.187362634243244</v>
      </c>
      <c r="L81" s="24" t="str">
        <f>IF(AND(ISNUMBER(K81),N(K81)&gt;0),H81+K81*J81,"")</f>
        <v/>
      </c>
      <c r="M81" s="24">
        <f>IF(ISNUMBER(L81),ABS(L81-$C$16),1000000000)</f>
        <v>1000000000</v>
      </c>
    </row>
    <row r="82" spans="1:13" x14ac:dyDescent="0.3">
      <c r="A82" s="24">
        <f>A81+0.01</f>
        <v>0.54000000000000026</v>
      </c>
      <c r="B82" s="20">
        <f>A82*$C$5</f>
        <v>324.00000000000017</v>
      </c>
      <c r="C82" s="20">
        <f>MIN(0.8*B82,$C$5)</f>
        <v>259.20000000000016</v>
      </c>
      <c r="D82" s="24">
        <f>ACOS(MAX(-1,($C$7-C82)/$C$7))</f>
        <v>1.434373555780329</v>
      </c>
      <c r="E82" s="20">
        <f>$C$7^2*(D82-SIN(D82)*COS(D82))</f>
        <v>116967.34385355754</v>
      </c>
      <c r="F82" s="24">
        <f>E82/$C$9</f>
        <v>0.41368735454718009</v>
      </c>
      <c r="G82" s="16">
        <f>IF(E82&gt;0,2*$C$7^3*SIN(D82)^3/(3*E82),0)</f>
        <v>149.63941028545145</v>
      </c>
      <c r="H82" s="24">
        <f>F82*G82/$C$5</f>
        <v>0.10317321962831416</v>
      </c>
      <c r="I82" s="24" cm="1">
        <f t="array" ref="I82">_xlfn.LET(_xlpm.x,$B82,_xlpm.dep,$H$6:$H$29,_xlpm.e,IF(_xlpm.x&lt;=$C$5,$C$12*(_xlpm.x-_xlpm.dep)/_xlpm.x,$C$13*(_xlpm.x-_xlpm.dep)/(_xlpm.x-3*$C$5/7))/$C$14,_xlpm.s,(_xlpm.e&gt;=1)*1+(_xlpm.e&lt;=-1)*(-1)+(ABS(_xlpm.e)&lt;1)*_xlpm.e,AVERAGE(_xlpm.s))</f>
        <v>8.1632834234512119E-2</v>
      </c>
      <c r="J82" s="24" cm="1">
        <f t="array" ref="J82">_xlfn.LET(_xlpm.x,$B82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0.2045870112678797</v>
      </c>
      <c r="K82" s="24">
        <f>IFERROR(($C$15-F82)/I82,"")</f>
        <v>-2.4681338783262019</v>
      </c>
      <c r="L82" s="24" t="str">
        <f>IF(AND(ISNUMBER(K82),N(K82)&gt;0),H82+K82*J82,"")</f>
        <v/>
      </c>
      <c r="M82" s="24">
        <f>IF(ISNUMBER(L82),ABS(L82-$C$16),1000000000)</f>
        <v>1000000000</v>
      </c>
    </row>
    <row r="83" spans="1:13" x14ac:dyDescent="0.3">
      <c r="A83" s="24">
        <f>A82+0.01</f>
        <v>0.55000000000000027</v>
      </c>
      <c r="B83" s="20">
        <f>A83*$C$5</f>
        <v>330.00000000000017</v>
      </c>
      <c r="C83" s="20">
        <f>MIN(0.8*B83,$C$5)</f>
        <v>264.00000000000017</v>
      </c>
      <c r="D83" s="24">
        <f>ACOS(MAX(-1,($C$7-C83)/$C$7))</f>
        <v>1.450506444400109</v>
      </c>
      <c r="E83" s="20">
        <f>$C$7^2*(D83-SIN(D83)*COS(D83))</f>
        <v>119823.62196587375</v>
      </c>
      <c r="F83" s="24">
        <f>E83/$C$9</f>
        <v>0.42378937188985372</v>
      </c>
      <c r="G83" s="16">
        <f>IF(E83&gt;0,2*$C$7^3*SIN(D83)^3/(3*E83),0)</f>
        <v>146.98773721361644</v>
      </c>
      <c r="H83" s="24">
        <f>F83*G83/$C$5</f>
        <v>0.10381973471544899</v>
      </c>
      <c r="I83" s="24" cm="1">
        <f t="array" ref="I83">_xlfn.LET(_xlpm.x,$B83,_xlpm.dep,$H$6:$H$29,_xlpm.e,IF(_xlpm.x&lt;=$C$5,$C$12*(_xlpm.x-_xlpm.dep)/_xlpm.x,$C$13*(_xlpm.x-_xlpm.dep)/(_xlpm.x-3*$C$5/7))/$C$14,_xlpm.s,(_xlpm.e&gt;=1)*1+(_xlpm.e&lt;=-1)*(-1)+(ABS(_xlpm.e)&lt;1)*_xlpm.e,AVERAGE(_xlpm.s))</f>
        <v>0.10614355037974321</v>
      </c>
      <c r="J83" s="24" cm="1">
        <f t="array" ref="J83">_xlfn.LET(_xlpm.x,$B83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0.20041180275262371</v>
      </c>
      <c r="K83" s="24">
        <f>IFERROR(($C$15-F83)/I83,"")</f>
        <v>-1.9933644610877754</v>
      </c>
      <c r="L83" s="24" t="str">
        <f>IF(AND(ISNUMBER(K83),N(K83)&gt;0),H83+K83*J83,"")</f>
        <v/>
      </c>
      <c r="M83" s="24">
        <f>IF(ISNUMBER(L83),ABS(L83-$C$16),1000000000)</f>
        <v>1000000000</v>
      </c>
    </row>
    <row r="84" spans="1:13" x14ac:dyDescent="0.3">
      <c r="A84" s="24">
        <f>A83+0.01</f>
        <v>0.56000000000000028</v>
      </c>
      <c r="B84" s="20">
        <f>A84*$C$5</f>
        <v>336.00000000000017</v>
      </c>
      <c r="C84" s="20">
        <f>MIN(0.8*B84,$C$5)</f>
        <v>268.80000000000013</v>
      </c>
      <c r="D84" s="24">
        <f>ACOS(MAX(-1,($C$7-C84)/$C$7))</f>
        <v>1.4666079310536011</v>
      </c>
      <c r="E84" s="20">
        <f>$C$7^2*(D84-SIN(D84)*COS(D84))</f>
        <v>122685.4702935293</v>
      </c>
      <c r="F84" s="24">
        <f>E84/$C$9</f>
        <v>0.4339110898393127</v>
      </c>
      <c r="G84" s="16">
        <f>IF(E84&gt;0,2*$C$7^3*SIN(D84)^3/(3*E84),0)</f>
        <v>144.34275747118338</v>
      </c>
      <c r="H84" s="24">
        <f>F84*G84/$C$5</f>
        <v>0.10438653867455462</v>
      </c>
      <c r="I84" s="24" cm="1">
        <f t="array" ref="I84">_xlfn.LET(_xlpm.x,$B84,_xlpm.dep,$H$6:$H$29,_xlpm.e,IF(_xlpm.x&lt;=$C$5,$C$12*(_xlpm.x-_xlpm.dep)/_xlpm.x,$C$13*(_xlpm.x-_xlpm.dep)/(_xlpm.x-3*$C$5/7))/$C$14,_xlpm.s,(_xlpm.e&gt;=1)*1+(_xlpm.e&lt;=-1)*(-1)+(ABS(_xlpm.e)&lt;1)*_xlpm.e,AVERAGE(_xlpm.s))</f>
        <v>0.13072878459915252</v>
      </c>
      <c r="J84" s="24" cm="1">
        <f t="array" ref="J84">_xlfn.LET(_xlpm.x,$B84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0.19602158018963206</v>
      </c>
      <c r="K84" s="24">
        <f>IFERROR(($C$15-F84)/I84,"")</f>
        <v>-1.6959118814568725</v>
      </c>
      <c r="L84" s="24" t="str">
        <f>IF(AND(ISNUMBER(K84),N(K84)&gt;0),H84+K84*J84,"")</f>
        <v/>
      </c>
      <c r="M84" s="24">
        <f>IF(ISNUMBER(L84),ABS(L84-$C$16),1000000000)</f>
        <v>1000000000</v>
      </c>
    </row>
    <row r="85" spans="1:13" x14ac:dyDescent="0.3">
      <c r="A85" s="24">
        <f>A84+0.01</f>
        <v>0.57000000000000028</v>
      </c>
      <c r="B85" s="20">
        <f>A85*$C$5</f>
        <v>342.00000000000017</v>
      </c>
      <c r="C85" s="20">
        <f>MIN(0.8*B85,$C$5)</f>
        <v>273.60000000000014</v>
      </c>
      <c r="D85" s="24">
        <f>ACOS(MAX(-1,($C$7-C85)/$C$7))</f>
        <v>1.4826823504951778</v>
      </c>
      <c r="E85" s="20">
        <f>$C$7^2*(D85-SIN(D85)*COS(D85))</f>
        <v>125552.13738540538</v>
      </c>
      <c r="F85" s="24">
        <f>E85/$C$9</f>
        <v>0.44404985068088926</v>
      </c>
      <c r="G85" s="16">
        <f>IF(E85&gt;0,2*$C$7^3*SIN(D85)^3/(3*E85),0)</f>
        <v>141.70461522078264</v>
      </c>
      <c r="H85" s="24">
        <f>F85*G85/$C$5</f>
        <v>0.104873188715969</v>
      </c>
      <c r="I85" s="24" cm="1">
        <f t="array" ref="I85">_xlfn.LET(_xlpm.x,$B85,_xlpm.dep,$H$6:$H$29,_xlpm.e,IF(_xlpm.x&lt;=$C$5,$C$12*(_xlpm.x-_xlpm.dep)/_xlpm.x,$C$13*(_xlpm.x-_xlpm.dep)/(_xlpm.x-3*$C$5/7))/$C$14,_xlpm.s,(_xlpm.e&gt;=1)*1+(_xlpm.e&lt;=-1)*(-1)+(ABS(_xlpm.e)&lt;1)*_xlpm.e,AVERAGE(_xlpm.s))</f>
        <v>0.15445137902138964</v>
      </c>
      <c r="J85" s="24" cm="1">
        <f t="array" ref="J85">_xlfn.LET(_xlpm.x,$B85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0.19178540052358761</v>
      </c>
      <c r="K85" s="24">
        <f>IFERROR(($C$15-F85)/I85,"")</f>
        <v>-1.501076010849913</v>
      </c>
      <c r="L85" s="24" t="str">
        <f>IF(AND(ISNUMBER(K85),N(K85)&gt;0),H85+K85*J85,"")</f>
        <v/>
      </c>
      <c r="M85" s="24">
        <f>IF(ISNUMBER(L85),ABS(L85-$C$16),1000000000)</f>
        <v>1000000000</v>
      </c>
    </row>
    <row r="86" spans="1:13" x14ac:dyDescent="0.3">
      <c r="A86" s="24">
        <f>A85+0.01</f>
        <v>0.58000000000000029</v>
      </c>
      <c r="B86" s="20">
        <f>A86*$C$5</f>
        <v>348.00000000000017</v>
      </c>
      <c r="C86" s="20">
        <f>MIN(0.8*B86,$C$5)</f>
        <v>278.40000000000015</v>
      </c>
      <c r="D86" s="24">
        <f>ACOS(MAX(-1,($C$7-C86)/$C$7))</f>
        <v>1.4987339732266935</v>
      </c>
      <c r="E86" s="20">
        <f>$C$7^2*(D86-SIN(D86)*COS(D86))</f>
        <v>128422.87557483149</v>
      </c>
      <c r="F86" s="24">
        <f>E86/$C$9</f>
        <v>0.45420301008466357</v>
      </c>
      <c r="G86" s="16">
        <f>IF(E86&gt;0,2*$C$7^3*SIN(D86)^3/(3*E86),0)</f>
        <v>139.07345926976015</v>
      </c>
      <c r="H86" s="24">
        <f>F86*G86/$C$5</f>
        <v>0.10527930637201986</v>
      </c>
      <c r="I86" s="24" cm="1">
        <f t="array" ref="I86">_xlfn.LET(_xlpm.x,$B86,_xlpm.dep,$H$6:$H$29,_xlpm.e,IF(_xlpm.x&lt;=$C$5,$C$12*(_xlpm.x-_xlpm.dep)/_xlpm.x,$C$13*(_xlpm.x-_xlpm.dep)/(_xlpm.x-3*$C$5/7))/$C$14,_xlpm.s,(_xlpm.e&gt;=1)*1+(_xlpm.e&lt;=-1)*(-1)+(ABS(_xlpm.e)&lt;1)*_xlpm.e,AVERAGE(_xlpm.s))</f>
        <v>0.17735595294630815</v>
      </c>
      <c r="J86" s="24" cm="1">
        <f t="array" ref="J86">_xlfn.LET(_xlpm.x,$B86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0.18769529601844123</v>
      </c>
      <c r="K86" s="24">
        <f>IFERROR(($C$15-F86)/I86,"")</f>
        <v>-1.3644674186308852</v>
      </c>
      <c r="L86" s="24" t="str">
        <f>IF(AND(ISNUMBER(K86),N(K86)&gt;0),H86+K86*J86,"")</f>
        <v/>
      </c>
      <c r="M86" s="24">
        <f>IF(ISNUMBER(L86),ABS(L86-$C$16),1000000000)</f>
        <v>1000000000</v>
      </c>
    </row>
    <row r="87" spans="1:13" x14ac:dyDescent="0.3">
      <c r="A87" s="24">
        <f>A86+0.01</f>
        <v>0.5900000000000003</v>
      </c>
      <c r="B87" s="20">
        <f>A87*$C$5</f>
        <v>354.00000000000017</v>
      </c>
      <c r="C87" s="20">
        <f>MIN(0.8*B87,$C$5)</f>
        <v>283.20000000000016</v>
      </c>
      <c r="D87" s="24">
        <f>ACOS(MAX(-1,($C$7-C87)/$C$7))</f>
        <v>1.5147670160794131</v>
      </c>
      <c r="E87" s="20">
        <f>$C$7^2*(D87-SIN(D87)*COS(D87))</f>
        <v>131296.9403726137</v>
      </c>
      <c r="F87" s="24">
        <f>E87/$C$9</f>
        <v>0.46436793495874018</v>
      </c>
      <c r="G87" s="16">
        <f>IF(E87&gt;0,2*$C$7^3*SIN(D87)^3/(3*E87),0)</f>
        <v>136.44944327523581</v>
      </c>
      <c r="H87" s="24">
        <f>F87*G87/$C$5</f>
        <v>0.10560457699998502</v>
      </c>
      <c r="I87" s="24" cm="1">
        <f t="array" ref="I87">_xlfn.LET(_xlpm.x,$B87,_xlpm.dep,$H$6:$H$29,_xlpm.e,IF(_xlpm.x&lt;=$C$5,$C$12*(_xlpm.x-_xlpm.dep)/_xlpm.x,$C$13*(_xlpm.x-_xlpm.dep)/(_xlpm.x-3*$C$5/7))/$C$14,_xlpm.s,(_xlpm.e&gt;=1)*1+(_xlpm.e&lt;=-1)*(-1)+(ABS(_xlpm.e)&lt;1)*_xlpm.e,AVERAGE(_xlpm.s))</f>
        <v>0.1994841006364837</v>
      </c>
      <c r="J87" s="24" cm="1">
        <f t="array" ref="J87">_xlfn.LET(_xlpm.x,$B87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0.1837438391236387</v>
      </c>
      <c r="K87" s="24">
        <f>IFERROR(($C$15-F87)/I87,"")</f>
        <v>-1.264067378628112</v>
      </c>
      <c r="L87" s="24" t="str">
        <f>IF(AND(ISNUMBER(K87),N(K87)&gt;0),H87+K87*J87,"")</f>
        <v/>
      </c>
      <c r="M87" s="24">
        <f>IF(ISNUMBER(L87),ABS(L87-$C$16),1000000000)</f>
        <v>1000000000</v>
      </c>
    </row>
    <row r="88" spans="1:13" x14ac:dyDescent="0.3">
      <c r="A88" s="24">
        <f>A87+0.01</f>
        <v>0.60000000000000031</v>
      </c>
      <c r="B88" s="20">
        <f>A88*$C$5</f>
        <v>360.00000000000017</v>
      </c>
      <c r="C88" s="20">
        <f>MIN(0.8*B88,$C$5)</f>
        <v>288.00000000000017</v>
      </c>
      <c r="D88" s="24">
        <f>ACOS(MAX(-1,($C$7-C88)/$C$7))</f>
        <v>1.5307856524409083</v>
      </c>
      <c r="E88" s="20">
        <f>$C$7^2*(D88-SIN(D88)*COS(D88))</f>
        <v>134173.58987260432</v>
      </c>
      <c r="F88" s="24">
        <f>E88/$C$9</f>
        <v>0.47454200134688101</v>
      </c>
      <c r="G88" s="16">
        <f>IF(E88&gt;0,2*$C$7^3*SIN(D88)^3/(3*E88),0)</f>
        <v>133.83272596090242</v>
      </c>
      <c r="H88" s="24">
        <f>F88*G88/$C$5</f>
        <v>0.10584874937199219</v>
      </c>
      <c r="I88" s="24" cm="1">
        <f t="array" ref="I88">_xlfn.LET(_xlpm.x,$B88,_xlpm.dep,$H$6:$H$29,_xlpm.e,IF(_xlpm.x&lt;=$C$5,$C$12*(_xlpm.x-_xlpm.dep)/_xlpm.x,$C$13*(_xlpm.x-_xlpm.dep)/(_xlpm.x-3*$C$5/7))/$C$14,_xlpm.s,(_xlpm.e&gt;=1)*1+(_xlpm.e&lt;=-1)*(-1)+(ABS(_xlpm.e)&lt;1)*_xlpm.e,AVERAGE(_xlpm.s))</f>
        <v>0.22087464340365334</v>
      </c>
      <c r="J88" s="24" cm="1">
        <f t="array" ref="J88">_xlfn.LET(_xlpm.x,$B88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0.17992409745866297</v>
      </c>
      <c r="K88" s="24">
        <f>IFERROR(($C$15-F88)/I88,"")</f>
        <v>-1.1877117559314558</v>
      </c>
      <c r="L88" s="24" t="str">
        <f>IF(AND(ISNUMBER(K88),N(K88)&gt;0),H88+K88*J88,"")</f>
        <v/>
      </c>
      <c r="M88" s="24">
        <f>IF(ISNUMBER(L88),ABS(L88-$C$16),1000000000)</f>
        <v>1000000000</v>
      </c>
    </row>
    <row r="89" spans="1:13" x14ac:dyDescent="0.3">
      <c r="A89" s="24">
        <f>A88+0.01</f>
        <v>0.61000000000000032</v>
      </c>
      <c r="B89" s="20">
        <f>A89*$C$5</f>
        <v>366.00000000000017</v>
      </c>
      <c r="C89" s="20">
        <f>MIN(0.8*B89,$C$5)</f>
        <v>292.80000000000013</v>
      </c>
      <c r="D89" s="24">
        <f>ACOS(MAX(-1,($C$7-C89)/$C$7))</f>
        <v>1.5467940221974954</v>
      </c>
      <c r="E89" s="20">
        <f>$C$7^2*(D89-SIN(D89)*COS(D89))</f>
        <v>137052.08416737997</v>
      </c>
      <c r="F89" s="24">
        <f>E89/$C$9</f>
        <v>0.48472259236188908</v>
      </c>
      <c r="G89" s="16">
        <f>IF(E89&gt;0,2*$C$7^3*SIN(D89)^3/(3*E89),0)</f>
        <v>131.2234713464033</v>
      </c>
      <c r="H89" s="24">
        <f>F89*G89/$C$5</f>
        <v>0.10601163534959113</v>
      </c>
      <c r="I89" s="24" cm="1">
        <f t="array" ref="I89">_xlfn.LET(_xlpm.x,$B89,_xlpm.dep,$H$6:$H$29,_xlpm.e,IF(_xlpm.x&lt;=$C$5,$C$12*(_xlpm.x-_xlpm.dep)/_xlpm.x,$C$13*(_xlpm.x-_xlpm.dep)/(_xlpm.x-3*$C$5/7))/$C$14,_xlpm.s,(_xlpm.e&gt;=1)*1+(_xlpm.e&lt;=-1)*(-1)+(ABS(_xlpm.e)&lt;1)*_xlpm.e,AVERAGE(_xlpm.s))</f>
        <v>0.24108534117267857</v>
      </c>
      <c r="J89" s="24" cm="1">
        <f t="array" ref="J89">_xlfn.LET(_xlpm.x,$B89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0.17609988790103945</v>
      </c>
      <c r="K89" s="24">
        <f>IFERROR(($C$15-F89)/I89,"")</f>
        <v>-1.130371511793844</v>
      </c>
      <c r="L89" s="24" t="str">
        <f>IF(AND(ISNUMBER(K89),N(K89)&gt;0),H89+K89*J89,"")</f>
        <v/>
      </c>
      <c r="M89" s="24">
        <f>IF(ISNUMBER(L89),ABS(L89-$C$16),1000000000)</f>
        <v>1000000000</v>
      </c>
    </row>
    <row r="90" spans="1:13" x14ac:dyDescent="0.3">
      <c r="A90" s="24">
        <f>A89+0.01</f>
        <v>0.62000000000000033</v>
      </c>
      <c r="B90" s="20">
        <f>A90*$C$5</f>
        <v>372.00000000000017</v>
      </c>
      <c r="C90" s="20">
        <f>MIN(0.8*B90,$C$5)</f>
        <v>297.60000000000014</v>
      </c>
      <c r="D90" s="24">
        <f>ACOS(MAX(-1,($C$7-C90)/$C$7))</f>
        <v>1.5627962414591059</v>
      </c>
      <c r="E90" s="20">
        <f>$C$7^2*(D90-SIN(D90)*COS(D90))</f>
        <v>139931.68477168819</v>
      </c>
      <c r="F90" s="24">
        <f>E90/$C$9</f>
        <v>0.49490709614646822</v>
      </c>
      <c r="G90" s="16">
        <f>IF(E90&gt;0,2*$C$7^3*SIN(D90)^3/(3*E90),0)</f>
        <v>128.62184899019962</v>
      </c>
      <c r="H90" s="24">
        <f>F90*G90/$C$5</f>
        <v>0.10609310964121541</v>
      </c>
      <c r="I90" s="24" cm="1">
        <f t="array" ref="I90">_xlfn.LET(_xlpm.x,$B90,_xlpm.dep,$H$6:$H$29,_xlpm.e,IF(_xlpm.x&lt;=$C$5,$C$12*(_xlpm.x-_xlpm.dep)/_xlpm.x,$C$13*(_xlpm.x-_xlpm.dep)/(_xlpm.x-3*$C$5/7))/$C$14,_xlpm.s,(_xlpm.e&gt;=1)*1+(_xlpm.e&lt;=-1)*(-1)+(ABS(_xlpm.e)&lt;1)*_xlpm.e,AVERAGE(_xlpm.s))</f>
        <v>0.26029498620752783</v>
      </c>
      <c r="J90" s="24" cm="1">
        <f t="array" ref="J90">_xlfn.LET(_xlpm.x,$B90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0.17230441515940131</v>
      </c>
      <c r="K90" s="24">
        <f>IFERROR(($C$15-F90)/I90,"")</f>
        <v>-1.0860774134615223</v>
      </c>
      <c r="L90" s="24" t="str">
        <f>IF(AND(ISNUMBER(K90),N(K90)&gt;0),H90+K90*J90,"")</f>
        <v/>
      </c>
      <c r="M90" s="24">
        <f>IF(ISNUMBER(L90),ABS(L90-$C$16),1000000000)</f>
        <v>1000000000</v>
      </c>
    </row>
    <row r="91" spans="1:13" x14ac:dyDescent="0.3">
      <c r="A91" s="24">
        <f>A90+0.01</f>
        <v>0.63000000000000034</v>
      </c>
      <c r="B91" s="20">
        <f>A91*$C$5</f>
        <v>378.00000000000023</v>
      </c>
      <c r="C91" s="20">
        <f>MIN(0.8*B91,$C$5)</f>
        <v>302.4000000000002</v>
      </c>
      <c r="D91" s="24">
        <f>ACOS(MAX(-1,($C$7-C91)/$C$7))</f>
        <v>1.5787964121306883</v>
      </c>
      <c r="E91" s="20">
        <f>$C$7^2*(D91-SIN(D91)*COS(D91))</f>
        <v>142811.65405139336</v>
      </c>
      <c r="F91" s="24">
        <f>E91/$C$9</f>
        <v>0.50509290385353234</v>
      </c>
      <c r="G91" s="16">
        <f>IF(E91&gt;0,2*$C$7^3*SIN(D91)^3/(3*E91),0)</f>
        <v>126.02803424692001</v>
      </c>
      <c r="H91" s="24">
        <f>F91*G91/$C$5</f>
        <v>0.10609310964121542</v>
      </c>
      <c r="I91" s="24" cm="1">
        <f t="array" ref="I91">_xlfn.LET(_xlpm.x,$B91,_xlpm.dep,$H$6:$H$29,_xlpm.e,IF(_xlpm.x&lt;=$C$5,$C$12*(_xlpm.x-_xlpm.dep)/_xlpm.x,$C$13*(_xlpm.x-_xlpm.dep)/(_xlpm.x-3*$C$5/7))/$C$14,_xlpm.s,(_xlpm.e&gt;=1)*1+(_xlpm.e&lt;=-1)*(-1)+(ABS(_xlpm.e)&lt;1)*_xlpm.e,AVERAGE(_xlpm.s))</f>
        <v>0.27889480124127092</v>
      </c>
      <c r="J91" s="24" cm="1">
        <f t="array" ref="J91">_xlfn.LET(_xlpm.x,$B91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0.1686294336159104</v>
      </c>
      <c r="K91" s="24">
        <f>IFERROR(($C$15-F91)/I91,"")</f>
        <v>-1.050167703954308</v>
      </c>
      <c r="L91" s="24" t="str">
        <f>IF(AND(ISNUMBER(K91),N(K91)&gt;0),H91+K91*J91,"")</f>
        <v/>
      </c>
      <c r="M91" s="24">
        <f>IF(ISNUMBER(L91),ABS(L91-$C$16),1000000000)</f>
        <v>1000000000</v>
      </c>
    </row>
    <row r="92" spans="1:13" x14ac:dyDescent="0.3">
      <c r="A92" s="24">
        <f>A91+0.01</f>
        <v>0.64000000000000035</v>
      </c>
      <c r="B92" s="20">
        <f>A92*$C$5</f>
        <v>384.00000000000023</v>
      </c>
      <c r="C92" s="20">
        <f>MIN(0.8*B92,$C$5)</f>
        <v>307.20000000000022</v>
      </c>
      <c r="D92" s="24">
        <f>ACOS(MAX(-1,($C$7-C92)/$C$7))</f>
        <v>1.5947986313922988</v>
      </c>
      <c r="E92" s="20">
        <f>$C$7^2*(D92-SIN(D92)*COS(D92))</f>
        <v>145691.25465570163</v>
      </c>
      <c r="F92" s="24">
        <f>E92/$C$9</f>
        <v>0.5152774076381117</v>
      </c>
      <c r="G92" s="16">
        <f>IF(E92&gt;0,2*$C$7^3*SIN(D92)^3/(3*E92),0)</f>
        <v>123.44220854027229</v>
      </c>
      <c r="H92" s="24">
        <f>F92*G92/$C$5</f>
        <v>0.10601163534959113</v>
      </c>
      <c r="I92" s="24" cm="1">
        <f t="array" ref="I92">_xlfn.LET(_xlpm.x,$B92,_xlpm.dep,$H$6:$H$29,_xlpm.e,IF(_xlpm.x&lt;=$C$5,$C$12*(_xlpm.x-_xlpm.dep)/_xlpm.x,$C$13*(_xlpm.x-_xlpm.dep)/(_xlpm.x-3*$C$5/7))/$C$14,_xlpm.s,(_xlpm.e&gt;=1)*1+(_xlpm.e&lt;=-1)*(-1)+(ABS(_xlpm.e)&lt;1)*_xlpm.e,AVERAGE(_xlpm.s))</f>
        <v>0.29691337205520946</v>
      </c>
      <c r="J92" s="24" cm="1">
        <f t="array" ref="J92">_xlfn.LET(_xlpm.x,$B92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0.16506929524565359</v>
      </c>
      <c r="K92" s="24">
        <f>IFERROR(($C$15-F92)/I92,"")</f>
        <v>-1.020738186195816</v>
      </c>
      <c r="L92" s="24" t="str">
        <f>IF(AND(ISNUMBER(K92),N(K92)&gt;0),H92+K92*J92,"")</f>
        <v/>
      </c>
      <c r="M92" s="24">
        <f>IF(ISNUMBER(L92),ABS(L92-$C$16),1000000000)</f>
        <v>1000000000</v>
      </c>
    </row>
    <row r="93" spans="1:13" x14ac:dyDescent="0.3">
      <c r="A93" s="24">
        <f>A92+0.01</f>
        <v>0.65000000000000036</v>
      </c>
      <c r="B93" s="20">
        <f>A93*$C$5</f>
        <v>390.00000000000023</v>
      </c>
      <c r="C93" s="20">
        <f>MIN(0.8*B93,$C$5)</f>
        <v>312.00000000000023</v>
      </c>
      <c r="D93" s="24">
        <f>ACOS(MAX(-1,($C$7-C93)/$C$7))</f>
        <v>1.6108070011488862</v>
      </c>
      <c r="E93" s="20">
        <f>$C$7^2*(D93-SIN(D93)*COS(D93))</f>
        <v>148569.74895047731</v>
      </c>
      <c r="F93" s="24">
        <f>E93/$C$9</f>
        <v>0.52545799865311982</v>
      </c>
      <c r="G93" s="16">
        <f>IF(E93&gt;0,2*$C$7^3*SIN(D93)^3/(3*E93),0)</f>
        <v>120.8645596526942</v>
      </c>
      <c r="H93" s="24">
        <f>F93*G93/$C$5</f>
        <v>0.10584874937199218</v>
      </c>
      <c r="I93" s="24" cm="1">
        <f t="array" ref="I93">_xlfn.LET(_xlpm.x,$B93,_xlpm.dep,$H$6:$H$29,_xlpm.e,IF(_xlpm.x&lt;=$C$5,$C$12*(_xlpm.x-_xlpm.dep)/_xlpm.x,$C$13*(_xlpm.x-_xlpm.dep)/(_xlpm.x-3*$C$5/7))/$C$14,_xlpm.s,(_xlpm.e&gt;=1)*1+(_xlpm.e&lt;=-1)*(-1)+(ABS(_xlpm.e)&lt;1)*_xlpm.e,AVERAGE(_xlpm.s))</f>
        <v>0.314377525305642</v>
      </c>
      <c r="J93" s="24" cm="1">
        <f t="array" ref="J93">_xlfn.LET(_xlpm.x,$B93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0.16161869959448155</v>
      </c>
      <c r="K93" s="24">
        <f>IFERROR(($C$15-F93)/I93,"")</f>
        <v>-0.99641794546025164</v>
      </c>
      <c r="L93" s="24" t="str">
        <f>IF(AND(ISNUMBER(K93),N(K93)&gt;0),H93+K93*J93,"")</f>
        <v/>
      </c>
      <c r="M93" s="24">
        <f>IF(ISNUMBER(L93),ABS(L93-$C$16),1000000000)</f>
        <v>1000000000</v>
      </c>
    </row>
    <row r="94" spans="1:13" x14ac:dyDescent="0.3">
      <c r="A94" s="24">
        <f>A93+0.01</f>
        <v>0.66000000000000036</v>
      </c>
      <c r="B94" s="20">
        <f>A94*$C$5</f>
        <v>396.00000000000023</v>
      </c>
      <c r="C94" s="20">
        <f>MIN(0.8*B94,$C$5)</f>
        <v>316.80000000000018</v>
      </c>
      <c r="D94" s="24">
        <f>ACOS(MAX(-1,($C$7-C94)/$C$7))</f>
        <v>1.6268256375103811</v>
      </c>
      <c r="E94" s="20">
        <f>$C$7^2*(D94-SIN(D94)*COS(D94))</f>
        <v>151446.39845046788</v>
      </c>
      <c r="F94" s="24">
        <f>E94/$C$9</f>
        <v>0.53563206504126049</v>
      </c>
      <c r="G94" s="16">
        <f>IF(E94&gt;0,2*$C$7^3*SIN(D94)^3/(3*E94),0)</f>
        <v>118.29528203303151</v>
      </c>
      <c r="H94" s="24">
        <f>F94*G94/$C$5</f>
        <v>0.10560457699998498</v>
      </c>
      <c r="I94" s="24" cm="1">
        <f t="array" ref="I94">_xlfn.LET(_xlpm.x,$B94,_xlpm.dep,$H$6:$H$29,_xlpm.e,IF(_xlpm.x&lt;=$C$5,$C$12*(_xlpm.x-_xlpm.dep)/_xlpm.x,$C$13*(_xlpm.x-_xlpm.dep)/(_xlpm.x-3*$C$5/7))/$C$14,_xlpm.s,(_xlpm.e&gt;=1)*1+(_xlpm.e&lt;=-1)*(-1)+(ABS(_xlpm.e)&lt;1)*_xlpm.e,AVERAGE(_xlpm.s))</f>
        <v>0.33131246179091017</v>
      </c>
      <c r="J94" s="24" cm="1">
        <f t="array" ref="J94">_xlfn.LET(_xlpm.x,$B94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0.15827266744789056</v>
      </c>
      <c r="K94" s="24">
        <f>IFERROR(($C$15-F94)/I94,"")</f>
        <v>-0.97619471511512035</v>
      </c>
      <c r="L94" s="24" t="str">
        <f>IF(AND(ISNUMBER(K94),N(K94)&gt;0),H94+K94*J94,"")</f>
        <v/>
      </c>
      <c r="M94" s="24">
        <f>IF(ISNUMBER(L94),ABS(L94-$C$16),1000000000)</f>
        <v>1000000000</v>
      </c>
    </row>
    <row r="95" spans="1:13" x14ac:dyDescent="0.3">
      <c r="A95" s="24">
        <f>A94+0.01</f>
        <v>0.67000000000000037</v>
      </c>
      <c r="B95" s="20">
        <f>A95*$C$5</f>
        <v>402.00000000000023</v>
      </c>
      <c r="C95" s="20">
        <f>MIN(0.8*B95,$C$5)</f>
        <v>321.60000000000019</v>
      </c>
      <c r="D95" s="24">
        <f>ACOS(MAX(-1,($C$7-C95)/$C$7))</f>
        <v>1.6428586803631007</v>
      </c>
      <c r="E95" s="20">
        <f>$C$7^2*(D95-SIN(D95)*COS(D95))</f>
        <v>154320.46324825007</v>
      </c>
      <c r="F95" s="24">
        <f>E95/$C$9</f>
        <v>0.54579698991533698</v>
      </c>
      <c r="G95" s="16">
        <f>IF(E95&gt;0,2*$C$7^3*SIN(D95)^3/(3*E95),0)</f>
        <v>115.73457712364871</v>
      </c>
      <c r="H95" s="24">
        <f>F95*G95/$C$5</f>
        <v>0.10527930637201981</v>
      </c>
      <c r="I95" s="24" cm="1">
        <f t="array" ref="I95">_xlfn.LET(_xlpm.x,$B95,_xlpm.dep,$H$6:$H$29,_xlpm.e,IF(_xlpm.x&lt;=$C$5,$C$12*(_xlpm.x-_xlpm.dep)/_xlpm.x,$C$13*(_xlpm.x-_xlpm.dep)/(_xlpm.x-3*$C$5/7))/$C$14,_xlpm.s,(_xlpm.e&gt;=1)*1+(_xlpm.e&lt;=-1)*(-1)+(ABS(_xlpm.e)&lt;1)*_xlpm.e,AVERAGE(_xlpm.s))</f>
        <v>0.34774187778408061</v>
      </c>
      <c r="J95" s="24" cm="1">
        <f t="array" ref="J95">_xlfn.LET(_xlpm.x,$B95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0.15502651685791419</v>
      </c>
      <c r="K95" s="24">
        <f>IFERROR(($C$15-F95)/I95,"")</f>
        <v>-0.95930464645755353</v>
      </c>
      <c r="L95" s="24" t="str">
        <f>IF(AND(ISNUMBER(K95),N(K95)&gt;0),H95+K95*J95,"")</f>
        <v/>
      </c>
      <c r="M95" s="24">
        <f>IF(ISNUMBER(L95),ABS(L95-$C$16),1000000000)</f>
        <v>1000000000</v>
      </c>
    </row>
    <row r="96" spans="1:13" x14ac:dyDescent="0.3">
      <c r="A96" s="24">
        <f>A95+0.01</f>
        <v>0.68000000000000038</v>
      </c>
      <c r="B96" s="20">
        <f>A96*$C$5</f>
        <v>408.00000000000023</v>
      </c>
      <c r="C96" s="20">
        <f>MIN(0.8*B96,$C$5)</f>
        <v>326.4000000000002</v>
      </c>
      <c r="D96" s="24">
        <f>ACOS(MAX(-1,($C$7-C96)/$C$7))</f>
        <v>1.6589103030946166</v>
      </c>
      <c r="E96" s="20">
        <f>$C$7^2*(D96-SIN(D96)*COS(D96))</f>
        <v>157191.20143767621</v>
      </c>
      <c r="F96" s="24">
        <f>E96/$C$9</f>
        <v>0.55595014931911135</v>
      </c>
      <c r="G96" s="16">
        <f>IF(E96&gt;0,2*$C$7^3*SIN(D96)^3/(3*E96),0)</f>
        <v>113.18265370851357</v>
      </c>
      <c r="H96" s="24">
        <f>F96*G96/$C$5</f>
        <v>0.10487318871596898</v>
      </c>
      <c r="I96" s="24" cm="1">
        <f t="array" ref="I96">_xlfn.LET(_xlpm.x,$B96,_xlpm.dep,$H$6:$H$29,_xlpm.e,IF(_xlpm.x&lt;=$C$5,$C$12*(_xlpm.x-_xlpm.dep)/_xlpm.x,$C$13*(_xlpm.x-_xlpm.dep)/(_xlpm.x-3*$C$5/7))/$C$14,_xlpm.s,(_xlpm.e&gt;=1)*1+(_xlpm.e&lt;=-1)*(-1)+(ABS(_xlpm.e)&lt;1)*_xlpm.e,AVERAGE(_xlpm.s))</f>
        <v>0.36368807565980488</v>
      </c>
      <c r="J96" s="24" cm="1">
        <f t="array" ref="J96">_xlfn.LET(_xlpm.x,$B96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0.15187584128529011</v>
      </c>
      <c r="K96" s="24">
        <f>IFERROR(($C$15-F96)/I96,"")</f>
        <v>-0.94516037652951967</v>
      </c>
      <c r="L96" s="24" t="str">
        <f>IF(AND(ISNUMBER(K96),N(K96)&gt;0),H96+K96*J96,"")</f>
        <v/>
      </c>
      <c r="M96" s="24">
        <f>IF(ISNUMBER(L96),ABS(L96-$C$16),1000000000)</f>
        <v>1000000000</v>
      </c>
    </row>
    <row r="97" spans="1:13" x14ac:dyDescent="0.3">
      <c r="A97" s="24">
        <f>A96+0.01</f>
        <v>0.69000000000000039</v>
      </c>
      <c r="B97" s="20">
        <f>A97*$C$5</f>
        <v>414.00000000000023</v>
      </c>
      <c r="C97" s="20">
        <f>MIN(0.8*B97,$C$5)</f>
        <v>331.20000000000022</v>
      </c>
      <c r="D97" s="24">
        <f>ACOS(MAX(-1,($C$7-C97)/$C$7))</f>
        <v>1.6749847225361931</v>
      </c>
      <c r="E97" s="20">
        <f>$C$7^2*(D97-SIN(D97)*COS(D97))</f>
        <v>160057.86852955227</v>
      </c>
      <c r="F97" s="24">
        <f>E97/$C$9</f>
        <v>0.56608891016068796</v>
      </c>
      <c r="G97" s="16">
        <f>IF(E97&gt;0,2*$C$7^3*SIN(D97)^3/(3*E97),0)</f>
        <v>110.63972828394445</v>
      </c>
      <c r="H97" s="24">
        <f>F97*G97/$C$5</f>
        <v>0.10438653867455459</v>
      </c>
      <c r="I97" s="24" cm="1">
        <f t="array" ref="I97">_xlfn.LET(_xlpm.x,$B97,_xlpm.dep,$H$6:$H$29,_xlpm.e,IF(_xlpm.x&lt;=$C$5,$C$12*(_xlpm.x-_xlpm.dep)/_xlpm.x,$C$13*(_xlpm.x-_xlpm.dep)/(_xlpm.x-3*$C$5/7))/$C$14,_xlpm.s,(_xlpm.e&gt;=1)*1+(_xlpm.e&lt;=-1)*(-1)+(ABS(_xlpm.e)&lt;1)*_xlpm.e,AVERAGE(_xlpm.s))</f>
        <v>0.37917206490145022</v>
      </c>
      <c r="J97" s="24" cm="1">
        <f t="array" ref="J97">_xlfn.LET(_xlpm.x,$B97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0.14881648964230723</v>
      </c>
      <c r="K97" s="24">
        <f>IFERROR(($C$15-F97)/I97,"")</f>
        <v>-0.9333027196069178</v>
      </c>
      <c r="L97" s="24" t="str">
        <f>IF(AND(ISNUMBER(K97),N(K97)&gt;0),H97+K97*J97,"")</f>
        <v/>
      </c>
      <c r="M97" s="24">
        <f>IF(ISNUMBER(L97),ABS(L97-$C$16),1000000000)</f>
        <v>1000000000</v>
      </c>
    </row>
    <row r="98" spans="1:13" x14ac:dyDescent="0.3">
      <c r="A98" s="24">
        <f>A97+0.01</f>
        <v>0.7000000000000004</v>
      </c>
      <c r="B98" s="20">
        <f>A98*$C$5</f>
        <v>420.00000000000023</v>
      </c>
      <c r="C98" s="20">
        <f>MIN(0.8*B98,$C$5)</f>
        <v>336.00000000000023</v>
      </c>
      <c r="D98" s="24">
        <f>ACOS(MAX(-1,($C$7-C98)/$C$7))</f>
        <v>1.6910862091896854</v>
      </c>
      <c r="E98" s="20">
        <f>$C$7^2*(D98-SIN(D98)*COS(D98))</f>
        <v>162919.71685720785</v>
      </c>
      <c r="F98" s="24">
        <f>E98/$C$9</f>
        <v>0.57621062811014701</v>
      </c>
      <c r="G98" s="16">
        <f>IF(E98&gt;0,2*$C$7^3*SIN(D98)^3/(3*E98),0)</f>
        <v>108.10602545387586</v>
      </c>
      <c r="H98" s="24">
        <f>F98*G98/$C$5</f>
        <v>0.10381973471544891</v>
      </c>
      <c r="I98" s="24" cm="1">
        <f t="array" ref="I98">_xlfn.LET(_xlpm.x,$B98,_xlpm.dep,$H$6:$H$29,_xlpm.e,IF(_xlpm.x&lt;=$C$5,$C$12*(_xlpm.x-_xlpm.dep)/_xlpm.x,$C$13*(_xlpm.x-_xlpm.dep)/(_xlpm.x-3*$C$5/7))/$C$14,_xlpm.s,(_xlpm.e&gt;=1)*1+(_xlpm.e&lt;=-1)*(-1)+(ABS(_xlpm.e)&lt;1)*_xlpm.e,AVERAGE(_xlpm.s))</f>
        <v>0.39421365445047712</v>
      </c>
      <c r="J98" s="24" cm="1">
        <f t="array" ref="J98">_xlfn.LET(_xlpm.x,$B98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0.14584454804626676</v>
      </c>
      <c r="K98" s="24">
        <f>IFERROR(($C$15-F98)/I98,"")</f>
        <v>-0.92336740042240484</v>
      </c>
      <c r="L98" s="24" t="str">
        <f>IF(AND(ISNUMBER(K98),N(K98)&gt;0),H98+K98*J98,"")</f>
        <v/>
      </c>
      <c r="M98" s="24">
        <f>IF(ISNUMBER(L98),ABS(L98-$C$16),1000000000)</f>
        <v>1000000000</v>
      </c>
    </row>
    <row r="99" spans="1:13" x14ac:dyDescent="0.3">
      <c r="A99" s="24">
        <f>A98+0.01</f>
        <v>0.71000000000000041</v>
      </c>
      <c r="B99" s="20">
        <f>A99*$C$5</f>
        <v>426.00000000000023</v>
      </c>
      <c r="C99" s="20">
        <f>MIN(0.8*B99,$C$5)</f>
        <v>340.80000000000018</v>
      </c>
      <c r="D99" s="24">
        <f>ACOS(MAX(-1,($C$7-C99)/$C$7))</f>
        <v>1.7072190978094652</v>
      </c>
      <c r="E99" s="20">
        <f>$C$7^2*(D99-SIN(D99)*COS(D99))</f>
        <v>165775.99496952404</v>
      </c>
      <c r="F99" s="24">
        <f>E99/$C$9</f>
        <v>0.58631264545282058</v>
      </c>
      <c r="G99" s="16">
        <f>IF(E99&gt;0,2*$C$7^3*SIN(D99)^3/(3*E99),0)</f>
        <v>105.5817783516828</v>
      </c>
      <c r="H99" s="24">
        <f>F99*G99/$C$5</f>
        <v>0.10317321962831415</v>
      </c>
      <c r="I99" s="24" cm="1">
        <f t="array" ref="I99">_xlfn.LET(_xlpm.x,$B99,_xlpm.dep,$H$6:$H$29,_xlpm.e,IF(_xlpm.x&lt;=$C$5,$C$12*(_xlpm.x-_xlpm.dep)/_xlpm.x,$C$13*(_xlpm.x-_xlpm.dep)/(_xlpm.x-3*$C$5/7))/$C$14,_xlpm.s,(_xlpm.e&gt;=1)*1+(_xlpm.e&lt;=-1)*(-1)+(ABS(_xlpm.e)&lt;1)*_xlpm.e,AVERAGE(_xlpm.s))</f>
        <v>0.40883153725164406</v>
      </c>
      <c r="J99" s="24" cm="1">
        <f t="array" ref="J99">_xlfn.LET(_xlpm.x,$B99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0.1429563231149035</v>
      </c>
      <c r="K99" s="24">
        <f>IFERROR(($C$15-F99)/I99,"")</f>
        <v>-0.91506163438012122</v>
      </c>
      <c r="L99" s="24" t="str">
        <f>IF(AND(ISNUMBER(K99),N(K99)&gt;0),H99+K99*J99,"")</f>
        <v/>
      </c>
      <c r="M99" s="24">
        <f>IF(ISNUMBER(L99),ABS(L99-$C$16),1000000000)</f>
        <v>1000000000</v>
      </c>
    </row>
    <row r="100" spans="1:13" x14ac:dyDescent="0.3">
      <c r="A100" s="24">
        <f>A99+0.01</f>
        <v>0.72000000000000042</v>
      </c>
      <c r="B100" s="20">
        <f>A100*$C$5</f>
        <v>432.00000000000023</v>
      </c>
      <c r="C100" s="20">
        <f>MIN(0.8*B100,$C$5)</f>
        <v>345.60000000000019</v>
      </c>
      <c r="D100" s="24">
        <f>ACOS(MAX(-1,($C$7-C100)/$C$7))</f>
        <v>1.7233877984146089</v>
      </c>
      <c r="E100" s="20">
        <f>$C$7^2*(D100-SIN(D100)*COS(D100))</f>
        <v>168625.94700887025</v>
      </c>
      <c r="F100" s="24">
        <f>E100/$C$9</f>
        <v>0.59639228888919338</v>
      </c>
      <c r="G100" s="16">
        <f>IF(E100&gt;0,2*$C$7^3*SIN(D100)^3/(3*E100),0)</f>
        <v>103.06722909081138</v>
      </c>
      <c r="H100" s="24">
        <f>F100*G100/$C$5</f>
        <v>0.10244750111155977</v>
      </c>
      <c r="I100" s="24" cm="1">
        <f t="array" ref="I100">_xlfn.LET(_xlpm.x,$B100,_xlpm.dep,$H$6:$H$29,_xlpm.e,IF(_xlpm.x&lt;=$C$5,$C$12*(_xlpm.x-_xlpm.dep)/_xlpm.x,$C$13*(_xlpm.x-_xlpm.dep)/(_xlpm.x-3*$C$5/7))/$C$14,_xlpm.s,(_xlpm.e&gt;=1)*1+(_xlpm.e&lt;=-1)*(-1)+(ABS(_xlpm.e)&lt;1)*_xlpm.e,AVERAGE(_xlpm.s))</f>
        <v>0.42304336775277873</v>
      </c>
      <c r="J100" s="24" cm="1">
        <f t="array" ref="J100">_xlfn.LET(_xlpm.x,$B100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0.14014832665385582</v>
      </c>
      <c r="K100" s="24">
        <f>IFERROR(($C$15-F100)/I100,"")</f>
        <v>-0.90814731392861114</v>
      </c>
      <c r="L100" s="24" t="str">
        <f>IF(AND(ISNUMBER(K100),N(K100)&gt;0),H100+K100*J100,"")</f>
        <v/>
      </c>
      <c r="M100" s="24">
        <f>IF(ISNUMBER(L100),ABS(L100-$C$16),1000000000)</f>
        <v>1000000000</v>
      </c>
    </row>
    <row r="101" spans="1:13" x14ac:dyDescent="0.3">
      <c r="A101" s="24">
        <f>A100+0.01</f>
        <v>0.73000000000000043</v>
      </c>
      <c r="B101" s="20">
        <f>A101*$C$5</f>
        <v>438.00000000000023</v>
      </c>
      <c r="C101" s="20">
        <f>MIN(0.8*B101,$C$5)</f>
        <v>350.4000000000002</v>
      </c>
      <c r="D101" s="24">
        <f>ACOS(MAX(-1,($C$7-C101)/$C$7))</f>
        <v>1.7395968078123043</v>
      </c>
      <c r="E101" s="20">
        <f>$C$7^2*(D101-SIN(D101)*COS(D101))</f>
        <v>171468.81207125657</v>
      </c>
      <c r="F101" s="24">
        <f>E101/$C$9</f>
        <v>0.60644686727190522</v>
      </c>
      <c r="G101" s="16">
        <f>IF(E101&gt;0,2*$C$7^3*SIN(D101)^3/(3*E101),0)</f>
        <v>100.56262924669764</v>
      </c>
      <c r="H101" s="24">
        <f>F101*G101/$C$5</f>
        <v>0.1016431524521431</v>
      </c>
      <c r="I101" s="24" cm="1">
        <f t="array" ref="I101">_xlfn.LET(_xlpm.x,$B101,_xlpm.dep,$H$6:$H$29,_xlpm.e,IF(_xlpm.x&lt;=$C$5,$C$12*(_xlpm.x-_xlpm.dep)/_xlpm.x,$C$13*(_xlpm.x-_xlpm.dep)/(_xlpm.x-3*$C$5/7))/$C$14,_xlpm.s,(_xlpm.e&gt;=1)*1+(_xlpm.e&lt;=-1)*(-1)+(ABS(_xlpm.e)&lt;1)*_xlpm.e,AVERAGE(_xlpm.s))</f>
        <v>0.43686583303470411</v>
      </c>
      <c r="J101" s="24" cm="1">
        <f t="array" ref="J101">_xlfn.LET(_xlpm.x,$B101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0.13741726160269999</v>
      </c>
      <c r="K101" s="24">
        <f>IFERROR(($C$15-F101)/I101,"")</f>
        <v>-0.90242872449902367</v>
      </c>
      <c r="L101" s="24" t="str">
        <f>IF(AND(ISNUMBER(K101),N(K101)&gt;0),H101+K101*J101,"")</f>
        <v/>
      </c>
      <c r="M101" s="24">
        <f>IF(ISNUMBER(L101),ABS(L101-$C$16),1000000000)</f>
        <v>1000000000</v>
      </c>
    </row>
    <row r="102" spans="1:13" x14ac:dyDescent="0.3">
      <c r="A102" s="24">
        <f>A101+0.01</f>
        <v>0.74000000000000044</v>
      </c>
      <c r="B102" s="20">
        <f>A102*$C$5</f>
        <v>444.00000000000028</v>
      </c>
      <c r="C102" s="20">
        <f>MIN(0.8*B102,$C$5)</f>
        <v>355.20000000000027</v>
      </c>
      <c r="D102" s="24">
        <f>ACOS(MAX(-1,($C$7-C102)/$C$7))</f>
        <v>1.7558507217203894</v>
      </c>
      <c r="E102" s="20">
        <f>$C$7^2*(D102-SIN(D102)*COS(D102))</f>
        <v>174303.82354583871</v>
      </c>
      <c r="F102" s="24">
        <f>E102/$C$9</f>
        <v>0.61647366926972724</v>
      </c>
      <c r="G102" s="16">
        <f>IF(E102&gt;0,2*$C$7^3*SIN(D102)^3/(3*E102),0)</f>
        <v>98.068240372715493</v>
      </c>
      <c r="H102" s="24">
        <f>F102*G102/$C$5</f>
        <v>0.10076081330232253</v>
      </c>
      <c r="I102" s="24" cm="1">
        <f t="array" ref="I102">_xlfn.LET(_xlpm.x,$B102,_xlpm.dep,$H$6:$H$29,_xlpm.e,IF(_xlpm.x&lt;=$C$5,$C$12*(_xlpm.x-_xlpm.dep)/_xlpm.x,$C$13*(_xlpm.x-_xlpm.dep)/(_xlpm.x-3*$C$5/7))/$C$14,_xlpm.s,(_xlpm.e&gt;=1)*1+(_xlpm.e&lt;=-1)*(-1)+(ABS(_xlpm.e)&lt;1)*_xlpm.e,AVERAGE(_xlpm.s))</f>
        <v>0.45031471817387486</v>
      </c>
      <c r="J102" s="24" cm="1">
        <f t="array" ref="J102">_xlfn.LET(_xlpm.x,$B102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0.13476000912049421</v>
      </c>
      <c r="K102" s="24">
        <f>IFERROR(($C$15-F102)/I102,"")</f>
        <v>-0.89774342735215351</v>
      </c>
      <c r="L102" s="24" t="str">
        <f>IF(AND(ISNUMBER(K102),N(K102)&gt;0),H102+K102*J102,"")</f>
        <v/>
      </c>
      <c r="M102" s="24">
        <f>IF(ISNUMBER(L102),ABS(L102-$C$16),1000000000)</f>
        <v>1000000000</v>
      </c>
    </row>
    <row r="103" spans="1:13" x14ac:dyDescent="0.3">
      <c r="A103" s="24">
        <f>A102+0.01</f>
        <v>0.75000000000000044</v>
      </c>
      <c r="B103" s="20">
        <f>A103*$C$5</f>
        <v>450.00000000000028</v>
      </c>
      <c r="C103" s="20">
        <f>MIN(0.8*B103,$C$5)</f>
        <v>360.00000000000023</v>
      </c>
      <c r="D103" s="24">
        <f>ACOS(MAX(-1,($C$7-C103)/$C$7))</f>
        <v>1.7721542475852281</v>
      </c>
      <c r="E103" s="20">
        <f>$C$7^2*(D103-SIN(D103)*COS(D103))</f>
        <v>177130.20843070946</v>
      </c>
      <c r="F103" s="24">
        <f>E103/$C$9</f>
        <v>0.62646996094766938</v>
      </c>
      <c r="G103" s="16">
        <f>IF(E103&gt;0,2*$C$7^3*SIN(D103)^3/(3*E103),0)</f>
        <v>95.584334553190615</v>
      </c>
      <c r="H103" s="24">
        <f>F103*G103/$C$5</f>
        <v>9.980119055791048E-2</v>
      </c>
      <c r="I103" s="24" cm="1">
        <f t="array" ref="I103">_xlfn.LET(_xlpm.x,$B103,_xlpm.dep,$H$6:$H$29,_xlpm.e,IF(_xlpm.x&lt;=$C$5,$C$12*(_xlpm.x-_xlpm.dep)/_xlpm.x,$C$13*(_xlpm.x-_xlpm.dep)/(_xlpm.x-3*$C$5/7))/$C$14,_xlpm.s,(_xlpm.e&gt;=1)*1+(_xlpm.e&lt;=-1)*(-1)+(ABS(_xlpm.e)&lt;1)*_xlpm.e,AVERAGE(_xlpm.s))</f>
        <v>0.46340496637600093</v>
      </c>
      <c r="J103" s="24" cm="1">
        <f t="array" ref="J103">_xlfn.LET(_xlpm.x,$B103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0.13217361670448061</v>
      </c>
      <c r="K103" s="24">
        <f>IFERROR(($C$15-F103)/I103,"")</f>
        <v>-0.89395539585639139</v>
      </c>
      <c r="L103" s="24" t="str">
        <f>IF(AND(ISNUMBER(K103),N(K103)&gt;0),H103+K103*J103,"")</f>
        <v/>
      </c>
      <c r="M103" s="24">
        <f>IF(ISNUMBER(L103),ABS(L103-$C$16),1000000000)</f>
        <v>1000000000</v>
      </c>
    </row>
    <row r="104" spans="1:13" x14ac:dyDescent="0.3">
      <c r="A104" s="24">
        <f>A103+0.01</f>
        <v>0.76000000000000045</v>
      </c>
      <c r="B104" s="20">
        <f>A104*$C$5</f>
        <v>456.00000000000028</v>
      </c>
      <c r="C104" s="20">
        <f>MIN(0.8*B104,$C$5)</f>
        <v>364.80000000000024</v>
      </c>
      <c r="D104" s="24">
        <f>ACOS(MAX(-1,($C$7-C104)/$C$7))</f>
        <v>1.7885122182010067</v>
      </c>
      <c r="E104" s="20">
        <f>$C$7^2*(D104-SIN(D104)*COS(D104))</f>
        <v>179947.18662167515</v>
      </c>
      <c r="F104" s="24">
        <f>E104/$C$9</f>
        <v>0.63643298325154174</v>
      </c>
      <c r="G104" s="16">
        <f>IF(E104&gt;0,2*$C$7^3*SIN(D104)^3/(3*E104),0)</f>
        <v>93.111194996848795</v>
      </c>
      <c r="H104" s="24">
        <f>F104*G104/$C$5</f>
        <v>9.8765059343267514E-2</v>
      </c>
      <c r="I104" s="24" cm="1">
        <f t="array" ref="I104">_xlfn.LET(_xlpm.x,$B104,_xlpm.dep,$H$6:$H$29,_xlpm.e,IF(_xlpm.x&lt;=$C$5,$C$12*(_xlpm.x-_xlpm.dep)/_xlpm.x,$C$13*(_xlpm.x-_xlpm.dep)/(_xlpm.x-3*$C$5/7))/$C$14,_xlpm.s,(_xlpm.e&gt;=1)*1+(_xlpm.e&lt;=-1)*(-1)+(ABS(_xlpm.e)&lt;1)*_xlpm.e,AVERAGE(_xlpm.s))</f>
        <v>0.47615073436228156</v>
      </c>
      <c r="J104" s="24" cm="1">
        <f t="array" ref="J104">_xlfn.LET(_xlpm.x,$B104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0.12965528724678316</v>
      </c>
      <c r="K104" s="24">
        <f>IFERROR(($C$15-F104)/I104,"")</f>
        <v>-0.8909497809144894</v>
      </c>
      <c r="L104" s="24" t="str">
        <f>IF(AND(ISNUMBER(K104),N(K104)&gt;0),H104+K104*J104,"")</f>
        <v/>
      </c>
      <c r="M104" s="24">
        <f>IF(ISNUMBER(L104),ABS(L104-$C$16),1000000000)</f>
        <v>1000000000</v>
      </c>
    </row>
    <row r="105" spans="1:13" x14ac:dyDescent="0.3">
      <c r="A105" s="24">
        <f>A104+0.01</f>
        <v>0.77000000000000046</v>
      </c>
      <c r="B105" s="20">
        <f>A105*$C$5</f>
        <v>462.00000000000028</v>
      </c>
      <c r="C105" s="20">
        <f>MIN(0.8*B105,$C$5)</f>
        <v>369.60000000000025</v>
      </c>
      <c r="D105" s="24">
        <f>ACOS(MAX(-1,($C$7-C105)/$C$7))</f>
        <v>1.8049296062481868</v>
      </c>
      <c r="E105" s="20">
        <f>$C$7^2*(D105-SIN(D105)*COS(D105))</f>
        <v>182753.97017043643</v>
      </c>
      <c r="F105" s="24">
        <f>E105/$C$9</f>
        <v>0.64635994938430552</v>
      </c>
      <c r="G105" s="16">
        <f>IF(E105&gt;0,2*$C$7^3*SIN(D105)^3/(3*E105),0)</f>
        <v>90.649116674443036</v>
      </c>
      <c r="H105" s="24">
        <f>F105*G105/$C$5</f>
        <v>9.7653264109041682E-2</v>
      </c>
      <c r="I105" s="24" cm="1">
        <f t="array" ref="I105">_xlfn.LET(_xlpm.x,$B105,_xlpm.dep,$H$6:$H$29,_xlpm.e,IF(_xlpm.x&lt;=$C$5,$C$12*(_xlpm.x-_xlpm.dep)/_xlpm.x,$C$13*(_xlpm.x-_xlpm.dep)/(_xlpm.x-3*$C$5/7))/$C$14,_xlpm.s,(_xlpm.e&gt;=1)*1+(_xlpm.e&lt;=-1)*(-1)+(ABS(_xlpm.e)&lt;1)*_xlpm.e,AVERAGE(_xlpm.s))</f>
        <v>0.48856544343982772</v>
      </c>
      <c r="J105" s="24" cm="1">
        <f t="array" ref="J105">_xlfn.LET(_xlpm.x,$B105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0.12720236894383105</v>
      </c>
      <c r="K105" s="24">
        <f>IFERROR(($C$15-F105)/I105,"")</f>
        <v>-0.88862887137162538</v>
      </c>
      <c r="L105" s="24" t="str">
        <f>IF(AND(ISNUMBER(K105),N(K105)&gt;0),H105+K105*J105,"")</f>
        <v/>
      </c>
      <c r="M105" s="24">
        <f>IF(ISNUMBER(L105),ABS(L105-$C$16),1000000000)</f>
        <v>1000000000</v>
      </c>
    </row>
    <row r="106" spans="1:13" x14ac:dyDescent="0.3">
      <c r="A106" s="24">
        <f>A105+0.01</f>
        <v>0.78000000000000047</v>
      </c>
      <c r="B106" s="20">
        <f>A106*$C$5</f>
        <v>468.00000000000028</v>
      </c>
      <c r="C106" s="20">
        <f>MIN(0.8*B106,$C$5)</f>
        <v>374.40000000000026</v>
      </c>
      <c r="D106" s="24">
        <f>ACOS(MAX(-1,($C$7-C106)/$C$7))</f>
        <v>1.8214115398826127</v>
      </c>
      <c r="E106" s="20">
        <f>$C$7^2*(D106-SIN(D106)*COS(D106))</f>
        <v>185549.76250827577</v>
      </c>
      <c r="F106" s="24">
        <f>E106/$C$9</f>
        <v>0.65624804206042942</v>
      </c>
      <c r="G106" s="16">
        <f>IF(E106&gt;0,2*$C$7^3*SIN(D106)^3/(3*E106),0)</f>
        <v>88.198407004728566</v>
      </c>
      <c r="H106" s="24">
        <f>F106*G106/$C$5</f>
        <v>9.6466719849503307E-2</v>
      </c>
      <c r="I106" s="24" cm="1">
        <f t="array" ref="I106">_xlfn.LET(_xlpm.x,$B106,_xlpm.dep,$H$6:$H$29,_xlpm.e,IF(_xlpm.x&lt;=$C$5,$C$12*(_xlpm.x-_xlpm.dep)/_xlpm.x,$C$13*(_xlpm.x-_xlpm.dep)/(_xlpm.x-3*$C$5/7))/$C$14,_xlpm.s,(_xlpm.e&gt;=1)*1+(_xlpm.e&lt;=-1)*(-1)+(ABS(_xlpm.e)&lt;1)*_xlpm.e,AVERAGE(_xlpm.s))</f>
        <v>0.5006618266435906</v>
      </c>
      <c r="J106" s="24" cm="1">
        <f t="array" ref="J106">_xlfn.LET(_xlpm.x,$B106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0.12481234598198034</v>
      </c>
      <c r="K106" s="24">
        <f>IFERROR(($C$15-F106)/I106,"")</f>
        <v>-0.88690894260516162</v>
      </c>
      <c r="L106" s="24" t="str">
        <f>IF(AND(ISNUMBER(K106),N(K106)&gt;0),H106+K106*J106,"")</f>
        <v/>
      </c>
      <c r="M106" s="24">
        <f>IF(ISNUMBER(L106),ABS(L106-$C$16),1000000000)</f>
        <v>1000000000</v>
      </c>
    </row>
    <row r="107" spans="1:13" x14ac:dyDescent="0.3">
      <c r="A107" s="24">
        <f>A106+0.01</f>
        <v>0.79000000000000048</v>
      </c>
      <c r="B107" s="20">
        <f>A107*$C$5</f>
        <v>474.00000000000028</v>
      </c>
      <c r="C107" s="20">
        <f>MIN(0.8*B107,$C$5)</f>
        <v>379.20000000000027</v>
      </c>
      <c r="D107" s="24">
        <f>ACOS(MAX(-1,($C$7-C107)/$C$7))</f>
        <v>1.8379633195229543</v>
      </c>
      <c r="E107" s="20">
        <f>$C$7^2*(D107-SIN(D107)*COS(D107))</f>
        <v>188333.75763097906</v>
      </c>
      <c r="F107" s="24">
        <f>E107/$C$9</f>
        <v>0.66609441062313957</v>
      </c>
      <c r="G107" s="16">
        <f>IF(E107&gt;0,2*$C$7^3*SIN(D107)^3/(3*E107),0)</f>
        <v>85.759386593439899</v>
      </c>
      <c r="H107" s="24">
        <f>F107*G107/$C$5</f>
        <v>9.5206413447265548E-2</v>
      </c>
      <c r="I107" s="24" cm="1">
        <f t="array" ref="I107">_xlfn.LET(_xlpm.x,$B107,_xlpm.dep,$H$6:$H$29,_xlpm.e,IF(_xlpm.x&lt;=$C$5,$C$12*(_xlpm.x-_xlpm.dep)/_xlpm.x,$C$13*(_xlpm.x-_xlpm.dep)/(_xlpm.x-3*$C$5/7))/$C$14,_xlpm.s,(_xlpm.e&gt;=1)*1+(_xlpm.e&lt;=-1)*(-1)+(ABS(_xlpm.e)&lt;1)*_xlpm.e,AVERAGE(_xlpm.s))</f>
        <v>0.51245197229789108</v>
      </c>
      <c r="J107" s="24" cm="1">
        <f t="array" ref="J107">_xlfn.LET(_xlpm.x,$B107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0.12248282993055623</v>
      </c>
      <c r="K107" s="24">
        <f>IFERROR(($C$15-F107)/I107,"")</f>
        <v>-0.88571777331378565</v>
      </c>
      <c r="L107" s="24" t="str">
        <f>IF(AND(ISNUMBER(K107),N(K107)&gt;0),H107+K107*J107,"")</f>
        <v/>
      </c>
      <c r="M107" s="24">
        <f>IF(ISNUMBER(L107),ABS(L107-$C$16),1000000000)</f>
        <v>1000000000</v>
      </c>
    </row>
    <row r="108" spans="1:13" x14ac:dyDescent="0.3">
      <c r="A108" s="24">
        <f>A107+0.01</f>
        <v>0.80000000000000049</v>
      </c>
      <c r="B108" s="20">
        <f>A108*$C$5</f>
        <v>480.00000000000028</v>
      </c>
      <c r="C108" s="20">
        <f>MIN(0.8*B108,$C$5)</f>
        <v>384.00000000000023</v>
      </c>
      <c r="D108" s="24">
        <f>ACOS(MAX(-1,($C$7-C108)/$C$7))</f>
        <v>1.8545904360032253</v>
      </c>
      <c r="E108" s="20">
        <f>$C$7^2*(D108-SIN(D108)*COS(D108))</f>
        <v>191105.13924029036</v>
      </c>
      <c r="F108" s="24">
        <f>E108/$C$9</f>
        <v>0.6758961680079365</v>
      </c>
      <c r="G108" s="16">
        <f>IF(E108&gt;0,2*$C$7^3*SIN(D108)^3/(3*E108),0)</f>
        <v>83.332390030474372</v>
      </c>
      <c r="H108" s="24">
        <f>F108*G108/$C$5</f>
        <v>9.3873405154233994E-2</v>
      </c>
      <c r="I108" s="24" cm="1">
        <f t="array" ref="I108">_xlfn.LET(_xlpm.x,$B108,_xlpm.dep,$H$6:$H$29,_xlpm.e,IF(_xlpm.x&lt;=$C$5,$C$12*(_xlpm.x-_xlpm.dep)/_xlpm.x,$C$13*(_xlpm.x-_xlpm.dep)/(_xlpm.x-3*$C$5/7))/$C$14,_xlpm.s,(_xlpm.e&gt;=1)*1+(_xlpm.e&lt;=-1)*(-1)+(ABS(_xlpm.e)&lt;1)*_xlpm.e,AVERAGE(_xlpm.s))</f>
        <v>0.52394736431083422</v>
      </c>
      <c r="J108" s="24" cm="1">
        <f t="array" ref="J108">_xlfn.LET(_xlpm.x,$B108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0.12021155178041769</v>
      </c>
      <c r="K108" s="24">
        <f>IFERROR(($C$15-F108)/I108,"")</f>
        <v>-0.88499267064478782</v>
      </c>
      <c r="L108" s="24" t="str">
        <f>IF(AND(ISNUMBER(K108),N(K108)&gt;0),H108+K108*J108,"")</f>
        <v/>
      </c>
      <c r="M108" s="24">
        <f>IF(ISNUMBER(L108),ABS(L108-$C$16),1000000000)</f>
        <v>1000000000</v>
      </c>
    </row>
    <row r="109" spans="1:13" x14ac:dyDescent="0.3">
      <c r="A109" s="24">
        <f>A108+0.01</f>
        <v>0.8100000000000005</v>
      </c>
      <c r="B109" s="20">
        <f>A109*$C$5</f>
        <v>486.00000000000028</v>
      </c>
      <c r="C109" s="20">
        <f>MIN(0.8*B109,$C$5)</f>
        <v>388.80000000000024</v>
      </c>
      <c r="D109" s="24">
        <f>ACOS(MAX(-1,($C$7-C109)/$C$7))</f>
        <v>1.8712985902795767</v>
      </c>
      <c r="E109" s="20">
        <f>$C$7^2*(D109-SIN(D109)*COS(D109))</f>
        <v>193863.07983670151</v>
      </c>
      <c r="F109" s="24">
        <f>E109/$C$9</f>
        <v>0.68565038753399532</v>
      </c>
      <c r="G109" s="16">
        <f>IF(E109&gt;0,2*$C$7^3*SIN(D109)^3/(3*E109),0)</f>
        <v>80.917766751116247</v>
      </c>
      <c r="H109" s="24">
        <f>F109*G109/$C$5</f>
        <v>9.246883021881383E-2</v>
      </c>
      <c r="I109" s="24" cm="1">
        <f t="array" ref="I109">_xlfn.LET(_xlpm.x,$B109,_xlpm.dep,$H$6:$H$29,_xlpm.e,IF(_xlpm.x&lt;=$C$5,$C$12*(_xlpm.x-_xlpm.dep)/_xlpm.x,$C$13*(_xlpm.x-_xlpm.dep)/(_xlpm.x-3*$C$5/7))/$C$14,_xlpm.s,(_xlpm.e&gt;=1)*1+(_xlpm.e&lt;=-1)*(-1)+(ABS(_xlpm.e)&lt;1)*_xlpm.e,AVERAGE(_xlpm.s))</f>
        <v>0.53515891948395145</v>
      </c>
      <c r="J109" s="24" cm="1">
        <f t="array" ref="J109">_xlfn.LET(_xlpm.x,$B109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0.11799635457225791</v>
      </c>
      <c r="K109" s="24">
        <f>IFERROR(($C$15-F109)/I109,"")</f>
        <v>-0.88467888604255884</v>
      </c>
      <c r="L109" s="24" t="str">
        <f>IF(AND(ISNUMBER(K109),N(K109)&gt;0),H109+K109*J109,"")</f>
        <v/>
      </c>
      <c r="M109" s="24">
        <f>IF(ISNUMBER(L109),ABS(L109-$C$16),1000000000)</f>
        <v>1000000000</v>
      </c>
    </row>
    <row r="110" spans="1:13" x14ac:dyDescent="0.3">
      <c r="A110" s="24">
        <f>A109+0.01</f>
        <v>0.82000000000000051</v>
      </c>
      <c r="B110" s="20">
        <f>A110*$C$5</f>
        <v>492.00000000000028</v>
      </c>
      <c r="C110" s="20">
        <f>MIN(0.8*B110,$C$5)</f>
        <v>393.60000000000025</v>
      </c>
      <c r="D110" s="24">
        <f>ACOS(MAX(-1,($C$7-C110)/$C$7))</f>
        <v>1.8880937149070367</v>
      </c>
      <c r="E110" s="20">
        <f>$C$7^2*(D110-SIN(D110)*COS(D110))</f>
        <v>196606.73975780248</v>
      </c>
      <c r="F110" s="24">
        <f>E110/$C$9</f>
        <v>0.69535409950302507</v>
      </c>
      <c r="G110" s="16">
        <f>IF(E110&gt;0,2*$C$7^3*SIN(D110)^3/(3*E110),0)</f>
        <v>78.515881967856444</v>
      </c>
      <c r="H110" s="24">
        <f>F110*G110/$C$5</f>
        <v>9.0993900670741035E-2</v>
      </c>
      <c r="I110" s="24" cm="1">
        <f t="array" ref="I110">_xlfn.LET(_xlpm.x,$B110,_xlpm.dep,$H$6:$H$29,_xlpm.e,IF(_xlpm.x&lt;=$C$5,$C$12*(_xlpm.x-_xlpm.dep)/_xlpm.x,$C$13*(_xlpm.x-_xlpm.dep)/(_xlpm.x-3*$C$5/7))/$C$14,_xlpm.s,(_xlpm.e&gt;=1)*1+(_xlpm.e&lt;=-1)*(-1)+(ABS(_xlpm.e)&lt;1)*_xlpm.e,AVERAGE(_xlpm.s))</f>
        <v>0.54571253699701983</v>
      </c>
      <c r="J110" s="24" cm="1">
        <f t="array" ref="J110">_xlfn.LET(_xlpm.x,$B110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0.11576149358778402</v>
      </c>
      <c r="K110" s="24">
        <f>IFERROR(($C$15-F110)/I110,"")</f>
        <v>-0.88535167502752432</v>
      </c>
      <c r="L110" s="24" t="str">
        <f>IF(AND(ISNUMBER(K110),N(K110)&gt;0),H110+K110*J110,"")</f>
        <v/>
      </c>
      <c r="M110" s="24">
        <f>IF(ISNUMBER(L110),ABS(L110-$C$16),1000000000)</f>
        <v>1000000000</v>
      </c>
    </row>
    <row r="111" spans="1:13" x14ac:dyDescent="0.3">
      <c r="A111" s="24">
        <f>A110+0.01</f>
        <v>0.83000000000000052</v>
      </c>
      <c r="B111" s="20">
        <f>A111*$C$5</f>
        <v>498.00000000000028</v>
      </c>
      <c r="C111" s="20">
        <f>MIN(0.8*B111,$C$5)</f>
        <v>398.40000000000026</v>
      </c>
      <c r="D111" s="24">
        <f>ACOS(MAX(-1,($C$7-C111)/$C$7))</f>
        <v>1.9049819975331768</v>
      </c>
      <c r="E111" s="20">
        <f>$C$7^2*(D111-SIN(D111)*COS(D111))</f>
        <v>199335.26615575139</v>
      </c>
      <c r="F111" s="24">
        <f>E111/$C$9</f>
        <v>0.70500428758280942</v>
      </c>
      <c r="G111" s="16">
        <f>IF(E111&gt;0,2*$C$7^3*SIN(D111)^3/(3*E111),0)</f>
        <v>76.127117680191404</v>
      </c>
      <c r="H111" s="24">
        <f>F111*G111/$C$5</f>
        <v>8.9449907276426724E-2</v>
      </c>
      <c r="I111" s="24" cm="1">
        <f t="array" ref="I111">_xlfn.LET(_xlpm.x,$B111,_xlpm.dep,$H$6:$H$29,_xlpm.e,IF(_xlpm.x&lt;=$C$5,$C$12*(_xlpm.x-_xlpm.dep)/_xlpm.x,$C$13*(_xlpm.x-_xlpm.dep)/(_xlpm.x-3*$C$5/7))/$C$14,_xlpm.s,(_xlpm.e&gt;=1)*1+(_xlpm.e&lt;=-1)*(-1)+(ABS(_xlpm.e)&lt;1)*_xlpm.e,AVERAGE(_xlpm.s))</f>
        <v>0.55577925341874235</v>
      </c>
      <c r="J111" s="24" cm="1">
        <f t="array" ref="J111">_xlfn.LET(_xlpm.x,$B111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0.11353590357303865</v>
      </c>
      <c r="K111" s="24">
        <f>IFERROR(($C$15-F111)/I111,"")</f>
        <v>-0.88667882754221072</v>
      </c>
      <c r="L111" s="24" t="str">
        <f>IF(AND(ISNUMBER(K111),N(K111)&gt;0),H111+K111*J111,"")</f>
        <v/>
      </c>
      <c r="M111" s="24">
        <f>IF(ISNUMBER(L111),ABS(L111-$C$16),1000000000)</f>
        <v>1000000000</v>
      </c>
    </row>
    <row r="112" spans="1:13" x14ac:dyDescent="0.3">
      <c r="A112" s="24">
        <f>A111+0.01</f>
        <v>0.84000000000000052</v>
      </c>
      <c r="B112" s="20">
        <f>A112*$C$5</f>
        <v>504.00000000000034</v>
      </c>
      <c r="C112" s="20">
        <f>MIN(0.8*B112,$C$5)</f>
        <v>403.20000000000027</v>
      </c>
      <c r="D112" s="24">
        <f>ACOS(MAX(-1,($C$7-C112)/$C$7))</f>
        <v>1.9219699066927667</v>
      </c>
      <c r="E112" s="20">
        <f>$C$7^2*(D112-SIN(D112)*COS(D112))</f>
        <v>202047.79190665067</v>
      </c>
      <c r="F112" s="24">
        <f>E112/$C$9</f>
        <v>0.71459788494991328</v>
      </c>
      <c r="G112" s="16">
        <f>IF(E112&gt;0,2*$C$7^3*SIN(D112)^3/(3*E112),0)</f>
        <v>73.751873770738129</v>
      </c>
      <c r="H112" s="24">
        <f>F112*G112/$C$5</f>
        <v>8.7838221679437417E-2</v>
      </c>
      <c r="I112" s="24" cm="1">
        <f t="array" ref="I112">_xlfn.LET(_xlpm.x,$B112,_xlpm.dep,$H$6:$H$29,_xlpm.e,IF(_xlpm.x&lt;=$C$5,$C$12*(_xlpm.x-_xlpm.dep)/_xlpm.x,$C$13*(_xlpm.x-_xlpm.dep)/(_xlpm.x-3*$C$5/7))/$C$14,_xlpm.s,(_xlpm.e&gt;=1)*1+(_xlpm.e&lt;=-1)*(-1)+(ABS(_xlpm.e)&lt;1)*_xlpm.e,AVERAGE(_xlpm.s))</f>
        <v>0.5656062861161385</v>
      </c>
      <c r="J112" s="24" cm="1">
        <f t="array" ref="J112">_xlfn.LET(_xlpm.x,$B112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0.1113633037967396</v>
      </c>
      <c r="K112" s="24">
        <f>IFERROR(($C$15-F112)/I112,"")</f>
        <v>-0.88823499047456012</v>
      </c>
      <c r="L112" s="24" t="str">
        <f>IF(AND(ISNUMBER(K112),N(K112)&gt;0),H112+K112*J112,"")</f>
        <v/>
      </c>
      <c r="M112" s="24">
        <f>IF(ISNUMBER(L112),ABS(L112-$C$16),1000000000)</f>
        <v>1000000000</v>
      </c>
    </row>
    <row r="113" spans="1:13" x14ac:dyDescent="0.3">
      <c r="A113" s="24">
        <f>A112+0.01</f>
        <v>0.85000000000000053</v>
      </c>
      <c r="B113" s="20">
        <f>A113*$C$5</f>
        <v>510.00000000000034</v>
      </c>
      <c r="C113" s="20">
        <f>MIN(0.8*B113,$C$5)</f>
        <v>408.00000000000028</v>
      </c>
      <c r="D113" s="24">
        <f>ACOS(MAX(-1,($C$7-C113)/$C$7))</f>
        <v>1.9390642202315376</v>
      </c>
      <c r="E113" s="20">
        <f>$C$7^2*(D113-SIN(D113)*COS(D113))</f>
        <v>204743.43444371645</v>
      </c>
      <c r="F113" s="24">
        <f>E113/$C$9</f>
        <v>0.72413177016286434</v>
      </c>
      <c r="G113" s="16">
        <f>IF(E113&gt;0,2*$C$7^3*SIN(D113)^3/(3*E113),0)</f>
        <v>71.390569197105762</v>
      </c>
      <c r="H113" s="24">
        <f>F113*G113/$C$5</f>
        <v>8.616029874272442E-2</v>
      </c>
      <c r="I113" s="24" cm="1">
        <f t="array" ref="I113">_xlfn.LET(_xlpm.x,$B113,_xlpm.dep,$H$6:$H$29,_xlpm.e,IF(_xlpm.x&lt;=$C$5,$C$12*(_xlpm.x-_xlpm.dep)/_xlpm.x,$C$13*(_xlpm.x-_xlpm.dep)/(_xlpm.x-3*$C$5/7))/$C$14,_xlpm.s,(_xlpm.e&gt;=1)*1+(_xlpm.e&lt;=-1)*(-1)+(ABS(_xlpm.e)&lt;1)*_xlpm.e,AVERAGE(_xlpm.s))</f>
        <v>0.57520209451477211</v>
      </c>
      <c r="J113" s="24" cm="1">
        <f t="array" ref="J113">_xlfn.LET(_xlpm.x,$B113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0.10924182401517697</v>
      </c>
      <c r="K113" s="24">
        <f>IFERROR(($C$15-F113)/I113,"")</f>
        <v>-0.88999185548084525</v>
      </c>
      <c r="L113" s="24" t="str">
        <f>IF(AND(ISNUMBER(K113),N(K113)&gt;0),H113+K113*J113,"")</f>
        <v/>
      </c>
      <c r="M113" s="24">
        <f>IF(ISNUMBER(L113),ABS(L113-$C$16),1000000000)</f>
        <v>1000000000</v>
      </c>
    </row>
    <row r="114" spans="1:13" x14ac:dyDescent="0.3">
      <c r="A114" s="24">
        <f>A113+0.01</f>
        <v>0.86000000000000054</v>
      </c>
      <c r="B114" s="20">
        <f>A114*$C$5</f>
        <v>516.00000000000034</v>
      </c>
      <c r="C114" s="20">
        <f>MIN(0.8*B114,$C$5)</f>
        <v>412.8000000000003</v>
      </c>
      <c r="D114" s="24">
        <f>ACOS(MAX(-1,($C$7-C114)/$C$7))</f>
        <v>1.9562720567396901</v>
      </c>
      <c r="E114" s="20">
        <f>$C$7^2*(D114-SIN(D114)*COS(D114))</f>
        <v>207421.29450508082</v>
      </c>
      <c r="F114" s="24">
        <f>E114/$C$9</f>
        <v>0.73360276273340885</v>
      </c>
      <c r="G114" s="16">
        <f>IF(E114&gt;0,2*$C$7^3*SIN(D114)^3/(3*E114),0)</f>
        <v>69.043643290242173</v>
      </c>
      <c r="H114" s="24">
        <f>F114*G114/$C$5</f>
        <v>8.4417679111502747E-2</v>
      </c>
      <c r="I114" s="24" cm="1">
        <f t="array" ref="I114">_xlfn.LET(_xlpm.x,$B114,_xlpm.dep,$H$6:$H$29,_xlpm.e,IF(_xlpm.x&lt;=$C$5,$C$12*(_xlpm.x-_xlpm.dep)/_xlpm.x,$C$13*(_xlpm.x-_xlpm.dep)/(_xlpm.x-3*$C$5/7))/$C$14,_xlpm.s,(_xlpm.e&gt;=1)*1+(_xlpm.e&lt;=-1)*(-1)+(ABS(_xlpm.e)&lt;1)*_xlpm.e,AVERAGE(_xlpm.s))</f>
        <v>0.58457474457855374</v>
      </c>
      <c r="J114" s="24" cm="1">
        <f t="array" ref="J114">_xlfn.LET(_xlpm.x,$B114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0.10716968097272052</v>
      </c>
      <c r="K114" s="24">
        <f>IFERROR(($C$15-F114)/I114,"")</f>
        <v>-0.89192387591104882</v>
      </c>
      <c r="L114" s="24" t="str">
        <f>IF(AND(ISNUMBER(K114),N(K114)&gt;0),H114+K114*J114,"")</f>
        <v/>
      </c>
      <c r="M114" s="24">
        <f>IF(ISNUMBER(L114),ABS(L114-$C$16),1000000000)</f>
        <v>1000000000</v>
      </c>
    </row>
    <row r="115" spans="1:13" x14ac:dyDescent="0.3">
      <c r="A115" s="24">
        <f>A114+0.01</f>
        <v>0.87000000000000055</v>
      </c>
      <c r="B115" s="20">
        <f>A115*$C$5</f>
        <v>522.00000000000034</v>
      </c>
      <c r="C115" s="20">
        <f>MIN(0.8*B115,$C$5)</f>
        <v>417.60000000000031</v>
      </c>
      <c r="D115" s="24">
        <f>ACOS(MAX(-1,($C$7-C115)/$C$7))</f>
        <v>1.9736009104386105</v>
      </c>
      <c r="E115" s="20">
        <f>$C$7^2*(D115-SIN(D115)*COS(D115))</f>
        <v>210080.45478584216</v>
      </c>
      <c r="F115" s="24">
        <f>E115/$C$9</f>
        <v>0.74300761835911555</v>
      </c>
      <c r="G115" s="16">
        <f>IF(E115&gt;0,2*$C$7^3*SIN(D115)^3/(3*E115),0)</f>
        <v>66.711557171462431</v>
      </c>
      <c r="H115" s="24">
        <f>F115*G115/$C$5</f>
        <v>8.2611992018327127E-2</v>
      </c>
      <c r="I115" s="24" cm="1">
        <f t="array" ref="I115">_xlfn.LET(_xlpm.x,$B115,_xlpm.dep,$H$6:$H$29,_xlpm.e,IF(_xlpm.x&lt;=$C$5,$C$12*(_xlpm.x-_xlpm.dep)/_xlpm.x,$C$13*(_xlpm.x-_xlpm.dep)/(_xlpm.x-3*$C$5/7))/$C$14,_xlpm.s,(_xlpm.e&gt;=1)*1+(_xlpm.e&lt;=-1)*(-1)+(ABS(_xlpm.e)&lt;1)*_xlpm.e,AVERAGE(_xlpm.s))</f>
        <v>0.59373193142247838</v>
      </c>
      <c r="J115" s="24" cm="1">
        <f t="array" ref="J115">_xlfn.LET(_xlpm.x,$B115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0.10514517340250437</v>
      </c>
      <c r="K115" s="24">
        <f>IFERROR(($C$15-F115)/I115,"")</f>
        <v>-0.89400788382429575</v>
      </c>
      <c r="L115" s="24" t="str">
        <f>IF(AND(ISNUMBER(K115),N(K115)&gt;0),H115+K115*J115,"")</f>
        <v/>
      </c>
      <c r="M115" s="24">
        <f>IF(ISNUMBER(L115),ABS(L115-$C$16),1000000000)</f>
        <v>1000000000</v>
      </c>
    </row>
    <row r="116" spans="1:13" x14ac:dyDescent="0.3">
      <c r="A116" s="24">
        <f>A115+0.01</f>
        <v>0.88000000000000056</v>
      </c>
      <c r="B116" s="20">
        <f>A116*$C$5</f>
        <v>528.00000000000034</v>
      </c>
      <c r="C116" s="20">
        <f>MIN(0.8*B116,$C$5)</f>
        <v>422.40000000000032</v>
      </c>
      <c r="D116" s="24">
        <f>ACOS(MAX(-1,($C$7-C116)/$C$7))</f>
        <v>1.9910586900396918</v>
      </c>
      <c r="E116" s="20">
        <f>$C$7^2*(D116-SIN(D116)*COS(D116))</f>
        <v>212719.97848254646</v>
      </c>
      <c r="F116" s="24">
        <f>E116/$C$9</f>
        <v>0.75234302377553064</v>
      </c>
      <c r="G116" s="16">
        <f>IF(E116&gt;0,2*$C$7^3*SIN(D116)^3/(3*E116),0)</f>
        <v>64.394795302102551</v>
      </c>
      <c r="H116" s="24">
        <f>F116*G116/$C$5</f>
        <v>8.0744958354983604E-2</v>
      </c>
      <c r="I116" s="24" cm="1">
        <f t="array" ref="I116">_xlfn.LET(_xlpm.x,$B116,_xlpm.dep,$H$6:$H$29,_xlpm.e,IF(_xlpm.x&lt;=$C$5,$C$12*(_xlpm.x-_xlpm.dep)/_xlpm.x,$C$13*(_xlpm.x-_xlpm.dep)/(_xlpm.x-3*$C$5/7))/$C$14,_xlpm.s,(_xlpm.e&gt;=1)*1+(_xlpm.e&lt;=-1)*(-1)+(ABS(_xlpm.e)&lt;1)*_xlpm.e,AVERAGE(_xlpm.s))</f>
        <v>0.60268100038358663</v>
      </c>
      <c r="J116" s="24" cm="1">
        <f t="array" ref="J116">_xlfn.LET(_xlpm.x,$B116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0.103166677367975</v>
      </c>
      <c r="K116" s="24">
        <f>IFERROR(($C$15-F116)/I116,"")</f>
        <v>-0.89622276567961801</v>
      </c>
      <c r="L116" s="24" t="str">
        <f>IF(AND(ISNUMBER(K116),N(K116)&gt;0),H116+K116*J116,"")</f>
        <v/>
      </c>
      <c r="M116" s="24">
        <f>IF(ISNUMBER(L116),ABS(L116-$C$16),1000000000)</f>
        <v>1000000000</v>
      </c>
    </row>
    <row r="117" spans="1:13" x14ac:dyDescent="0.3">
      <c r="A117" s="24">
        <f>A116+0.01</f>
        <v>0.89000000000000057</v>
      </c>
      <c r="B117" s="20">
        <f>A117*$C$5</f>
        <v>534.00000000000034</v>
      </c>
      <c r="C117" s="20">
        <f>MIN(0.8*B117,$C$5)</f>
        <v>427.20000000000027</v>
      </c>
      <c r="D117" s="24">
        <f>ACOS(MAX(-1,($C$7-C117)/$C$7))</f>
        <v>2.0086537621851237</v>
      </c>
      <c r="E117" s="20">
        <f>$C$7^2*(D117-SIN(D117)*COS(D117))</f>
        <v>215338.90771659208</v>
      </c>
      <c r="F117" s="24">
        <f>E117/$C$9</f>
        <v>0.76160559118011362</v>
      </c>
      <c r="G117" s="16">
        <f>IF(E117&gt;0,2*$C$7^3*SIN(D117)^3/(3*E117),0)</f>
        <v>62.09386718178002</v>
      </c>
      <c r="H117" s="24">
        <f>F117*G117/$C$5</f>
        <v>7.8818394039398373E-2</v>
      </c>
      <c r="I117" s="24" cm="1">
        <f t="array" ref="I117">_xlfn.LET(_xlpm.x,$B117,_xlpm.dep,$H$6:$H$29,_xlpm.e,IF(_xlpm.x&lt;=$C$5,$C$12*(_xlpm.x-_xlpm.dep)/_xlpm.x,$C$13*(_xlpm.x-_xlpm.dep)/(_xlpm.x-3*$C$5/7))/$C$14,_xlpm.s,(_xlpm.e&gt;=1)*1+(_xlpm.e&lt;=-1)*(-1)+(ABS(_xlpm.e)&lt;1)*_xlpm.e,AVERAGE(_xlpm.s))</f>
        <v>0.61142896667141156</v>
      </c>
      <c r="J117" s="24" cm="1">
        <f t="array" ref="J117">_xlfn.LET(_xlpm.x,$B117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0.10123264191849121</v>
      </c>
      <c r="K117" s="24">
        <f>IFERROR(($C$15-F117)/I117,"")</f>
        <v>-0.89854918614965262</v>
      </c>
      <c r="L117" s="24" t="str">
        <f>IF(AND(ISNUMBER(K117),N(K117)&gt;0),H117+K117*J117,"")</f>
        <v/>
      </c>
      <c r="M117" s="24">
        <f>IF(ISNUMBER(L117),ABS(L117-$C$16),1000000000)</f>
        <v>1000000000</v>
      </c>
    </row>
    <row r="118" spans="1:13" x14ac:dyDescent="0.3">
      <c r="A118" s="24">
        <f>A117+0.01</f>
        <v>0.90000000000000058</v>
      </c>
      <c r="B118" s="20">
        <f>A118*$C$5</f>
        <v>540.00000000000034</v>
      </c>
      <c r="C118" s="20">
        <f>MIN(0.8*B118,$C$5)</f>
        <v>432.00000000000028</v>
      </c>
      <c r="D118" s="24">
        <f>ACOS(MAX(-1,($C$7-C118)/$C$7))</f>
        <v>2.0263950001907212</v>
      </c>
      <c r="E118" s="20">
        <f>$C$7^2*(D118-SIN(D118)*COS(D118))</f>
        <v>217936.26182106452</v>
      </c>
      <c r="F118" s="24">
        <f>E118/$C$9</f>
        <v>0.77079185217315382</v>
      </c>
      <c r="G118" s="16">
        <f>IF(E118&gt;0,2*$C$7^3*SIN(D118)^3/(3*E118),0)</f>
        <v>59.809309213637221</v>
      </c>
      <c r="H118" s="24">
        <f>F118*G118/$C$5</f>
        <v>7.6834213709960505E-2</v>
      </c>
      <c r="I118" s="24" cm="1">
        <f t="array" ref="I118">_xlfn.LET(_xlpm.x,$B118,_xlpm.dep,$H$6:$H$29,_xlpm.e,IF(_xlpm.x&lt;=$C$5,$C$12*(_xlpm.x-_xlpm.dep)/_xlpm.x,$C$13*(_xlpm.x-_xlpm.dep)/(_xlpm.x-3*$C$5/7))/$C$14,_xlpm.s,(_xlpm.e&gt;=1)*1+(_xlpm.e&lt;=-1)*(-1)+(ABS(_xlpm.e)&lt;1)*_xlpm.e,AVERAGE(_xlpm.s))</f>
        <v>0.61998253370839573</v>
      </c>
      <c r="J118" s="24" cm="1">
        <f t="array" ref="J118">_xlfn.LET(_xlpm.x,$B118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9.9341585034551511E-2</v>
      </c>
      <c r="K118" s="24">
        <f>IFERROR(($C$15-F118)/I118,"")</f>
        <v>-0.90096935157642144</v>
      </c>
      <c r="L118" s="24" t="str">
        <f>IF(AND(ISNUMBER(K118),N(K118)&gt;0),H118+K118*J118,"")</f>
        <v/>
      </c>
      <c r="M118" s="24">
        <f>IF(ISNUMBER(L118),ABS(L118-$C$16),1000000000)</f>
        <v>1000000000</v>
      </c>
    </row>
    <row r="119" spans="1:13" x14ac:dyDescent="0.3">
      <c r="A119" s="24">
        <f>A118+0.01</f>
        <v>0.91000000000000059</v>
      </c>
      <c r="B119" s="20">
        <f>A119*$C$5</f>
        <v>546.00000000000034</v>
      </c>
      <c r="C119" s="20">
        <f>MIN(0.8*B119,$C$5)</f>
        <v>436.8000000000003</v>
      </c>
      <c r="D119" s="24">
        <f>ACOS(MAX(-1,($C$7-C119)/$C$7))</f>
        <v>2.0442918389449538</v>
      </c>
      <c r="E119" s="20">
        <f>$C$7^2*(D119-SIN(D119)*COS(D119))</f>
        <v>220511.03547314287</v>
      </c>
      <c r="F119" s="24">
        <f>E119/$C$9</f>
        <v>0.77989825115251032</v>
      </c>
      <c r="G119" s="16">
        <f>IF(E119&gt;0,2*$C$7^3*SIN(D119)^3/(3*E119),0)</f>
        <v>57.541686757779871</v>
      </c>
      <c r="H119" s="24">
        <f>F119*G119/$C$5</f>
        <v>7.4794434784596797E-2</v>
      </c>
      <c r="I119" s="24" cm="1">
        <f t="array" ref="I119">_xlfn.LET(_xlpm.x,$B119,_xlpm.dep,$H$6:$H$29,_xlpm.e,IF(_xlpm.x&lt;=$C$5,$C$12*(_xlpm.x-_xlpm.dep)/_xlpm.x,$C$13*(_xlpm.x-_xlpm.dep)/(_xlpm.x-3*$C$5/7))/$C$14,_xlpm.s,(_xlpm.e&gt;=1)*1+(_xlpm.e&lt;=-1)*(-1)+(ABS(_xlpm.e)&lt;1)*_xlpm.e,AVERAGE(_xlpm.s))</f>
        <v>0.62834811026105075</v>
      </c>
      <c r="J119" s="24" cm="1">
        <f t="array" ref="J119">_xlfn.LET(_xlpm.x,$B119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9.7492089840368751E-2</v>
      </c>
      <c r="K119" s="24">
        <f>IFERROR(($C$15-F119)/I119,"")</f>
        <v>-0.90346680620630171</v>
      </c>
      <c r="L119" s="24" t="str">
        <f>IF(AND(ISNUMBER(K119),N(K119)&gt;0),H119+K119*J119,"")</f>
        <v/>
      </c>
      <c r="M119" s="24">
        <f>IF(ISNUMBER(L119),ABS(L119-$C$16),1000000000)</f>
        <v>1000000000</v>
      </c>
    </row>
    <row r="120" spans="1:13" x14ac:dyDescent="0.3">
      <c r="A120" s="24">
        <f>A119+0.01</f>
        <v>0.9200000000000006</v>
      </c>
      <c r="B120" s="20">
        <f>A120*$C$5</f>
        <v>552.00000000000034</v>
      </c>
      <c r="C120" s="20">
        <f>MIN(0.8*B120,$C$5)</f>
        <v>441.60000000000031</v>
      </c>
      <c r="D120" s="24">
        <f>ACOS(MAX(-1,($C$7-C120)/$C$7))</f>
        <v>2.0623543369824375</v>
      </c>
      <c r="E120" s="20">
        <f>$C$7^2*(D120-SIN(D120)*COS(D120))</f>
        <v>223062.19665141765</v>
      </c>
      <c r="F120" s="24">
        <f>E120/$C$9</f>
        <v>0.78892113808910092</v>
      </c>
      <c r="G120" s="16">
        <f>IF(E120&gt;0,2*$C$7^3*SIN(D120)^3/(3*E120),0)</f>
        <v>55.291596397482934</v>
      </c>
      <c r="H120" s="24">
        <f>F120*G120/$C$5</f>
        <v>7.2701181927775776E-2</v>
      </c>
      <c r="I120" s="24" cm="1">
        <f t="array" ref="I120">_xlfn.LET(_xlpm.x,$B120,_xlpm.dep,$H$6:$H$29,_xlpm.e,IF(_xlpm.x&lt;=$C$5,$C$12*(_xlpm.x-_xlpm.dep)/_xlpm.x,$C$13*(_xlpm.x-_xlpm.dep)/(_xlpm.x-3*$C$5/7))/$C$14,_xlpm.s,(_xlpm.e&gt;=1)*1+(_xlpm.e&lt;=-1)*(-1)+(ABS(_xlpm.e)&lt;1)*_xlpm.e,AVERAGE(_xlpm.s))</f>
        <v>0.63653182645386563</v>
      </c>
      <c r="J120" s="24" cm="1">
        <f t="array" ref="J120">_xlfn.LET(_xlpm.x,$B120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9.5682801063450812E-2</v>
      </c>
      <c r="K120" s="24">
        <f>IFERROR(($C$15-F120)/I120,"")</f>
        <v>-0.90602625561206884</v>
      </c>
      <c r="L120" s="24" t="str">
        <f>IF(AND(ISNUMBER(K120),N(K120)&gt;0),H120+K120*J120,"")</f>
        <v/>
      </c>
      <c r="M120" s="24">
        <f>IF(ISNUMBER(L120),ABS(L120-$C$16),1000000000)</f>
        <v>1000000000</v>
      </c>
    </row>
    <row r="121" spans="1:13" x14ac:dyDescent="0.3">
      <c r="A121" s="24">
        <f>A120+0.01</f>
        <v>0.9300000000000006</v>
      </c>
      <c r="B121" s="20">
        <f>A121*$C$5</f>
        <v>558.00000000000034</v>
      </c>
      <c r="C121" s="20">
        <f>MIN(0.8*B121,$C$5)</f>
        <v>446.40000000000032</v>
      </c>
      <c r="D121" s="24">
        <f>ACOS(MAX(-1,($C$7-C121)/$C$7))</f>
        <v>2.0805932469519299</v>
      </c>
      <c r="E121" s="20">
        <f>$C$7^2*(D121-SIN(D121)*COS(D121))</f>
        <v>225588.68439409733</v>
      </c>
      <c r="F121" s="24">
        <f>E121/$C$9</f>
        <v>0.79785676059817989</v>
      </c>
      <c r="G121" s="16">
        <f>IF(E121&gt;0,2*$C$7^3*SIN(D121)^3/(3*E121),0)</f>
        <v>53.059668446750926</v>
      </c>
      <c r="H121" s="24">
        <f>F121*G121/$C$5</f>
        <v>7.0556691975563593E-2</v>
      </c>
      <c r="I121" s="24" cm="1">
        <f t="array" ref="I121">_xlfn.LET(_xlpm.x,$B121,_xlpm.dep,$H$6:$H$29,_xlpm.e,IF(_xlpm.x&lt;=$C$5,$C$12*(_xlpm.x-_xlpm.dep)/_xlpm.x,$C$13*(_xlpm.x-_xlpm.dep)/(_xlpm.x-3*$C$5/7))/$C$14,_xlpm.s,(_xlpm.e&gt;=1)*1+(_xlpm.e&lt;=-1)*(-1)+(ABS(_xlpm.e)&lt;1)*_xlpm.e,AVERAGE(_xlpm.s))</f>
        <v>0.64453954875006048</v>
      </c>
      <c r="J121" s="24" cm="1">
        <f t="array" ref="J121">_xlfn.LET(_xlpm.x,$B121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9.3912421722595632E-2</v>
      </c>
      <c r="K121" s="24">
        <f>IFERROR(($C$15-F121)/I121,"")</f>
        <v>-0.90863341271256826</v>
      </c>
      <c r="L121" s="24" t="str">
        <f>IF(AND(ISNUMBER(K121),N(K121)&gt;0),H121+K121*J121,"")</f>
        <v/>
      </c>
      <c r="M121" s="24">
        <f>IF(ISNUMBER(L121),ABS(L121-$C$16),1000000000)</f>
        <v>1000000000</v>
      </c>
    </row>
    <row r="122" spans="1:13" x14ac:dyDescent="0.3">
      <c r="A122" s="24">
        <f>A121+0.01</f>
        <v>0.94000000000000061</v>
      </c>
      <c r="B122" s="20">
        <f>A122*$C$5</f>
        <v>564.00000000000034</v>
      </c>
      <c r="C122" s="20">
        <f>MIN(0.8*B122,$C$5)</f>
        <v>451.20000000000027</v>
      </c>
      <c r="D122" s="24">
        <f>ACOS(MAX(-1,($C$7-C122)/$C$7))</f>
        <v>2.0990200959485685</v>
      </c>
      <c r="E122" s="20">
        <f>$C$7^2*(D122-SIN(D122)*COS(D122))</f>
        <v>228089.40633005381</v>
      </c>
      <c r="F122" s="24">
        <f>E122/$C$9</f>
        <v>0.80670125520719793</v>
      </c>
      <c r="G122" s="16">
        <f>IF(E122&gt;0,2*$C$7^3*SIN(D122)^3/(3*E122),0)</f>
        <v>50.846569732625149</v>
      </c>
      <c r="H122" s="24">
        <f>F122*G122/$C$5</f>
        <v>6.8363319377148374E-2</v>
      </c>
      <c r="I122" s="24" cm="1">
        <f t="array" ref="I122">_xlfn.LET(_xlpm.x,$B122,_xlpm.dep,$H$6:$H$29,_xlpm.e,IF(_xlpm.x&lt;=$C$5,$C$12*(_xlpm.x-_xlpm.dep)/_xlpm.x,$C$13*(_xlpm.x-_xlpm.dep)/(_xlpm.x-3*$C$5/7))/$C$14,_xlpm.s,(_xlpm.e&gt;=1)*1+(_xlpm.e&lt;=-1)*(-1)+(ABS(_xlpm.e)&lt;1)*_xlpm.e,AVERAGE(_xlpm.s))</f>
        <v>0.65237689397612364</v>
      </c>
      <c r="J122" s="24" cm="1">
        <f t="array" ref="J122">_xlfn.LET(_xlpm.x,$B122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9.2179710027290571E-2</v>
      </c>
      <c r="K122" s="24">
        <f>IFERROR(($C$15-F122)/I122,"")</f>
        <v>-0.91127486259463109</v>
      </c>
      <c r="L122" s="24" t="str">
        <f>IF(AND(ISNUMBER(K122),N(K122)&gt;0),H122+K122*J122,"")</f>
        <v/>
      </c>
      <c r="M122" s="24">
        <f>IF(ISNUMBER(L122),ABS(L122-$C$16),1000000000)</f>
        <v>1000000000</v>
      </c>
    </row>
    <row r="123" spans="1:13" x14ac:dyDescent="0.3">
      <c r="A123" s="24">
        <f>A122+0.01</f>
        <v>0.95000000000000062</v>
      </c>
      <c r="B123" s="20">
        <f>A123*$C$5</f>
        <v>570.00000000000034</v>
      </c>
      <c r="C123" s="20">
        <f>MIN(0.8*B123,$C$5)</f>
        <v>456.00000000000028</v>
      </c>
      <c r="D123" s="24">
        <f>ACOS(MAX(-1,($C$7-C123)/$C$7))</f>
        <v>2.1176472774908417</v>
      </c>
      <c r="E123" s="20">
        <f>$C$7^2*(D123-SIN(D123)*COS(D123))</f>
        <v>230563.23594978102</v>
      </c>
      <c r="F123" s="24">
        <f>E123/$C$9</f>
        <v>0.81545063770379189</v>
      </c>
      <c r="G123" s="16">
        <f>IF(E123&gt;0,2*$C$7^3*SIN(D123)^3/(3*E123),0)</f>
        <v>48.65300669142858</v>
      </c>
      <c r="H123" s="24">
        <f>F123*G123/$C$5</f>
        <v>6.612354222122048E-2</v>
      </c>
      <c r="I123" s="24" cm="1">
        <f t="array" ref="I123">_xlfn.LET(_xlpm.x,$B123,_xlpm.dep,$H$6:$H$29,_xlpm.e,IF(_xlpm.x&lt;=$C$5,$C$12*(_xlpm.x-_xlpm.dep)/_xlpm.x,$C$13*(_xlpm.x-_xlpm.dep)/(_xlpm.x-3*$C$5/7))/$C$14,_xlpm.s,(_xlpm.e&gt;=1)*1+(_xlpm.e&lt;=-1)*(-1)+(ABS(_xlpm.e)&lt;1)*_xlpm.e,AVERAGE(_xlpm.s))</f>
        <v>0.66004924246058549</v>
      </c>
      <c r="J123" s="24" cm="1">
        <f t="array" ref="J123">_xlfn.LET(_xlpm.x,$B123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9.0483476472939264E-2</v>
      </c>
      <c r="K123" s="24">
        <f>IFERROR(($C$15-F123)/I123,"")</f>
        <v>-0.91393794297191477</v>
      </c>
      <c r="L123" s="24" t="str">
        <f>IF(AND(ISNUMBER(K123),N(K123)&gt;0),H123+K123*J123,"")</f>
        <v/>
      </c>
      <c r="M123" s="24">
        <f>IF(ISNUMBER(L123),ABS(L123-$C$16),1000000000)</f>
        <v>1000000000</v>
      </c>
    </row>
    <row r="124" spans="1:13" x14ac:dyDescent="0.3">
      <c r="A124" s="24">
        <f>A123+0.01</f>
        <v>0.96000000000000063</v>
      </c>
      <c r="B124" s="20">
        <f>A124*$C$5</f>
        <v>576.00000000000034</v>
      </c>
      <c r="C124" s="20">
        <f>MIN(0.8*B124,$C$5)</f>
        <v>460.8000000000003</v>
      </c>
      <c r="D124" s="24">
        <f>ACOS(MAX(-1,($C$7-C124)/$C$7))</f>
        <v>2.136488157312173</v>
      </c>
      <c r="E124" s="20">
        <f>$C$7^2*(D124-SIN(D124)*COS(D124))</f>
        <v>233009.00957742907</v>
      </c>
      <c r="F124" s="24">
        <f>E124/$C$9</f>
        <v>0.8241007924265471</v>
      </c>
      <c r="G124" s="16">
        <f>IF(E124&gt;0,2*$C$7^3*SIN(D124)^3/(3*E124),0)</f>
        <v>46.479728825159221</v>
      </c>
      <c r="H124" s="24">
        <f>F124*G124/$C$5</f>
        <v>6.3839968927641225E-2</v>
      </c>
      <c r="I124" s="24" cm="1">
        <f t="array" ref="I124">_xlfn.LET(_xlpm.x,$B124,_xlpm.dep,$H$6:$H$29,_xlpm.e,IF(_xlpm.x&lt;=$C$5,$C$12*(_xlpm.x-_xlpm.dep)/_xlpm.x,$C$13*(_xlpm.x-_xlpm.dep)/(_xlpm.x-3*$C$5/7))/$C$14,_xlpm.s,(_xlpm.e&gt;=1)*1+(_xlpm.e&lt;=-1)*(-1)+(ABS(_xlpm.e)&lt;1)*_xlpm.e,AVERAGE(_xlpm.s))</f>
        <v>0.66756175035162091</v>
      </c>
      <c r="J124" s="24" cm="1">
        <f t="array" ref="J124">_xlfn.LET(_xlpm.x,$B124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8.8822581117636953E-2</v>
      </c>
      <c r="K124" s="24">
        <f>IFERROR(($C$15-F124)/I124,"")</f>
        <v>-0.91661063761525274</v>
      </c>
      <c r="L124" s="24" t="str">
        <f>IF(AND(ISNUMBER(K124),N(K124)&gt;0),H124+K124*J124,"")</f>
        <v/>
      </c>
      <c r="M124" s="24">
        <f>IF(ISNUMBER(L124),ABS(L124-$C$16),1000000000)</f>
        <v>1000000000</v>
      </c>
    </row>
    <row r="125" spans="1:13" x14ac:dyDescent="0.3">
      <c r="A125" s="24">
        <f>A124+0.01</f>
        <v>0.97000000000000064</v>
      </c>
      <c r="B125" s="20">
        <f>A125*$C$5</f>
        <v>582.00000000000034</v>
      </c>
      <c r="C125" s="20">
        <f>MIN(0.8*B125,$C$5)</f>
        <v>465.60000000000031</v>
      </c>
      <c r="D125" s="24">
        <f>ACOS(MAX(-1,($C$7-C125)/$C$7))</f>
        <v>2.1555571956282797</v>
      </c>
      <c r="E125" s="20">
        <f>$C$7^2*(D125-SIN(D125)*COS(D125))</f>
        <v>235425.52299784857</v>
      </c>
      <c r="F125" s="24">
        <f>E125/$C$9</f>
        <v>0.83264746033560633</v>
      </c>
      <c r="G125" s="16">
        <f>IF(E125&gt;0,2*$C$7^3*SIN(D125)^3/(3*E125),0)</f>
        <v>44.327532572803229</v>
      </c>
      <c r="H125" s="24">
        <f>F125*G125/$C$5</f>
        <v>6.1515345699480785E-2</v>
      </c>
      <c r="I125" s="24" cm="1">
        <f t="array" ref="I125">_xlfn.LET(_xlpm.x,$B125,_xlpm.dep,$H$6:$H$29,_xlpm.e,IF(_xlpm.x&lt;=$C$5,$C$12*(_xlpm.x-_xlpm.dep)/_xlpm.x,$C$13*(_xlpm.x-_xlpm.dep)/(_xlpm.x-3*$C$5/7))/$C$14,_xlpm.s,(_xlpm.e&gt;=1)*1+(_xlpm.e&lt;=-1)*(-1)+(ABS(_xlpm.e)&lt;1)*_xlpm.e,AVERAGE(_xlpm.s))</f>
        <v>0.67491936117273832</v>
      </c>
      <c r="J125" s="24" cm="1">
        <f t="array" ref="J125">_xlfn.LET(_xlpm.x,$B125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8.7195931027392454E-2</v>
      </c>
      <c r="K125" s="24">
        <f>IFERROR(($C$15-F125)/I125,"")</f>
        <v>-0.91928148048432912</v>
      </c>
      <c r="L125" s="24" t="str">
        <f>IF(AND(ISNUMBER(K125),N(K125)&gt;0),H125+K125*J125,"")</f>
        <v/>
      </c>
      <c r="M125" s="24">
        <f>IF(ISNUMBER(L125),ABS(L125-$C$16),1000000000)</f>
        <v>1000000000</v>
      </c>
    </row>
    <row r="126" spans="1:13" x14ac:dyDescent="0.3">
      <c r="A126" s="24">
        <f>A125+0.01</f>
        <v>0.98000000000000065</v>
      </c>
      <c r="B126" s="20">
        <f>A126*$C$5</f>
        <v>588.00000000000034</v>
      </c>
      <c r="C126" s="20">
        <f>MIN(0.8*B126,$C$5)</f>
        <v>470.40000000000032</v>
      </c>
      <c r="D126" s="24">
        <f>ACOS(MAX(-1,($C$7-C126)/$C$7))</f>
        <v>2.1748700891658901</v>
      </c>
      <c r="E126" s="20">
        <f>$C$7^2*(D126-SIN(D126)*COS(D126))</f>
        <v>237811.5276836917</v>
      </c>
      <c r="F126" s="24">
        <f>E126/$C$9</f>
        <v>0.84108622566876989</v>
      </c>
      <c r="G126" s="16">
        <f>IF(E126&gt;0,2*$C$7^3*SIN(D126)^3/(3*E126),0)</f>
        <v>42.197265661842408</v>
      </c>
      <c r="H126" s="24">
        <f>F126*G126/$C$5</f>
        <v>5.9152564848435694E-2</v>
      </c>
      <c r="I126" s="24" cm="1">
        <f t="array" ref="I126">_xlfn.LET(_xlpm.x,$B126,_xlpm.dep,$H$6:$H$29,_xlpm.e,IF(_xlpm.x&lt;=$C$5,$C$12*(_xlpm.x-_xlpm.dep)/_xlpm.x,$C$13*(_xlpm.x-_xlpm.dep)/(_xlpm.x-3*$C$5/7))/$C$14,_xlpm.s,(_xlpm.e&gt;=1)*1+(_xlpm.e&lt;=-1)*(-1)+(ABS(_xlpm.e)&lt;1)*_xlpm.e,AVERAGE(_xlpm.s))</f>
        <v>0.68212681667097586</v>
      </c>
      <c r="J126" s="24" cm="1">
        <f t="array" ref="J126">_xlfn.LET(_xlpm.x,$B126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8.5602477877765176E-2</v>
      </c>
      <c r="K126" s="24">
        <f>IFERROR(($C$15-F126)/I126,"")</f>
        <v>-0.92193946860018638</v>
      </c>
      <c r="L126" s="24" t="str">
        <f>IF(AND(ISNUMBER(K126),N(K126)&gt;0),H126+K126*J126,"")</f>
        <v/>
      </c>
      <c r="M126" s="24">
        <f>IF(ISNUMBER(L126),ABS(L126-$C$16),1000000000)</f>
        <v>1000000000</v>
      </c>
    </row>
    <row r="127" spans="1:13" x14ac:dyDescent="0.3">
      <c r="A127" s="24">
        <f>A126+0.01</f>
        <v>0.99000000000000066</v>
      </c>
      <c r="B127" s="20">
        <f>A127*$C$5</f>
        <v>594.00000000000034</v>
      </c>
      <c r="C127" s="20">
        <f>MIN(0.8*B127,$C$5)</f>
        <v>475.20000000000027</v>
      </c>
      <c r="D127" s="24">
        <f>ACOS(MAX(-1,($C$7-C127)/$C$7))</f>
        <v>2.1944439370384528</v>
      </c>
      <c r="E127" s="20">
        <f>$C$7^2*(D127-SIN(D127)*COS(D127))</f>
        <v>240165.72655661879</v>
      </c>
      <c r="F127" s="24">
        <f>E127/$C$9</f>
        <v>0.84941250094983012</v>
      </c>
      <c r="G127" s="16">
        <f>IF(E127&gt;0,2*$C$7^3*SIN(D127)^3/(3*E127),0)</f>
        <v>40.089832018199772</v>
      </c>
      <c r="H127" s="24">
        <f>F127*G127/$C$5</f>
        <v>5.6754674128729407E-2</v>
      </c>
      <c r="I127" s="24" cm="1">
        <f t="array" ref="I127">_xlfn.LET(_xlpm.x,$B127,_xlpm.dep,$H$6:$H$29,_xlpm.e,IF(_xlpm.x&lt;=$C$5,$C$12*(_xlpm.x-_xlpm.dep)/_xlpm.x,$C$13*(_xlpm.x-_xlpm.dep)/(_xlpm.x-3*$C$5/7))/$C$14,_xlpm.s,(_xlpm.e&gt;=1)*1+(_xlpm.e&lt;=-1)*(-1)+(ABS(_xlpm.e)&lt;1)*_xlpm.e,AVERAGE(_xlpm.s))</f>
        <v>0.68918866700763248</v>
      </c>
      <c r="J127" s="24" cm="1">
        <f t="array" ref="J127">_xlfn.LET(_xlpm.x,$B127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8.4041215700857638E-2</v>
      </c>
      <c r="K127" s="24">
        <f>IFERROR(($C$15-F127)/I127,"")</f>
        <v>-0.92457398193632756</v>
      </c>
      <c r="L127" s="24" t="str">
        <f>IF(AND(ISNUMBER(K127),N(K127)&gt;0),H127+K127*J127,"")</f>
        <v/>
      </c>
      <c r="M127" s="24">
        <f>IF(ISNUMBER(L127),ABS(L127-$C$16),1000000000)</f>
        <v>1000000000</v>
      </c>
    </row>
    <row r="128" spans="1:13" x14ac:dyDescent="0.3">
      <c r="A128" s="24">
        <f>A127+0.01</f>
        <v>1.0000000000000007</v>
      </c>
      <c r="B128" s="20">
        <f>A128*$C$5</f>
        <v>600.00000000000045</v>
      </c>
      <c r="C128" s="20">
        <f>MIN(0.8*B128,$C$5)</f>
        <v>480.0000000000004</v>
      </c>
      <c r="D128" s="24">
        <f>ACOS(MAX(-1,($C$7-C128)/$C$7))</f>
        <v>2.2142974355881826</v>
      </c>
      <c r="E128" s="20">
        <f>$C$7^2*(D128-SIN(D128)*COS(D128))</f>
        <v>242486.76920293647</v>
      </c>
      <c r="F128" s="24">
        <f>E128/$C$9</f>
        <v>0.85762151006735354</v>
      </c>
      <c r="G128" s="16">
        <f>IF(E128&gt;0,2*$C$7^3*SIN(D128)^3/(3*E128),0)</f>
        <v>38.006197329006113</v>
      </c>
      <c r="H128" s="24">
        <f>F128*G128/$C$5</f>
        <v>5.4324887242033409E-2</v>
      </c>
      <c r="I128" s="24" cm="1">
        <f t="array" ref="I128">_xlfn.LET(_xlpm.x,$B128,_xlpm.dep,$H$6:$H$29,_xlpm.e,IF(_xlpm.x&lt;=$C$5,$C$12*(_xlpm.x-_xlpm.dep)/_xlpm.x,$C$13*(_xlpm.x-_xlpm.dep)/(_xlpm.x-3*$C$5/7))/$C$14,_xlpm.s,(_xlpm.e&gt;=1)*1+(_xlpm.e&lt;=-1)*(-1)+(ABS(_xlpm.e)&lt;1)*_xlpm.e,AVERAGE(_xlpm.s))</f>
        <v>0.69610928033755615</v>
      </c>
      <c r="J128" s="24" cm="1">
        <f t="array" ref="J128">_xlfn.LET(_xlpm.x,$B128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8.2511178767488216E-2</v>
      </c>
      <c r="K128" s="24">
        <f>IFERROR(($C$15-F128)/I128,"")</f>
        <v>-0.92717470878306096</v>
      </c>
      <c r="L128" s="24" t="str">
        <f>IF(AND(ISNUMBER(K128),N(K128)&gt;0),H128+K128*J128,"")</f>
        <v/>
      </c>
      <c r="M128" s="24">
        <f>IF(ISNUMBER(L128),ABS(L128-$C$16),1000000000)</f>
        <v>1000000000</v>
      </c>
    </row>
    <row r="129" spans="1:13" x14ac:dyDescent="0.3">
      <c r="A129" s="24">
        <f>A128+0.01</f>
        <v>1.0100000000000007</v>
      </c>
      <c r="B129" s="20">
        <f>A129*$C$5</f>
        <v>606.00000000000045</v>
      </c>
      <c r="C129" s="20">
        <f>MIN(0.8*B129,$C$5)</f>
        <v>484.80000000000041</v>
      </c>
      <c r="D129" s="24">
        <f>ACOS(MAX(-1,($C$7-C129)/$C$7))</f>
        <v>2.2344511086616818</v>
      </c>
      <c r="E129" s="20">
        <f>$C$7^2*(D129-SIN(D129)*COS(D129))</f>
        <v>244773.24644675487</v>
      </c>
      <c r="F129" s="24">
        <f>E129/$C$9</f>
        <v>0.86570826908114984</v>
      </c>
      <c r="G129" s="16">
        <f>IF(E129&gt;0,2*$C$7^3*SIN(D129)^3/(3*E129),0)</f>
        <v>35.947395372800891</v>
      </c>
      <c r="H129" s="24">
        <f>F129*G129/$C$5</f>
        <v>5.1866595710271989E-2</v>
      </c>
      <c r="I129" s="24" cm="1">
        <f t="array" ref="I129">_xlfn.LET(_xlpm.x,$B129,_xlpm.dep,$H$6:$H$29,_xlpm.e,IF(_xlpm.x&lt;=$C$5,$C$12*(_xlpm.x-_xlpm.dep)/_xlpm.x,$C$13*(_xlpm.x-_xlpm.dep)/(_xlpm.x-3*$C$5/7))/$C$14,_xlpm.s,(_xlpm.e&gt;=1)*1+(_xlpm.e&lt;=-1)*(-1)+(ABS(_xlpm.e)&lt;1)*_xlpm.e,AVERAGE(_xlpm.s))</f>
        <v>0.70047595119170136</v>
      </c>
      <c r="J129" s="24" cm="1">
        <f t="array" ref="J129">_xlfn.LET(_xlpm.x,$B129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8.1247619957076314E-2</v>
      </c>
      <c r="K129" s="24">
        <f>IFERROR(($C$15-F129)/I129,"")</f>
        <v>-0.93293949232685403</v>
      </c>
      <c r="L129" s="24" t="str">
        <f>IF(AND(ISNUMBER(K129),N(K129)&gt;0),H129+K129*J129,"")</f>
        <v/>
      </c>
      <c r="M129" s="24">
        <f>IF(ISNUMBER(L129),ABS(L129-$C$16),1000000000)</f>
        <v>1000000000</v>
      </c>
    </row>
    <row r="130" spans="1:13" x14ac:dyDescent="0.3">
      <c r="A130" s="24">
        <f>A129+0.01</f>
        <v>1.0200000000000007</v>
      </c>
      <c r="B130" s="20">
        <f>A130*$C$5</f>
        <v>612.00000000000045</v>
      </c>
      <c r="C130" s="20">
        <f>MIN(0.8*B130,$C$5)</f>
        <v>489.60000000000036</v>
      </c>
      <c r="D130" s="24">
        <f>ACOS(MAX(-1,($C$7-C130)/$C$7))</f>
        <v>2.2549275815611525</v>
      </c>
      <c r="E130" s="20">
        <f>$C$7^2*(D130-SIN(D130)*COS(D130))</f>
        <v>247023.68416189289</v>
      </c>
      <c r="F130" s="24">
        <f>E130/$C$9</f>
        <v>0.87366756433636417</v>
      </c>
      <c r="G130" s="16">
        <f>IF(E130&gt;0,2*$C$7^3*SIN(D130)^3/(3*E130),0)</f>
        <v>33.91453525736285</v>
      </c>
      <c r="H130" s="24">
        <f>F130*G130/$C$5</f>
        <v>4.9383382356499909E-2</v>
      </c>
      <c r="I130" s="24" cm="1">
        <f t="array" ref="I130">_xlfn.LET(_xlpm.x,$B130,_xlpm.dep,$H$6:$H$29,_xlpm.e,IF(_xlpm.x&lt;=$C$5,$C$12*(_xlpm.x-_xlpm.dep)/_xlpm.x,$C$13*(_xlpm.x-_xlpm.dep)/(_xlpm.x-3*$C$5/7))/$C$14,_xlpm.s,(_xlpm.e&gt;=1)*1+(_xlpm.e&lt;=-1)*(-1)+(ABS(_xlpm.e)&lt;1)*_xlpm.e,AVERAGE(_xlpm.s))</f>
        <v>0.70469495684788042</v>
      </c>
      <c r="J130" s="24" cm="1">
        <f t="array" ref="J130">_xlfn.LET(_xlpm.x,$B130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8.0026790188562374E-2</v>
      </c>
      <c r="K130" s="24">
        <f>IFERROR(($C$15-F130)/I130,"")</f>
        <v>-0.93864865516549623</v>
      </c>
      <c r="L130" s="24" t="str">
        <f>IF(AND(ISNUMBER(K130),N(K130)&gt;0),H130+K130*J130,"")</f>
        <v/>
      </c>
      <c r="M130" s="24">
        <f>IF(ISNUMBER(L130),ABS(L130-$C$16),1000000000)</f>
        <v>1000000000</v>
      </c>
    </row>
    <row r="131" spans="1:13" x14ac:dyDescent="0.3">
      <c r="A131" s="24">
        <f>A130+0.01</f>
        <v>1.0300000000000007</v>
      </c>
      <c r="B131" s="20">
        <f>A131*$C$5</f>
        <v>618.00000000000045</v>
      </c>
      <c r="C131" s="20">
        <f>MIN(0.8*B131,$C$5)</f>
        <v>494.40000000000038</v>
      </c>
      <c r="D131" s="24">
        <f>ACOS(MAX(-1,($C$7-C131)/$C$7))</f>
        <v>2.2757519092748622</v>
      </c>
      <c r="E131" s="20">
        <f>$C$7^2*(D131-SIN(D131)*COS(D131))</f>
        <v>249236.53617580785</v>
      </c>
      <c r="F131" s="24">
        <f>E131/$C$9</f>
        <v>0.88149392736626242</v>
      </c>
      <c r="G131" s="16">
        <f>IF(E131&gt;0,2*$C$7^3*SIN(D131)^3/(3*E131),0)</f>
        <v>31.908809737999089</v>
      </c>
      <c r="H131" s="24">
        <f>F131*G131/$C$5</f>
        <v>4.687903668921943E-2</v>
      </c>
      <c r="I131" s="24" cm="1">
        <f t="array" ref="I131">_xlfn.LET(_xlpm.x,$B131,_xlpm.dep,$H$6:$H$29,_xlpm.e,IF(_xlpm.x&lt;=$C$5,$C$12*(_xlpm.x-_xlpm.dep)/_xlpm.x,$C$13*(_xlpm.x-_xlpm.dep)/(_xlpm.x-3*$C$5/7))/$C$14,_xlpm.s,(_xlpm.e&gt;=1)*1+(_xlpm.e&lt;=-1)*(-1)+(ABS(_xlpm.e)&lt;1)*_xlpm.e,AVERAGE(_xlpm.s))</f>
        <v>0.70877366302855693</v>
      </c>
      <c r="J131" s="24" cm="1">
        <f t="array" ref="J131">_xlfn.LET(_xlpm.x,$B131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7.8846558084559593E-2</v>
      </c>
      <c r="K131" s="24">
        <f>IFERROR(($C$15-F131)/I131,"")</f>
        <v>-0.94428923010095345</v>
      </c>
      <c r="L131" s="24" t="str">
        <f>IF(AND(ISNUMBER(K131),N(K131)&gt;0),H131+K131*J131,"")</f>
        <v/>
      </c>
      <c r="M131" s="24">
        <f>IF(ISNUMBER(L131),ABS(L131-$C$16),1000000000)</f>
        <v>1000000000</v>
      </c>
    </row>
    <row r="132" spans="1:13" x14ac:dyDescent="0.3">
      <c r="A132" s="24">
        <f>A131+0.01</f>
        <v>1.0400000000000007</v>
      </c>
      <c r="B132" s="20">
        <f>A132*$C$5</f>
        <v>624.00000000000045</v>
      </c>
      <c r="C132" s="20">
        <f>MIN(0.8*B132,$C$5)</f>
        <v>499.20000000000039</v>
      </c>
      <c r="D132" s="24">
        <f>ACOS(MAX(-1,($C$7-C132)/$C$7))</f>
        <v>2.2969519727690786</v>
      </c>
      <c r="E132" s="20">
        <f>$C$7^2*(D132-SIN(D132)*COS(D132))</f>
        <v>251410.17608271749</v>
      </c>
      <c r="F132" s="24">
        <f>E132/$C$9</f>
        <v>0.88918160593707307</v>
      </c>
      <c r="G132" s="16">
        <f>IF(E132&gt;0,2*$C$7^3*SIN(D132)^3/(3*E132),0)</f>
        <v>29.931504831158708</v>
      </c>
      <c r="H132" s="24">
        <f>F132*G132/$C$5</f>
        <v>4.4357572556471603E-2</v>
      </c>
      <c r="I132" s="24" cm="1">
        <f t="array" ref="I132">_xlfn.LET(_xlpm.x,$B132,_xlpm.dep,$H$6:$H$29,_xlpm.e,IF(_xlpm.x&lt;=$C$5,$C$12*(_xlpm.x-_xlpm.dep)/_xlpm.x,$C$13*(_xlpm.x-_xlpm.dep)/(_xlpm.x-3*$C$5/7))/$C$14,_xlpm.s,(_xlpm.e&gt;=1)*1+(_xlpm.e&lt;=-1)*(-1)+(ABS(_xlpm.e)&lt;1)*_xlpm.e,AVERAGE(_xlpm.s))</f>
        <v>0.71271895358650106</v>
      </c>
      <c r="J132" s="24" cm="1">
        <f t="array" ref="J132">_xlfn.LET(_xlpm.x,$B132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7.7704931703584917E-2</v>
      </c>
      <c r="K132" s="24">
        <f>IFERROR(($C$15-F132)/I132,"")</f>
        <v>-0.94984848058445293</v>
      </c>
      <c r="L132" s="24" t="str">
        <f>IF(AND(ISNUMBER(K132),N(K132)&gt;0),H132+K132*J132,"")</f>
        <v/>
      </c>
      <c r="M132" s="24">
        <f>IF(ISNUMBER(L132),ABS(L132-$C$16),1000000000)</f>
        <v>1000000000</v>
      </c>
    </row>
    <row r="133" spans="1:13" x14ac:dyDescent="0.3">
      <c r="A133" s="24">
        <f>A132+0.01</f>
        <v>1.0500000000000007</v>
      </c>
      <c r="B133" s="20">
        <f>A133*$C$5</f>
        <v>630.00000000000045</v>
      </c>
      <c r="C133" s="20">
        <f>MIN(0.8*B133,$C$5)</f>
        <v>504.0000000000004</v>
      </c>
      <c r="D133" s="24">
        <f>ACOS(MAX(-1,($C$7-C133)/$C$7))</f>
        <v>2.3185589614548192</v>
      </c>
      <c r="E133" s="20">
        <f>$C$7^2*(D133-SIN(D133)*COS(D133))</f>
        <v>253542.88773594133</v>
      </c>
      <c r="F133" s="24">
        <f>E133/$C$9</f>
        <v>0.89672453042152334</v>
      </c>
      <c r="G133" s="16">
        <f>IF(E133&gt;0,2*$C$7^3*SIN(D133)^3/(3*E133),0)</f>
        <v>27.984010992969246</v>
      </c>
      <c r="H133" s="24">
        <f>F133*G133/$C$5</f>
        <v>4.1823248528301819E-2</v>
      </c>
      <c r="I133" s="24" cm="1">
        <f t="array" ref="I133">_xlfn.LET(_xlpm.x,$B133,_xlpm.dep,$H$6:$H$29,_xlpm.e,IF(_xlpm.x&lt;=$C$5,$C$12*(_xlpm.x-_xlpm.dep)/_xlpm.x,$C$13*(_xlpm.x-_xlpm.dep)/(_xlpm.x-3*$C$5/7))/$C$14,_xlpm.s,(_xlpm.e&gt;=1)*1+(_xlpm.e&lt;=-1)*(-1)+(ABS(_xlpm.e)&lt;1)*_xlpm.e,AVERAGE(_xlpm.s))</f>
        <v>0.71653726927591388</v>
      </c>
      <c r="J133" s="24" cm="1">
        <f t="array" ref="J133">_xlfn.LET(_xlpm.x,$B133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7.6600047321078404E-2</v>
      </c>
      <c r="K133" s="24">
        <f>IFERROR(($C$15-F133)/I133,"")</f>
        <v>-0.95531379731867816</v>
      </c>
      <c r="L133" s="24" t="str">
        <f>IF(AND(ISNUMBER(K133),N(K133)&gt;0),H133+K133*J133,"")</f>
        <v/>
      </c>
      <c r="M133" s="24">
        <f>IF(ISNUMBER(L133),ABS(L133-$C$16),1000000000)</f>
        <v>1000000000</v>
      </c>
    </row>
    <row r="134" spans="1:13" x14ac:dyDescent="0.3">
      <c r="A134" s="24">
        <f>A133+0.01</f>
        <v>1.0600000000000007</v>
      </c>
      <c r="B134" s="20">
        <f>A134*$C$5</f>
        <v>636.00000000000045</v>
      </c>
      <c r="C134" s="20">
        <f>MIN(0.8*B134,$C$5)</f>
        <v>508.80000000000041</v>
      </c>
      <c r="D134" s="24">
        <f>ACOS(MAX(-1,($C$7-C134)/$C$7))</f>
        <v>2.3406079659242431</v>
      </c>
      <c r="E134" s="20">
        <f>$C$7^2*(D134-SIN(D134)*COS(D134))</f>
        <v>255632.85412722762</v>
      </c>
      <c r="F134" s="24">
        <f>E134/$C$9</f>
        <v>0.90411627446750431</v>
      </c>
      <c r="G134" s="16">
        <f>IF(E134&gt;0,2*$C$7^3*SIN(D134)^3/(3*E134),0)</f>
        <v>26.067836204366625</v>
      </c>
      <c r="H134" s="24">
        <f>F134*G134/$C$5</f>
        <v>3.9280591587535135E-2</v>
      </c>
      <c r="I134" s="24" cm="1">
        <f t="array" ref="I134">_xlfn.LET(_xlpm.x,$B134,_xlpm.dep,$H$6:$H$29,_xlpm.e,IF(_xlpm.x&lt;=$C$5,$C$12*(_xlpm.x-_xlpm.dep)/_xlpm.x,$C$13*(_xlpm.x-_xlpm.dep)/(_xlpm.x-3*$C$5/7))/$C$14,_xlpm.s,(_xlpm.e&gt;=1)*1+(_xlpm.e&lt;=-1)*(-1)+(ABS(_xlpm.e)&lt;1)*_xlpm.e,AVERAGE(_xlpm.s))</f>
        <v>0.72023464283941729</v>
      </c>
      <c r="J134" s="24" cm="1">
        <f t="array" ref="J134">_xlfn.LET(_xlpm.x,$B134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7.5530159276479353E-2</v>
      </c>
      <c r="K134" s="24">
        <f>IFERROR(($C$15-F134)/I134,"")</f>
        <v>-0.96067259546216788</v>
      </c>
      <c r="L134" s="24" t="str">
        <f>IF(AND(ISNUMBER(K134),N(K134)&gt;0),H134+K134*J134,"")</f>
        <v/>
      </c>
      <c r="M134" s="24">
        <f>IF(ISNUMBER(L134),ABS(L134-$C$16),1000000000)</f>
        <v>1000000000</v>
      </c>
    </row>
    <row r="135" spans="1:13" x14ac:dyDescent="0.3">
      <c r="A135" s="24">
        <f>A134+0.01</f>
        <v>1.0700000000000007</v>
      </c>
      <c r="B135" s="20">
        <f>A135*$C$5</f>
        <v>642.00000000000045</v>
      </c>
      <c r="C135" s="20">
        <f>MIN(0.8*B135,$C$5)</f>
        <v>513.60000000000036</v>
      </c>
      <c r="D135" s="24">
        <f>ACOS(MAX(-1,($C$7-C135)/$C$7))</f>
        <v>2.3631387134341768</v>
      </c>
      <c r="E135" s="20">
        <f>$C$7^2*(D135-SIN(D135)*COS(D135))</f>
        <v>257678.14427755808</v>
      </c>
      <c r="F135" s="24">
        <f>E135/$C$9</f>
        <v>0.91135000863377669</v>
      </c>
      <c r="G135" s="16">
        <f>IF(E135&gt;0,2*$C$7^3*SIN(D135)^3/(3*E135),0)</f>
        <v>24.18462140060543</v>
      </c>
      <c r="H135" s="24">
        <f>F135*G135/$C$5</f>
        <v>3.6734424870410634E-2</v>
      </c>
      <c r="I135" s="24" cm="1">
        <f t="array" ref="I135">_xlfn.LET(_xlpm.x,$B135,_xlpm.dep,$H$6:$H$29,_xlpm.e,IF(_xlpm.x&lt;=$C$5,$C$12*(_xlpm.x-_xlpm.dep)/_xlpm.x,$C$13*(_xlpm.x-_xlpm.dep)/(_xlpm.x-3*$C$5/7))/$C$14,_xlpm.s,(_xlpm.e&gt;=1)*1+(_xlpm.e&lt;=-1)*(-1)+(ABS(_xlpm.e)&lt;1)*_xlpm.e,AVERAGE(_xlpm.s))</f>
        <v>0.72381673081296738</v>
      </c>
      <c r="J135" s="24" cm="1">
        <f t="array" ref="J135">_xlfn.LET(_xlpm.x,$B135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7.4493630770019248E-2</v>
      </c>
      <c r="K135" s="24">
        <f>IFERROR(($C$15-F135)/I135,"")</f>
        <v>-0.96591220965468416</v>
      </c>
      <c r="L135" s="24" t="str">
        <f>IF(AND(ISNUMBER(K135),N(K135)&gt;0),H135+K135*J135,"")</f>
        <v/>
      </c>
      <c r="M135" s="24">
        <f>IF(ISNUMBER(L135),ABS(L135-$C$16),1000000000)</f>
        <v>1000000000</v>
      </c>
    </row>
    <row r="136" spans="1:13" x14ac:dyDescent="0.3">
      <c r="A136" s="24">
        <f>A135+0.01</f>
        <v>1.0800000000000007</v>
      </c>
      <c r="B136" s="20">
        <f>A136*$C$5</f>
        <v>648.00000000000045</v>
      </c>
      <c r="C136" s="20">
        <f>MIN(0.8*B136,$C$5)</f>
        <v>518.40000000000043</v>
      </c>
      <c r="D136" s="24">
        <f>ACOS(MAX(-1,($C$7-C136)/$C$7))</f>
        <v>2.3861964905524329</v>
      </c>
      <c r="E136" s="20">
        <f>$C$7^2*(D136-SIN(D136)*COS(D136))</f>
        <v>259676.69765097919</v>
      </c>
      <c r="F136" s="24">
        <f>E136/$C$9</f>
        <v>0.91841844526517558</v>
      </c>
      <c r="G136" s="16">
        <f>IF(E136&gt;0,2*$C$7^3*SIN(D136)^3/(3*E136),0)</f>
        <v>22.336158812887781</v>
      </c>
      <c r="H136" s="24">
        <f>F136*G136/$C$5</f>
        <v>3.418990041688074E-2</v>
      </c>
      <c r="I136" s="24" cm="1">
        <f t="array" ref="I136">_xlfn.LET(_xlpm.x,$B136,_xlpm.dep,$H$6:$H$29,_xlpm.e,IF(_xlpm.x&lt;=$C$5,$C$12*(_xlpm.x-_xlpm.dep)/_xlpm.x,$C$13*(_xlpm.x-_xlpm.dep)/(_xlpm.x-3*$C$5/7))/$C$14,_xlpm.s,(_xlpm.e&gt;=1)*1+(_xlpm.e&lt;=-1)*(-1)+(ABS(_xlpm.e)&lt;1)*_xlpm.e,AVERAGE(_xlpm.s))</f>
        <v>0.72728884240136493</v>
      </c>
      <c r="J136" s="24" cm="1">
        <f t="array" ref="J136">_xlfn.LET(_xlpm.x,$B136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7.3488925507178532E-2</v>
      </c>
      <c r="K136" s="24">
        <f>IFERROR(($C$15-F136)/I136,"")</f>
        <v>-0.97101978375497833</v>
      </c>
      <c r="L136" s="24" t="str">
        <f>IF(AND(ISNUMBER(K136),N(K136)&gt;0),H136+K136*J136,"")</f>
        <v/>
      </c>
      <c r="M136" s="24">
        <f>IF(ISNUMBER(L136),ABS(L136-$C$16),1000000000)</f>
        <v>1000000000</v>
      </c>
    </row>
    <row r="137" spans="1:13" x14ac:dyDescent="0.3">
      <c r="A137" s="24">
        <f>A136+0.01</f>
        <v>1.0900000000000007</v>
      </c>
      <c r="B137" s="20">
        <f>A137*$C$5</f>
        <v>654.00000000000045</v>
      </c>
      <c r="C137" s="20">
        <f>MIN(0.8*B137,$C$5)</f>
        <v>523.20000000000039</v>
      </c>
      <c r="D137" s="24">
        <f>ACOS(MAX(-1,($C$7-C137)/$C$7))</f>
        <v>2.4098333146881612</v>
      </c>
      <c r="E137" s="20">
        <f>$C$7^2*(D137-SIN(D137)*COS(D137))</f>
        <v>261626.30544748012</v>
      </c>
      <c r="F137" s="24">
        <f>E137/$C$9</f>
        <v>0.92531377232970047</v>
      </c>
      <c r="G137" s="16">
        <f>IF(E137&gt;0,2*$C$7^3*SIN(D137)^3/(3*E137),0)</f>
        <v>20.524413968234057</v>
      </c>
      <c r="H137" s="24">
        <f>F137*G137/$C$5</f>
        <v>3.1652538189671751E-2</v>
      </c>
      <c r="I137" s="24" cm="1">
        <f t="array" ref="I137">_xlfn.LET(_xlpm.x,$B137,_xlpm.dep,$H$6:$H$29,_xlpm.e,IF(_xlpm.x&lt;=$C$5,$C$12*(_xlpm.x-_xlpm.dep)/_xlpm.x,$C$13*(_xlpm.x-_xlpm.dep)/(_xlpm.x-3*$C$5/7))/$C$14,_xlpm.s,(_xlpm.e&gt;=1)*1+(_xlpm.e&lt;=-1)*(-1)+(ABS(_xlpm.e)&lt;1)*_xlpm.e,AVERAGE(_xlpm.s))</f>
        <v>0.73065596573438985</v>
      </c>
      <c r="J137" s="24" cm="1">
        <f t="array" ref="J137">_xlfn.LET(_xlpm.x,$B137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7.2514600101097546E-2</v>
      </c>
      <c r="K137" s="24">
        <f>IFERROR(($C$15-F137)/I137,"")</f>
        <v>-0.97598215163241075</v>
      </c>
      <c r="L137" s="24" t="str">
        <f>IF(AND(ISNUMBER(K137),N(K137)&gt;0),H137+K137*J137,"")</f>
        <v/>
      </c>
      <c r="M137" s="24">
        <f>IF(ISNUMBER(L137),ABS(L137-$C$16),1000000000)</f>
        <v>1000000000</v>
      </c>
    </row>
    <row r="138" spans="1:13" x14ac:dyDescent="0.3">
      <c r="A138" s="24">
        <f>A137+0.01</f>
        <v>1.1000000000000008</v>
      </c>
      <c r="B138" s="20">
        <f>A138*$C$5</f>
        <v>660.00000000000045</v>
      </c>
      <c r="C138" s="20">
        <f>MIN(0.8*B138,$C$5)</f>
        <v>528.00000000000034</v>
      </c>
      <c r="D138" s="24">
        <f>ACOS(MAX(-1,($C$7-C138)/$C$7))</f>
        <v>2.4341094418104516</v>
      </c>
      <c r="E138" s="20">
        <f>$C$7^2*(D138-SIN(D138)*COS(D138))</f>
        <v>263524.58791310864</v>
      </c>
      <c r="F138" s="24">
        <f>E138/$C$9</f>
        <v>0.93202757316946605</v>
      </c>
      <c r="G138" s="16">
        <f>IF(E138&gt;0,2*$C$7^3*SIN(D138)^3/(3*E138),0)</f>
        <v>18.751552342734616</v>
      </c>
      <c r="H138" s="24">
        <f>F138*G138/$C$5</f>
        <v>2.91282730385986E-2</v>
      </c>
      <c r="I138" s="24" cm="1">
        <f t="array" ref="I138">_xlfn.LET(_xlpm.x,$B138,_xlpm.dep,$H$6:$H$29,_xlpm.e,IF(_xlpm.x&lt;=$C$5,$C$12*(_xlpm.x-_xlpm.dep)/_xlpm.x,$C$13*(_xlpm.x-_xlpm.dep)/(_xlpm.x-3*$C$5/7))/$C$14,_xlpm.s,(_xlpm.e&gt;=1)*1+(_xlpm.e&lt;=-1)*(-1)+(ABS(_xlpm.e)&lt;1)*_xlpm.e,AVERAGE(_xlpm.s))</f>
        <v>0.73392279177664344</v>
      </c>
      <c r="J138" s="24" cm="1">
        <f t="array" ref="J138">_xlfn.LET(_xlpm.x,$B138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7.156929715392113E-2</v>
      </c>
      <c r="K138" s="24">
        <f>IFERROR(($C$15-F138)/I138,"")</f>
        <v>-0.98078570449865154</v>
      </c>
      <c r="L138" s="24" t="str">
        <f>IF(AND(ISNUMBER(K138),N(K138)&gt;0),H138+K138*J138,"")</f>
        <v/>
      </c>
      <c r="M138" s="24">
        <f>IF(ISNUMBER(L138),ABS(L138-$C$16),1000000000)</f>
        <v>1000000000</v>
      </c>
    </row>
    <row r="139" spans="1:13" x14ac:dyDescent="0.3">
      <c r="A139" s="24">
        <f>A138+0.01</f>
        <v>1.1100000000000008</v>
      </c>
      <c r="B139" s="20">
        <f>A139*$C$5</f>
        <v>666.00000000000045</v>
      </c>
      <c r="C139" s="20">
        <f>MIN(0.8*B139,$C$5)</f>
        <v>532.80000000000041</v>
      </c>
      <c r="D139" s="24">
        <f>ACOS(MAX(-1,($C$7-C139)/$C$7))</f>
        <v>2.4590953363138235</v>
      </c>
      <c r="E139" s="20">
        <f>$C$7^2*(D139-SIN(D139)*COS(D139))</f>
        <v>265368.96649463713</v>
      </c>
      <c r="F139" s="24">
        <f>E139/$C$9</f>
        <v>0.9385507280179789</v>
      </c>
      <c r="G139" s="16">
        <f>IF(E139&gt;0,2*$C$7^3*SIN(D139)^3/(3*E139),0)</f>
        <v>17.019972017507936</v>
      </c>
      <c r="H139" s="24">
        <f>F139*G139/$C$5</f>
        <v>2.6623511879796169E-2</v>
      </c>
      <c r="I139" s="24" cm="1">
        <f t="array" ref="I139">_xlfn.LET(_xlpm.x,$B139,_xlpm.dep,$H$6:$H$29,_xlpm.e,IF(_xlpm.x&lt;=$C$5,$C$12*(_xlpm.x-_xlpm.dep)/_xlpm.x,$C$13*(_xlpm.x-_xlpm.dep)/(_xlpm.x-3*$C$5/7))/$C$14,_xlpm.s,(_xlpm.e&gt;=1)*1+(_xlpm.e&lt;=-1)*(-1)+(ABS(_xlpm.e)&lt;1)*_xlpm.e,AVERAGE(_xlpm.s))</f>
        <v>0.73709373613212248</v>
      </c>
      <c r="J139" s="24" cm="1">
        <f t="array" ref="J139">_xlfn.LET(_xlpm.x,$B139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7.0651738947332676E-2</v>
      </c>
      <c r="K139" s="24">
        <f>IFERROR(($C$15-F139)/I139,"")</f>
        <v>-0.98541623897152408</v>
      </c>
      <c r="L139" s="24" t="str">
        <f>IF(AND(ISNUMBER(K139),N(K139)&gt;0),H139+K139*J139,"")</f>
        <v/>
      </c>
      <c r="M139" s="24">
        <f>IF(ISNUMBER(L139),ABS(L139-$C$16),1000000000)</f>
        <v>1000000000</v>
      </c>
    </row>
    <row r="140" spans="1:13" x14ac:dyDescent="0.3">
      <c r="A140" s="24">
        <f>A139+0.01</f>
        <v>1.1200000000000008</v>
      </c>
      <c r="B140" s="20">
        <f>A140*$C$5</f>
        <v>672.00000000000045</v>
      </c>
      <c r="C140" s="20">
        <f>MIN(0.8*B140,$C$5)</f>
        <v>537.60000000000036</v>
      </c>
      <c r="D140" s="24">
        <f>ACOS(MAX(-1,($C$7-C140)/$C$7))</f>
        <v>2.4848742888410911</v>
      </c>
      <c r="E140" s="20">
        <f>$C$7^2*(D140-SIN(D140)*COS(D140))</f>
        <v>267156.62921297806</v>
      </c>
      <c r="F140" s="24">
        <f>E140/$C$9</f>
        <v>0.94487329153364674</v>
      </c>
      <c r="G140" s="16">
        <f>IF(E140&gt;0,2*$C$7^3*SIN(D140)^3/(3*E140),0)</f>
        <v>15.332344201126254</v>
      </c>
      <c r="H140" s="24">
        <f>F140*G140/$C$5</f>
        <v>2.414520422040831E-2</v>
      </c>
      <c r="I140" s="24" cm="1">
        <f t="array" ref="I140">_xlfn.LET(_xlpm.x,$B140,_xlpm.dep,$H$6:$H$29,_xlpm.e,IF(_xlpm.x&lt;=$C$5,$C$12*(_xlpm.x-_xlpm.dep)/_xlpm.x,$C$13*(_xlpm.x-_xlpm.dep)/(_xlpm.x-3*$C$5/7))/$C$14,_xlpm.s,(_xlpm.e&gt;=1)*1+(_xlpm.e&lt;=-1)*(-1)+(ABS(_xlpm.e)&lt;1)*_xlpm.e,AVERAGE(_xlpm.s))</f>
        <v>0.74017295895665802</v>
      </c>
      <c r="J140" s="24" cm="1">
        <f t="array" ref="J140">_xlfn.LET(_xlpm.x,$B140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6.9760721680604251E-2</v>
      </c>
      <c r="K140" s="24">
        <f>IFERROR(($C$15-F140)/I140,"")</f>
        <v>-0.9898587781120971</v>
      </c>
      <c r="L140" s="24" t="str">
        <f>IF(AND(ISNUMBER(K140),N(K140)&gt;0),H140+K140*J140,"")</f>
        <v/>
      </c>
      <c r="M140" s="24">
        <f>IF(ISNUMBER(L140),ABS(L140-$C$16),1000000000)</f>
        <v>1000000000</v>
      </c>
    </row>
    <row r="141" spans="1:13" x14ac:dyDescent="0.3">
      <c r="A141" s="24">
        <f>A140+0.01</f>
        <v>1.1300000000000008</v>
      </c>
      <c r="B141" s="20">
        <f>A141*$C$5</f>
        <v>678.00000000000045</v>
      </c>
      <c r="C141" s="20">
        <f>MIN(0.8*B141,$C$5)</f>
        <v>542.40000000000043</v>
      </c>
      <c r="D141" s="24">
        <f>ACOS(MAX(-1,($C$7-C141)/$C$7))</f>
        <v>2.5115459631439556</v>
      </c>
      <c r="E141" s="20">
        <f>$C$7^2*(D141-SIN(D141)*COS(D141))</f>
        <v>268884.48695322912</v>
      </c>
      <c r="F141" s="24">
        <f>E141/$C$9</f>
        <v>0.95098433820743677</v>
      </c>
      <c r="G141" s="16">
        <f>IF(E141&gt;0,2*$C$7^3*SIN(D141)^3/(3*E141),0)</f>
        <v>13.69166424736447</v>
      </c>
      <c r="H141" s="24">
        <f>F141*G141/$C$5</f>
        <v>2.1700930438730538E-2</v>
      </c>
      <c r="I141" s="24" cm="1">
        <f t="array" ref="I141">_xlfn.LET(_xlpm.x,$B141,_xlpm.dep,$H$6:$H$29,_xlpm.e,IF(_xlpm.x&lt;=$C$5,$C$12*(_xlpm.x-_xlpm.dep)/_xlpm.x,$C$13*(_xlpm.x-_xlpm.dep)/(_xlpm.x-3*$C$5/7))/$C$14,_xlpm.s,(_xlpm.e&gt;=1)*1+(_xlpm.e&lt;=-1)*(-1)+(ABS(_xlpm.e)&lt;1)*_xlpm.e,AVERAGE(_xlpm.s))</f>
        <v>0.74316438316705169</v>
      </c>
      <c r="J141" s="24" cm="1">
        <f t="array" ref="J141">_xlfn.LET(_xlpm.x,$B141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6.8895110201521823E-2</v>
      </c>
      <c r="K141" s="24">
        <f>IFERROR(($C$15-F141)/I141,"")</f>
        <v>-0.99409735470621641</v>
      </c>
      <c r="L141" s="24" t="str">
        <f>IF(AND(ISNUMBER(K141),N(K141)&gt;0),H141+K141*J141,"")</f>
        <v/>
      </c>
      <c r="M141" s="24">
        <f>IF(ISNUMBER(L141),ABS(L141-$C$16),1000000000)</f>
        <v>1000000000</v>
      </c>
    </row>
    <row r="142" spans="1:13" x14ac:dyDescent="0.3">
      <c r="A142" s="24">
        <f>A141+0.01</f>
        <v>1.1400000000000008</v>
      </c>
      <c r="B142" s="20">
        <f>A142*$C$5</f>
        <v>684.00000000000045</v>
      </c>
      <c r="C142" s="20">
        <f>MIN(0.8*B142,$C$5)</f>
        <v>547.20000000000039</v>
      </c>
      <c r="D142" s="24">
        <f>ACOS(MAX(-1,($C$7-C142)/$C$7))</f>
        <v>2.5392313095546122</v>
      </c>
      <c r="E142" s="20">
        <f>$C$7^2*(D142-SIN(D142)*COS(D142))</f>
        <v>270549.11733210215</v>
      </c>
      <c r="F142" s="24">
        <f>E142/$C$9</f>
        <v>0.95687176383451622</v>
      </c>
      <c r="G142" s="16">
        <f>IF(E142&gt;0,2*$C$7^3*SIN(D142)^3/(3*E142),0)</f>
        <v>12.101316966076464</v>
      </c>
      <c r="H142" s="24">
        <f>F142*G142/$C$5</f>
        <v>1.9299014183416906E-2</v>
      </c>
      <c r="I142" s="24" cm="1">
        <f t="array" ref="I142">_xlfn.LET(_xlpm.x,$B142,_xlpm.dep,$H$6:$H$29,_xlpm.e,IF(_xlpm.x&lt;=$C$5,$C$12*(_xlpm.x-_xlpm.dep)/_xlpm.x,$C$13*(_xlpm.x-_xlpm.dep)/(_xlpm.x-3*$C$5/7))/$C$14,_xlpm.s,(_xlpm.e&gt;=1)*1+(_xlpm.e&lt;=-1)*(-1)+(ABS(_xlpm.e)&lt;1)*_xlpm.e,AVERAGE(_xlpm.s))</f>
        <v>0.74607171111450299</v>
      </c>
      <c r="J142" s="24" cm="1">
        <f t="array" ref="J142">_xlfn.LET(_xlpm.x,$B142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6.805383318169074E-2</v>
      </c>
      <c r="K142" s="24">
        <f>IFERROR(($C$15-F142)/I142,"")</f>
        <v>-0.99811474145417012</v>
      </c>
      <c r="L142" s="24" t="str">
        <f>IF(AND(ISNUMBER(K142),N(K142)&gt;0),H142+K142*J142,"")</f>
        <v/>
      </c>
      <c r="M142" s="24">
        <f>IF(ISNUMBER(L142),ABS(L142-$C$16),1000000000)</f>
        <v>1000000000</v>
      </c>
    </row>
    <row r="143" spans="1:13" x14ac:dyDescent="0.3">
      <c r="A143" s="24">
        <f>A142+0.01</f>
        <v>1.1500000000000008</v>
      </c>
      <c r="B143" s="20">
        <f>A143*$C$5</f>
        <v>690.00000000000045</v>
      </c>
      <c r="C143" s="20">
        <f>MIN(0.8*B143,$C$5)</f>
        <v>552.00000000000034</v>
      </c>
      <c r="D143" s="24">
        <f>ACOS(MAX(-1,($C$7-C143)/$C$7))</f>
        <v>2.5680795491666988</v>
      </c>
      <c r="E143" s="20">
        <f>$C$7^2*(D143-SIN(D143)*COS(D143))</f>
        <v>272146.69116294442</v>
      </c>
      <c r="F143" s="24">
        <f>E143/$C$9</f>
        <v>0.96252202543746745</v>
      </c>
      <c r="G143" s="16">
        <f>IF(E143&gt;0,2*$C$7^3*SIN(D143)^3/(3*E143),0)</f>
        <v>10.565161867077887</v>
      </c>
      <c r="H143" s="24">
        <f>F143*G143/$C$5</f>
        <v>1.6948668332290837E-2</v>
      </c>
      <c r="I143" s="24" cm="1">
        <f t="array" ref="I143">_xlfn.LET(_xlpm.x,$B143,_xlpm.dep,$H$6:$H$29,_xlpm.e,IF(_xlpm.x&lt;=$C$5,$C$12*(_xlpm.x-_xlpm.dep)/_xlpm.x,$C$13*(_xlpm.x-_xlpm.dep)/(_xlpm.x-3*$C$5/7))/$C$14,_xlpm.s,(_xlpm.e&gt;=1)*1+(_xlpm.e&lt;=-1)*(-1)+(ABS(_xlpm.e)&lt;1)*_xlpm.e,AVERAGE(_xlpm.s))</f>
        <v>0.74889843987133153</v>
      </c>
      <c r="J143" s="24" cm="1">
        <f t="array" ref="J143">_xlfn.LET(_xlpm.x,$B143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6.7235878693102449E-2</v>
      </c>
      <c r="K143" s="24">
        <f>IFERROR(($C$15-F143)/I143,"")</f>
        <v>-1.0018921053930698</v>
      </c>
      <c r="L143" s="24" t="str">
        <f>IF(AND(ISNUMBER(K143),N(K143)&gt;0),H143+K143*J143,"")</f>
        <v/>
      </c>
      <c r="M143" s="24">
        <f>IF(ISNUMBER(L143),ABS(L143-$C$16),1000000000)</f>
        <v>1000000000</v>
      </c>
    </row>
    <row r="144" spans="1:13" x14ac:dyDescent="0.3">
      <c r="A144" s="24">
        <f>A143+0.01</f>
        <v>1.1600000000000008</v>
      </c>
      <c r="B144" s="20">
        <f>A144*$C$5</f>
        <v>696.00000000000045</v>
      </c>
      <c r="C144" s="20">
        <f>MIN(0.8*B144,$C$5)</f>
        <v>556.80000000000041</v>
      </c>
      <c r="D144" s="24">
        <f>ACOS(MAX(-1,($C$7-C144)/$C$7))</f>
        <v>2.5982784062346473</v>
      </c>
      <c r="E144" s="20">
        <f>$C$7^2*(D144-SIN(D144)*COS(D144))</f>
        <v>273672.87384831579</v>
      </c>
      <c r="F144" s="24">
        <f>E144/$C$9</f>
        <v>0.96791979251386995</v>
      </c>
      <c r="G144" s="16">
        <f>IF(E144&gt;0,2*$C$7^3*SIN(D144)^3/(3*E144),0)</f>
        <v>9.0876469859362476</v>
      </c>
      <c r="H144" s="24">
        <f>F144*G144/$C$5</f>
        <v>1.4660188975111182E-2</v>
      </c>
      <c r="I144" s="24" cm="1">
        <f t="array" ref="I144">_xlfn.LET(_xlpm.x,$B144,_xlpm.dep,$H$6:$H$29,_xlpm.e,IF(_xlpm.x&lt;=$C$5,$C$12*(_xlpm.x-_xlpm.dep)/_xlpm.x,$C$13*(_xlpm.x-_xlpm.dep)/(_xlpm.x-3*$C$5/7))/$C$14,_xlpm.s,(_xlpm.e&gt;=1)*1+(_xlpm.e&lt;=-1)*(-1)+(ABS(_xlpm.e)&lt;1)*_xlpm.e,AVERAGE(_xlpm.s))</f>
        <v>0.75164787526371557</v>
      </c>
      <c r="J144" s="24" cm="1">
        <f t="array" ref="J144">_xlfn.LET(_xlpm.x,$B144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6.6440290147561532E-2</v>
      </c>
      <c r="K144" s="24">
        <f>IFERROR(($C$15-F144)/I144,"")</f>
        <v>-1.0054085517896718</v>
      </c>
      <c r="L144" s="24" t="str">
        <f>IF(AND(ISNUMBER(K144),N(K144)&gt;0),H144+K144*J144,"")</f>
        <v/>
      </c>
      <c r="M144" s="24">
        <f>IF(ISNUMBER(L144),ABS(L144-$C$16),1000000000)</f>
        <v>1000000000</v>
      </c>
    </row>
    <row r="145" spans="1:13" x14ac:dyDescent="0.3">
      <c r="A145" s="24">
        <f>A144+0.01</f>
        <v>1.1700000000000008</v>
      </c>
      <c r="B145" s="20">
        <f>A145*$C$5</f>
        <v>702.00000000000045</v>
      </c>
      <c r="C145" s="20">
        <f>MIN(0.8*B145,$C$5)</f>
        <v>561.60000000000036</v>
      </c>
      <c r="D145" s="24">
        <f>ACOS(MAX(-1,($C$7-C145)/$C$7))</f>
        <v>2.6300696498957183</v>
      </c>
      <c r="E145" s="20">
        <f>$C$7^2*(D145-SIN(D145)*COS(D145))</f>
        <v>275122.68942758365</v>
      </c>
      <c r="F145" s="24">
        <f>E145/$C$9</f>
        <v>0.97304746620302818</v>
      </c>
      <c r="G145" s="16">
        <f>IF(E145&gt;0,2*$C$7^3*SIN(D145)^3/(3*E145),0)</f>
        <v>7.6739650679978082</v>
      </c>
      <c r="H145" s="24">
        <f>F145*G145/$C$5</f>
        <v>1.2445220441909693E-2</v>
      </c>
      <c r="I145" s="24" cm="1">
        <f t="array" ref="I145">_xlfn.LET(_xlpm.x,$B145,_xlpm.dep,$H$6:$H$29,_xlpm.e,IF(_xlpm.x&lt;=$C$5,$C$12*(_xlpm.x-_xlpm.dep)/_xlpm.x,$C$13*(_xlpm.x-_xlpm.dep)/(_xlpm.x-3*$C$5/7))/$C$14,_xlpm.s,(_xlpm.e&gt;=1)*1+(_xlpm.e&lt;=-1)*(-1)+(ABS(_xlpm.e)&lt;1)*_xlpm.e,AVERAGE(_xlpm.s))</f>
        <v>0.75432314476882956</v>
      </c>
      <c r="J145" s="24" cm="1">
        <f t="array" ref="J145">_xlfn.LET(_xlpm.x,$B145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6.5666162564713443E-2</v>
      </c>
      <c r="K145" s="24">
        <f>IFERROR(($C$15-F145)/I145,"")</f>
        <v>-1.0086405020052811</v>
      </c>
      <c r="L145" s="24" t="str">
        <f>IF(AND(ISNUMBER(K145),N(K145)&gt;0),H145+K145*J145,"")</f>
        <v/>
      </c>
      <c r="M145" s="24">
        <f>IF(ISNUMBER(L145),ABS(L145-$C$16),1000000000)</f>
        <v>1000000000</v>
      </c>
    </row>
    <row r="146" spans="1:13" x14ac:dyDescent="0.3">
      <c r="A146" s="24">
        <f>A145+0.01</f>
        <v>1.1800000000000008</v>
      </c>
      <c r="B146" s="20">
        <f>A146*$C$5</f>
        <v>708.00000000000045</v>
      </c>
      <c r="C146" s="20">
        <f>MIN(0.8*B146,$C$5)</f>
        <v>566.40000000000043</v>
      </c>
      <c r="D146" s="24">
        <f>ACOS(MAX(-1,($C$7-C146)/$C$7))</f>
        <v>2.6637737563375921</v>
      </c>
      <c r="E146" s="20">
        <f>$C$7^2*(D146-SIN(D146)*COS(D146))</f>
        <v>276490.3267240451</v>
      </c>
      <c r="F146" s="24">
        <f>E146/$C$9</f>
        <v>0.97788449367166541</v>
      </c>
      <c r="G146" s="16">
        <f>IF(E146&gt;0,2*$C$7^3*SIN(D146)^3/(3*E146),0)</f>
        <v>6.3302750770721161</v>
      </c>
      <c r="H146" s="24">
        <f>F146*G146/$C$5</f>
        <v>1.0317129730908382E-2</v>
      </c>
      <c r="I146" s="24" cm="1">
        <f t="array" ref="I146">_xlfn.LET(_xlpm.x,$B146,_xlpm.dep,$H$6:$H$29,_xlpm.e,IF(_xlpm.x&lt;=$C$5,$C$12*(_xlpm.x-_xlpm.dep)/_xlpm.x,$C$13*(_xlpm.x-_xlpm.dep)/(_xlpm.x-3*$C$5/7))/$C$14,_xlpm.s,(_xlpm.e&gt;=1)*1+(_xlpm.e&lt;=-1)*(-1)+(ABS(_xlpm.e)&lt;1)*_xlpm.e,AVERAGE(_xlpm.s))</f>
        <v>0.75692720938217184</v>
      </c>
      <c r="J146" s="24" cm="1">
        <f t="array" ref="J146">_xlfn.LET(_xlpm.x,$B146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6.4912639138062805E-2</v>
      </c>
      <c r="K146" s="24">
        <f>IFERROR(($C$15-F146)/I146,"")</f>
        <v>-1.0115608124425099</v>
      </c>
      <c r="L146" s="24" t="str">
        <f>IF(AND(ISNUMBER(K146),N(K146)&gt;0),H146+K146*J146,"")</f>
        <v/>
      </c>
      <c r="M146" s="24">
        <f>IF(ISNUMBER(L146),ABS(L146-$C$16),1000000000)</f>
        <v>1000000000</v>
      </c>
    </row>
    <row r="147" spans="1:13" x14ac:dyDescent="0.3">
      <c r="A147" s="24">
        <f>A146+0.01</f>
        <v>1.1900000000000008</v>
      </c>
      <c r="B147" s="20">
        <f>A147*$C$5</f>
        <v>714.00000000000045</v>
      </c>
      <c r="C147" s="20">
        <f>MIN(0.8*B147,$C$5)</f>
        <v>571.20000000000039</v>
      </c>
      <c r="D147" s="24">
        <f>ACOS(MAX(-1,($C$7-C147)/$C$7))</f>
        <v>2.6998312294397371</v>
      </c>
      <c r="E147" s="20">
        <f>$C$7^2*(D147-SIN(D147)*COS(D147))</f>
        <v>277768.85118092329</v>
      </c>
      <c r="F147" s="24">
        <f>E147/$C$9</f>
        <v>0.98240634894224421</v>
      </c>
      <c r="G147" s="16">
        <f>IF(E147&gt;0,2*$C$7^3*SIN(D147)^3/(3*E147),0)</f>
        <v>5.0640295134005147</v>
      </c>
      <c r="H147" s="24">
        <f>F147*G147/$C$5</f>
        <v>8.291557908659283E-3</v>
      </c>
      <c r="I147" s="24" cm="1">
        <f t="array" ref="I147">_xlfn.LET(_xlpm.x,$B147,_xlpm.dep,$H$6:$H$29,_xlpm.e,IF(_xlpm.x&lt;=$C$5,$C$12*(_xlpm.x-_xlpm.dep)/_xlpm.x,$C$13*(_xlpm.x-_xlpm.dep)/(_xlpm.x-3*$C$5/7))/$C$14,_xlpm.s,(_xlpm.e&gt;=1)*1+(_xlpm.e&lt;=-1)*(-1)+(ABS(_xlpm.e)&lt;1)*_xlpm.e,AVERAGE(_xlpm.s))</f>
        <v>0.75946287454976069</v>
      </c>
      <c r="J147" s="24" cm="1">
        <f t="array" ref="J147">_xlfn.LET(_xlpm.x,$B147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6.4178908071586868E-2</v>
      </c>
      <c r="K147" s="24">
        <f>IFERROR(($C$15-F147)/I147,"")</f>
        <v>-1.0141374699976677</v>
      </c>
      <c r="L147" s="24" t="str">
        <f>IF(AND(ISNUMBER(K147),N(K147)&gt;0),H147+K147*J147,"")</f>
        <v/>
      </c>
      <c r="M147" s="24">
        <f>IF(ISNUMBER(L147),ABS(L147-$C$16),1000000000)</f>
        <v>1000000000</v>
      </c>
    </row>
    <row r="148" spans="1:13" x14ac:dyDescent="0.3">
      <c r="A148" s="24">
        <f>A147+0.01</f>
        <v>1.2000000000000008</v>
      </c>
      <c r="B148" s="20">
        <f>A148*$C$5</f>
        <v>720.00000000000045</v>
      </c>
      <c r="C148" s="20">
        <f>MIN(0.8*B148,$C$5)</f>
        <v>576.00000000000034</v>
      </c>
      <c r="D148" s="24">
        <f>ACOS(MAX(-1,($C$7-C148)/$C$7))</f>
        <v>2.7388768120091349</v>
      </c>
      <c r="E148" s="20">
        <f>$C$7^2*(D148-SIN(D148)*COS(D148))</f>
        <v>278949.75319321349</v>
      </c>
      <c r="F148" s="24">
        <f>E148/$C$9</f>
        <v>0.98658293544364761</v>
      </c>
      <c r="G148" s="16">
        <f>IF(E148&gt;0,2*$C$7^3*SIN(D148)^3/(3*E148),0)</f>
        <v>3.8844840912440222</v>
      </c>
      <c r="H148" s="24">
        <f>F148*G148/$C$5</f>
        <v>6.3872761957061283E-3</v>
      </c>
      <c r="I148" s="24" cm="1">
        <f t="array" ref="I148">_xlfn.LET(_xlpm.x,$B148,_xlpm.dep,$H$6:$H$29,_xlpm.e,IF(_xlpm.x&lt;=$C$5,$C$12*(_xlpm.x-_xlpm.dep)/_xlpm.x,$C$13*(_xlpm.x-_xlpm.dep)/(_xlpm.x-3*$C$5/7))/$C$14,_xlpm.s,(_xlpm.e&gt;=1)*1+(_xlpm.e&lt;=-1)*(-1)+(ABS(_xlpm.e)&lt;1)*_xlpm.e,AVERAGE(_xlpm.s))</f>
        <v>0.76193280025004151</v>
      </c>
      <c r="J148" s="24" cm="1">
        <f t="array" ref="J148">_xlfn.LET(_xlpm.x,$B148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6.3464199662389933E-2</v>
      </c>
      <c r="K148" s="24">
        <f>IFERROR(($C$15-F148)/I148,"")</f>
        <v>-1.0163315510243538</v>
      </c>
      <c r="L148" s="24" t="str">
        <f>IF(AND(ISNUMBER(K148),N(K148)&gt;0),H148+K148*J148,"")</f>
        <v/>
      </c>
      <c r="M148" s="24">
        <f>IF(ISNUMBER(L148),ABS(L148-$C$16),1000000000)</f>
        <v>1000000000</v>
      </c>
    </row>
    <row r="149" spans="1:13" x14ac:dyDescent="0.3">
      <c r="A149" s="24">
        <f>A148+0.01</f>
        <v>1.2100000000000009</v>
      </c>
      <c r="B149" s="20">
        <f>A149*$C$5</f>
        <v>726.00000000000045</v>
      </c>
      <c r="C149" s="20">
        <f>MIN(0.8*B149,$C$5)</f>
        <v>580.80000000000041</v>
      </c>
      <c r="D149" s="24">
        <f>ACOS(MAX(-1,($C$7-C149)/$C$7))</f>
        <v>2.7818856540048404</v>
      </c>
      <c r="E149" s="20">
        <f>$C$7^2*(D149-SIN(D149)*COS(D149))</f>
        <v>280022.18886043539</v>
      </c>
      <c r="F149" s="24">
        <f>E149/$C$9</f>
        <v>0.9903759007233458</v>
      </c>
      <c r="G149" s="16">
        <f>IF(E149&gt;0,2*$C$7^3*SIN(D149)^3/(3*E149),0)</f>
        <v>2.8035483444894171</v>
      </c>
      <c r="H149" s="24">
        <f>F149*G149/$C$5</f>
        <v>4.6276111948252525E-3</v>
      </c>
      <c r="I149" s="24" cm="1">
        <f t="array" ref="I149">_xlfn.LET(_xlpm.x,$B149,_xlpm.dep,$H$6:$H$29,_xlpm.e,IF(_xlpm.x&lt;=$C$5,$C$12*(_xlpm.x-_xlpm.dep)/_xlpm.x,$C$13*(_xlpm.x-_xlpm.dep)/(_xlpm.x-3*$C$5/7))/$C$14,_xlpm.s,(_xlpm.e&gt;=1)*1+(_xlpm.e&lt;=-1)*(-1)+(ABS(_xlpm.e)&lt;1)*_xlpm.e,AVERAGE(_xlpm.s))</f>
        <v>0.76433951030168634</v>
      </c>
      <c r="J149" s="24" cm="1">
        <f t="array" ref="J149">_xlfn.LET(_xlpm.x,$B149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6.2767783607358907E-2</v>
      </c>
      <c r="K149" s="24">
        <f>IFERROR(($C$15-F149)/I149,"")</f>
        <v>-1.0180937913663615</v>
      </c>
      <c r="L149" s="24" t="str">
        <f>IF(AND(ISNUMBER(K149),N(K149)&gt;0),H149+K149*J149,"")</f>
        <v/>
      </c>
      <c r="M149" s="24">
        <f>IF(ISNUMBER(L149),ABS(L149-$C$16),1000000000)</f>
        <v>1000000000</v>
      </c>
    </row>
    <row r="150" spans="1:13" x14ac:dyDescent="0.3">
      <c r="A150" s="24">
        <f>A149+0.01</f>
        <v>1.2200000000000009</v>
      </c>
      <c r="B150" s="20">
        <f>A150*$C$5</f>
        <v>732.00000000000057</v>
      </c>
      <c r="C150" s="20">
        <f>MIN(0.8*B150,$C$5)</f>
        <v>585.60000000000048</v>
      </c>
      <c r="D150" s="24">
        <f>ACOS(MAX(-1,($C$7-C150)/$C$7))</f>
        <v>2.8305010517978375</v>
      </c>
      <c r="E150" s="20">
        <f>$C$7^2*(D150-SIN(D150)*COS(D150))</f>
        <v>280971.57331659965</v>
      </c>
      <c r="F150" s="24">
        <f>E150/$C$9</f>
        <v>0.9937336613698603</v>
      </c>
      <c r="G150" s="16">
        <f>IF(E150&gt;0,2*$C$7^3*SIN(D150)^3/(3*E150),0)</f>
        <v>1.8373491713396735</v>
      </c>
      <c r="H150" s="24">
        <f>F150*G150/$C$5</f>
        <v>3.0430595320837541E-3</v>
      </c>
      <c r="I150" s="24" cm="1">
        <f t="array" ref="I150">_xlfn.LET(_xlpm.x,$B150,_xlpm.dep,$H$6:$H$29,_xlpm.e,IF(_xlpm.x&lt;=$C$5,$C$12*(_xlpm.x-_xlpm.dep)/_xlpm.x,$C$13*(_xlpm.x-_xlpm.dep)/(_xlpm.x-3*$C$5/7))/$C$14,_xlpm.s,(_xlpm.e&gt;=1)*1+(_xlpm.e&lt;=-1)*(-1)+(ABS(_xlpm.e)&lt;1)*_xlpm.e,AVERAGE(_xlpm.s))</f>
        <v>0.76668540096574456</v>
      </c>
      <c r="J150" s="24" cm="1">
        <f t="array" ref="J150">_xlfn.LET(_xlpm.x,$B150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6.2088966514007367E-2</v>
      </c>
      <c r="K150" s="24">
        <f>IFERROR(($C$15-F150)/I150,"")</f>
        <v>-1.0193582264592842</v>
      </c>
      <c r="L150" s="24" t="str">
        <f>IF(AND(ISNUMBER(K150),N(K150)&gt;0),H150+K150*J150,"")</f>
        <v/>
      </c>
      <c r="M150" s="24">
        <f>IF(ISNUMBER(L150),ABS(L150-$C$16),1000000000)</f>
        <v>1000000000</v>
      </c>
    </row>
    <row r="151" spans="1:13" x14ac:dyDescent="0.3">
      <c r="A151" s="24">
        <f>A150+0.01</f>
        <v>1.2300000000000009</v>
      </c>
      <c r="B151" s="20">
        <f>A151*$C$5</f>
        <v>738.00000000000057</v>
      </c>
      <c r="C151" s="20">
        <f>MIN(0.8*B151,$C$5)</f>
        <v>590.40000000000043</v>
      </c>
      <c r="D151" s="24">
        <f>ACOS(MAX(-1,($C$7-C151)/$C$7))</f>
        <v>2.8879309175143431</v>
      </c>
      <c r="E151" s="20">
        <f>$C$7^2*(D151-SIN(D151)*COS(D151))</f>
        <v>281776.56350037234</v>
      </c>
      <c r="F151" s="24">
        <f>E151/$C$9</f>
        <v>0.9965807317451465</v>
      </c>
      <c r="G151" s="16">
        <f>IF(E151&gt;0,2*$C$7^3*SIN(D151)^3/(3*E151),0)</f>
        <v>1.0095556077306198</v>
      </c>
      <c r="H151" s="24">
        <f>F151*G151/$C$5</f>
        <v>1.6768394438159953E-3</v>
      </c>
      <c r="I151" s="24" cm="1">
        <f t="array" ref="I151">_xlfn.LET(_xlpm.x,$B151,_xlpm.dep,$H$6:$H$29,_xlpm.e,IF(_xlpm.x&lt;=$C$5,$C$12*(_xlpm.x-_xlpm.dep)/_xlpm.x,$C$13*(_xlpm.x-_xlpm.dep)/(_xlpm.x-3*$C$5/7))/$C$14,_xlpm.s,(_xlpm.e&gt;=1)*1+(_xlpm.e&lt;=-1)*(-1)+(ABS(_xlpm.e)&lt;1)*_xlpm.e,AVERAGE(_xlpm.s))</f>
        <v>0.76897274890378331</v>
      </c>
      <c r="J151" s="24" cm="1">
        <f t="array" ref="J151">_xlfn.LET(_xlpm.x,$B151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6.1427089597673533E-2</v>
      </c>
      <c r="K151" s="24">
        <f>IFERROR(($C$15-F151)/I151,"")</f>
        <v>-1.0200285277652883</v>
      </c>
      <c r="L151" s="24" t="str">
        <f>IF(AND(ISNUMBER(K151),N(K151)&gt;0),H151+K151*J151,"")</f>
        <v/>
      </c>
      <c r="M151" s="24">
        <f>IF(ISNUMBER(L151),ABS(L151-$C$16),1000000000)</f>
        <v>1000000000</v>
      </c>
    </row>
    <row r="152" spans="1:13" x14ac:dyDescent="0.3">
      <c r="A152" s="24">
        <f>A151+0.01</f>
        <v>1.2400000000000009</v>
      </c>
      <c r="B152" s="20">
        <f>A152*$C$5</f>
        <v>744.00000000000057</v>
      </c>
      <c r="C152" s="20">
        <f>MIN(0.8*B152,$C$5)</f>
        <v>595.2000000000005</v>
      </c>
      <c r="D152" s="24">
        <f>ACOS(MAX(-1,($C$7-C152)/$C$7))</f>
        <v>2.9624678387109133</v>
      </c>
      <c r="E152" s="20">
        <f>$C$7^2*(D152-SIN(D152)*COS(D152))</f>
        <v>282400.70426709263</v>
      </c>
      <c r="F152" s="24">
        <f>E152/$C$9</f>
        <v>0.99878817814978427</v>
      </c>
      <c r="G152" s="16">
        <f>IF(E152&gt;0,2*$C$7^3*SIN(D152)^3/(3*E152),0)</f>
        <v>0.36049496667506631</v>
      </c>
      <c r="H152" s="24">
        <f>F152*G152/$C$5</f>
        <v>6.0009685166259445E-4</v>
      </c>
      <c r="I152" s="24" cm="1">
        <f t="array" ref="I152">_xlfn.LET(_xlpm.x,$B152,_xlpm.dep,$H$6:$H$29,_xlpm.e,IF(_xlpm.x&lt;=$C$5,$C$12*(_xlpm.x-_xlpm.dep)/_xlpm.x,$C$13*(_xlpm.x-_xlpm.dep)/(_xlpm.x-3*$C$5/7))/$C$14,_xlpm.s,(_xlpm.e&gt;=1)*1+(_xlpm.e&lt;=-1)*(-1)+(ABS(_xlpm.e)&lt;1)*_xlpm.e,AVERAGE(_xlpm.s))</f>
        <v>0.77120371854757475</v>
      </c>
      <c r="J152" s="24" cm="1">
        <f t="array" ref="J152">_xlfn.LET(_xlpm.x,$B152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6.0781526548995796E-2</v>
      </c>
      <c r="K152" s="24">
        <f>IFERROR(($C$15-F152)/I152,"")</f>
        <v>-1.0199400864430184</v>
      </c>
      <c r="L152" s="24" t="str">
        <f>IF(AND(ISNUMBER(K152),N(K152)&gt;0),H152+K152*J152,"")</f>
        <v/>
      </c>
      <c r="M152" s="24">
        <f>IF(ISNUMBER(L152),ABS(L152-$C$16),1000000000)</f>
        <v>1000000000</v>
      </c>
    </row>
    <row r="153" spans="1:13" x14ac:dyDescent="0.3">
      <c r="A153" s="24">
        <f>A152+0.01</f>
        <v>1.2500000000000009</v>
      </c>
      <c r="B153" s="20">
        <f>A153*$C$5</f>
        <v>750.00000000000057</v>
      </c>
      <c r="C153" s="20">
        <f>MIN(0.8*B153,$C$5)</f>
        <v>600</v>
      </c>
      <c r="D153" s="24">
        <f>ACOS(MAX(-1,($C$7-C153)/$C$7))</f>
        <v>3.1415926535897931</v>
      </c>
      <c r="E153" s="20">
        <f>$C$7^2*(D153-SIN(D153)*COS(D153))</f>
        <v>282743.3388230814</v>
      </c>
      <c r="F153" s="24">
        <f>E153/$C$9</f>
        <v>1</v>
      </c>
      <c r="G153" s="16">
        <f>IF(E153&gt;0,2*$C$7^3*SIN(D153)^3/(3*E153),0)</f>
        <v>1.1707017644929472E-46</v>
      </c>
      <c r="H153" s="24">
        <f>F153*G153/$C$5</f>
        <v>1.9511696074882452E-49</v>
      </c>
      <c r="I153" s="24" cm="1">
        <f t="array" ref="I153">_xlfn.LET(_xlpm.x,$B153,_xlpm.dep,$H$6:$H$29,_xlpm.e,IF(_xlpm.x&lt;=$C$5,$C$12*(_xlpm.x-_xlpm.dep)/_xlpm.x,$C$13*(_xlpm.x-_xlpm.dep)/(_xlpm.x-3*$C$5/7))/$C$14,_xlpm.s,(_xlpm.e&gt;=1)*1+(_xlpm.e&lt;=-1)*(-1)+(ABS(_xlpm.e)&lt;1)*_xlpm.e,AVERAGE(_xlpm.s))</f>
        <v>0.77338036893047379</v>
      </c>
      <c r="J153" s="24" cm="1">
        <f t="array" ref="J153">_xlfn.LET(_xlpm.x,$B153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6.0151681557155424E-2</v>
      </c>
      <c r="K153" s="24">
        <f>IFERROR(($C$15-F153)/I153,"")</f>
        <v>-1.0186364185843826</v>
      </c>
      <c r="L153" s="24" t="str">
        <f>IF(AND(ISNUMBER(K153),N(K153)&gt;0),H153+K153*J153,"")</f>
        <v/>
      </c>
      <c r="M153" s="24">
        <f>IF(ISNUMBER(L153),ABS(L153-$C$16),1000000000)</f>
        <v>1000000000</v>
      </c>
    </row>
    <row r="154" spans="1:13" x14ac:dyDescent="0.3">
      <c r="A154" s="24">
        <f>A153+0.01</f>
        <v>1.2600000000000009</v>
      </c>
      <c r="B154" s="20">
        <f>A154*$C$5</f>
        <v>756.00000000000057</v>
      </c>
      <c r="C154" s="20">
        <f>MIN(0.8*B154,$C$5)</f>
        <v>600</v>
      </c>
      <c r="D154" s="24">
        <f>ACOS(MAX(-1,($C$7-C154)/$C$7))</f>
        <v>3.1415926535897931</v>
      </c>
      <c r="E154" s="20">
        <f>$C$7^2*(D154-SIN(D154)*COS(D154))</f>
        <v>282743.3388230814</v>
      </c>
      <c r="F154" s="24">
        <f>E154/$C$9</f>
        <v>1</v>
      </c>
      <c r="G154" s="16">
        <f>IF(E154&gt;0,2*$C$7^3*SIN(D154)^3/(3*E154),0)</f>
        <v>1.1707017644929472E-46</v>
      </c>
      <c r="H154" s="24">
        <f>F154*G154/$C$5</f>
        <v>1.9511696074882452E-49</v>
      </c>
      <c r="I154" s="24" cm="1">
        <f t="array" ref="I154">_xlfn.LET(_xlpm.x,$B154,_xlpm.dep,$H$6:$H$29,_xlpm.e,IF(_xlpm.x&lt;=$C$5,$C$12*(_xlpm.x-_xlpm.dep)/_xlpm.x,$C$13*(_xlpm.x-_xlpm.dep)/(_xlpm.x-3*$C$5/7))/$C$14,_xlpm.s,(_xlpm.e&gt;=1)*1+(_xlpm.e&lt;=-1)*(-1)+(ABS(_xlpm.e)&lt;1)*_xlpm.e,AVERAGE(_xlpm.s))</f>
        <v>0.77550466002581164</v>
      </c>
      <c r="J154" s="24" cm="1">
        <f t="array" ref="J154">_xlfn.LET(_xlpm.x,$B154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5.9536987475771713E-2</v>
      </c>
      <c r="K154" s="24">
        <f>IFERROR(($C$15-F154)/I154,"")</f>
        <v>-1.0158461319685501</v>
      </c>
      <c r="L154" s="24" t="str">
        <f>IF(AND(ISNUMBER(K154),N(K154)&gt;0),H154+K154*J154,"")</f>
        <v/>
      </c>
      <c r="M154" s="24">
        <f>IF(ISNUMBER(L154),ABS(L154-$C$16),1000000000)</f>
        <v>1000000000</v>
      </c>
    </row>
    <row r="155" spans="1:13" x14ac:dyDescent="0.3">
      <c r="A155" s="24">
        <f>A154+0.01</f>
        <v>1.2700000000000009</v>
      </c>
      <c r="B155" s="20">
        <f>A155*$C$5</f>
        <v>762.00000000000057</v>
      </c>
      <c r="C155" s="20">
        <f>MIN(0.8*B155,$C$5)</f>
        <v>600</v>
      </c>
      <c r="D155" s="24">
        <f>ACOS(MAX(-1,($C$7-C155)/$C$7))</f>
        <v>3.1415926535897931</v>
      </c>
      <c r="E155" s="20">
        <f>$C$7^2*(D155-SIN(D155)*COS(D155))</f>
        <v>282743.3388230814</v>
      </c>
      <c r="F155" s="24">
        <f>E155/$C$9</f>
        <v>1</v>
      </c>
      <c r="G155" s="16">
        <f>IF(E155&gt;0,2*$C$7^3*SIN(D155)^3/(3*E155),0)</f>
        <v>1.1707017644929472E-46</v>
      </c>
      <c r="H155" s="24">
        <f>F155*G155/$C$5</f>
        <v>1.9511696074882452E-49</v>
      </c>
      <c r="I155" s="24" cm="1">
        <f t="array" ref="I155">_xlfn.LET(_xlpm.x,$B155,_xlpm.dep,$H$6:$H$29,_xlpm.e,IF(_xlpm.x&lt;=$C$5,$C$12*(_xlpm.x-_xlpm.dep)/_xlpm.x,$C$13*(_xlpm.x-_xlpm.dep)/(_xlpm.x-3*$C$5/7))/$C$14,_xlpm.s,(_xlpm.e&gt;=1)*1+(_xlpm.e&lt;=-1)*(-1)+(ABS(_xlpm.e)&lt;1)*_xlpm.e,AVERAGE(_xlpm.s))</f>
        <v>0.77757845863331487</v>
      </c>
      <c r="J155" s="24" cm="1">
        <f t="array" ref="J155">_xlfn.LET(_xlpm.x,$B155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5.8936904119582183E-2</v>
      </c>
      <c r="K155" s="24">
        <f>IFERROR(($C$15-F155)/I155,"")</f>
        <v>-1.0131368744389413</v>
      </c>
      <c r="L155" s="24" t="str">
        <f>IF(AND(ISNUMBER(K155),N(K155)&gt;0),H155+K155*J155,"")</f>
        <v/>
      </c>
      <c r="M155" s="24">
        <f>IF(ISNUMBER(L155),ABS(L155-$C$16),1000000000)</f>
        <v>1000000000</v>
      </c>
    </row>
    <row r="156" spans="1:13" x14ac:dyDescent="0.3">
      <c r="A156" s="24">
        <f>A155+0.01</f>
        <v>1.2800000000000009</v>
      </c>
      <c r="B156" s="20">
        <f>A156*$C$5</f>
        <v>768.00000000000057</v>
      </c>
      <c r="C156" s="20">
        <f>MIN(0.8*B156,$C$5)</f>
        <v>600</v>
      </c>
      <c r="D156" s="24">
        <f>ACOS(MAX(-1,($C$7-C156)/$C$7))</f>
        <v>3.1415926535897931</v>
      </c>
      <c r="E156" s="20">
        <f>$C$7^2*(D156-SIN(D156)*COS(D156))</f>
        <v>282743.3388230814</v>
      </c>
      <c r="F156" s="24">
        <f>E156/$C$9</f>
        <v>1</v>
      </c>
      <c r="G156" s="16">
        <f>IF(E156&gt;0,2*$C$7^3*SIN(D156)^3/(3*E156),0)</f>
        <v>1.1707017644929472E-46</v>
      </c>
      <c r="H156" s="24">
        <f>F156*G156/$C$5</f>
        <v>1.9511696074882452E-49</v>
      </c>
      <c r="I156" s="24" cm="1">
        <f t="array" ref="I156">_xlfn.LET(_xlpm.x,$B156,_xlpm.dep,$H$6:$H$29,_xlpm.e,IF(_xlpm.x&lt;=$C$5,$C$12*(_xlpm.x-_xlpm.dep)/_xlpm.x,$C$13*(_xlpm.x-_xlpm.dep)/(_xlpm.x-3*$C$5/7))/$C$14,_xlpm.s,(_xlpm.e&gt;=1)*1+(_xlpm.e&lt;=-1)*(-1)+(ABS(_xlpm.e)&lt;1)*_xlpm.e,AVERAGE(_xlpm.s))</f>
        <v>0.77960354385070885</v>
      </c>
      <c r="J156" s="24" cm="1">
        <f t="array" ref="J156">_xlfn.LET(_xlpm.x,$B156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5.8350916681155475E-2</v>
      </c>
      <c r="K156" s="24">
        <f>IFERROR(($C$15-F156)/I156,"")</f>
        <v>-1.0105051669206699</v>
      </c>
      <c r="L156" s="24" t="str">
        <f>IF(AND(ISNUMBER(K156),N(K156)&gt;0),H156+K156*J156,"")</f>
        <v/>
      </c>
      <c r="M156" s="24">
        <f>IF(ISNUMBER(L156),ABS(L156-$C$16),1000000000)</f>
        <v>1000000000</v>
      </c>
    </row>
    <row r="157" spans="1:13" x14ac:dyDescent="0.3">
      <c r="A157" s="24">
        <f>A156+0.01</f>
        <v>1.2900000000000009</v>
      </c>
      <c r="B157" s="20">
        <f>A157*$C$5</f>
        <v>774.00000000000057</v>
      </c>
      <c r="C157" s="20">
        <f>MIN(0.8*B157,$C$5)</f>
        <v>600</v>
      </c>
      <c r="D157" s="24">
        <f>ACOS(MAX(-1,($C$7-C157)/$C$7))</f>
        <v>3.1415926535897931</v>
      </c>
      <c r="E157" s="20">
        <f>$C$7^2*(D157-SIN(D157)*COS(D157))</f>
        <v>282743.3388230814</v>
      </c>
      <c r="F157" s="24">
        <f>E157/$C$9</f>
        <v>1</v>
      </c>
      <c r="G157" s="16">
        <f>IF(E157&gt;0,2*$C$7^3*SIN(D157)^3/(3*E157),0)</f>
        <v>1.1707017644929472E-46</v>
      </c>
      <c r="H157" s="24">
        <f>F157*G157/$C$5</f>
        <v>1.9511696074882452E-49</v>
      </c>
      <c r="I157" s="24" cm="1">
        <f t="array" ref="I157">_xlfn.LET(_xlpm.x,$B157,_xlpm.dep,$H$6:$H$29,_xlpm.e,IF(_xlpm.x&lt;=$C$5,$C$12*(_xlpm.x-_xlpm.dep)/_xlpm.x,$C$13*(_xlpm.x-_xlpm.dep)/(_xlpm.x-3*$C$5/7))/$C$14,_xlpm.s,(_xlpm.e&gt;=1)*1+(_xlpm.e&lt;=-1)*(-1)+(ABS(_xlpm.e)&lt;1)*_xlpm.e,AVERAGE(_xlpm.s))</f>
        <v>0.7815816121642164</v>
      </c>
      <c r="J157" s="24" cm="1">
        <f t="array" ref="J157">_xlfn.LET(_xlpm.x,$B157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5.7778534257882951E-2</v>
      </c>
      <c r="K157" s="24">
        <f>IFERROR(($C$15-F157)/I157,"")</f>
        <v>-1.0079477266991854</v>
      </c>
      <c r="L157" s="24" t="str">
        <f>IF(AND(ISNUMBER(K157),N(K157)&gt;0),H157+K157*J157,"")</f>
        <v/>
      </c>
      <c r="M157" s="24">
        <f>IF(ISNUMBER(L157),ABS(L157-$C$16),1000000000)</f>
        <v>1000000000</v>
      </c>
    </row>
    <row r="158" spans="1:13" x14ac:dyDescent="0.3">
      <c r="A158" s="24">
        <f>A157+0.01</f>
        <v>1.3000000000000009</v>
      </c>
      <c r="B158" s="20">
        <f>A158*$C$5</f>
        <v>780.00000000000057</v>
      </c>
      <c r="C158" s="20">
        <f>MIN(0.8*B158,$C$5)</f>
        <v>600</v>
      </c>
      <c r="D158" s="24">
        <f>ACOS(MAX(-1,($C$7-C158)/$C$7))</f>
        <v>3.1415926535897931</v>
      </c>
      <c r="E158" s="20">
        <f>$C$7^2*(D158-SIN(D158)*COS(D158))</f>
        <v>282743.3388230814</v>
      </c>
      <c r="F158" s="24">
        <f>E158/$C$9</f>
        <v>1</v>
      </c>
      <c r="G158" s="16">
        <f>IF(E158&gt;0,2*$C$7^3*SIN(D158)^3/(3*E158),0)</f>
        <v>1.1707017644929472E-46</v>
      </c>
      <c r="H158" s="24">
        <f>F158*G158/$C$5</f>
        <v>1.9511696074882452E-49</v>
      </c>
      <c r="I158" s="24" cm="1">
        <f t="array" ref="I158">_xlfn.LET(_xlpm.x,$B158,_xlpm.dep,$H$6:$H$29,_xlpm.e,IF(_xlpm.x&lt;=$C$5,$C$12*(_xlpm.x-_xlpm.dep)/_xlpm.x,$C$13*(_xlpm.x-_xlpm.dep)/(_xlpm.x-3*$C$5/7))/$C$14,_xlpm.s,(_xlpm.e&gt;=1)*1+(_xlpm.e&lt;=-1)*(-1)+(ABS(_xlpm.e)&lt;1)*_xlpm.e,AVERAGE(_xlpm.s))</f>
        <v>0.78351428218856134</v>
      </c>
      <c r="J158" s="24" cm="1">
        <f t="array" ref="J158">_xlfn.LET(_xlpm.x,$B158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5.7219288480390464E-2</v>
      </c>
      <c r="K158" s="24">
        <f>IFERROR(($C$15-F158)/I158,"")</f>
        <v>-1.0054614537597097</v>
      </c>
      <c r="L158" s="24" t="str">
        <f>IF(AND(ISNUMBER(K158),N(K158)&gt;0),H158+K158*J158,"")</f>
        <v/>
      </c>
      <c r="M158" s="24">
        <f>IF(ISNUMBER(L158),ABS(L158-$C$16),1000000000)</f>
        <v>1000000000</v>
      </c>
    </row>
    <row r="159" spans="1:13" x14ac:dyDescent="0.3">
      <c r="A159" s="24">
        <f>A158+0.01</f>
        <v>1.3100000000000009</v>
      </c>
      <c r="B159" s="20">
        <f>A159*$C$5</f>
        <v>786.00000000000057</v>
      </c>
      <c r="C159" s="20">
        <f>MIN(0.8*B159,$C$5)</f>
        <v>600</v>
      </c>
      <c r="D159" s="24">
        <f>ACOS(MAX(-1,($C$7-C159)/$C$7))</f>
        <v>3.1415926535897931</v>
      </c>
      <c r="E159" s="20">
        <f>$C$7^2*(D159-SIN(D159)*COS(D159))</f>
        <v>282743.3388230814</v>
      </c>
      <c r="F159" s="24">
        <f>E159/$C$9</f>
        <v>1</v>
      </c>
      <c r="G159" s="16">
        <f>IF(E159&gt;0,2*$C$7^3*SIN(D159)^3/(3*E159),0)</f>
        <v>1.1707017644929472E-46</v>
      </c>
      <c r="H159" s="24">
        <f>F159*G159/$C$5</f>
        <v>1.9511696074882452E-49</v>
      </c>
      <c r="I159" s="24" cm="1">
        <f t="array" ref="I159">_xlfn.LET(_xlpm.x,$B159,_xlpm.dep,$H$6:$H$29,_xlpm.e,IF(_xlpm.x&lt;=$C$5,$C$12*(_xlpm.x-_xlpm.dep)/_xlpm.x,$C$13*(_xlpm.x-_xlpm.dep)/(_xlpm.x-3*$C$5/7))/$C$14,_xlpm.s,(_xlpm.e&gt;=1)*1+(_xlpm.e&lt;=-1)*(-1)+(ABS(_xlpm.e)&lt;1)*_xlpm.e,AVERAGE(_xlpm.s))</f>
        <v>0.78540309908431516</v>
      </c>
      <c r="J159" s="24" cm="1">
        <f t="array" ref="J159">_xlfn.LET(_xlpm.x,$B159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5.6672732234315966E-2</v>
      </c>
      <c r="K159" s="24">
        <f>IFERROR(($C$15-F159)/I159,"")</f>
        <v>-1.0030434182514405</v>
      </c>
      <c r="L159" s="24" t="str">
        <f>IF(AND(ISNUMBER(K159),N(K159)&gt;0),H159+K159*J159,"")</f>
        <v/>
      </c>
      <c r="M159" s="24">
        <f>IF(ISNUMBER(L159),ABS(L159-$C$16),1000000000)</f>
        <v>1000000000</v>
      </c>
    </row>
    <row r="160" spans="1:13" x14ac:dyDescent="0.3">
      <c r="A160" s="24">
        <f>A159+0.01</f>
        <v>1.320000000000001</v>
      </c>
      <c r="B160" s="20">
        <f>A160*$C$5</f>
        <v>792.00000000000057</v>
      </c>
      <c r="C160" s="20">
        <f>MIN(0.8*B160,$C$5)</f>
        <v>600</v>
      </c>
      <c r="D160" s="24">
        <f>ACOS(MAX(-1,($C$7-C160)/$C$7))</f>
        <v>3.1415926535897931</v>
      </c>
      <c r="E160" s="20">
        <f>$C$7^2*(D160-SIN(D160)*COS(D160))</f>
        <v>282743.3388230814</v>
      </c>
      <c r="F160" s="24">
        <f>E160/$C$9</f>
        <v>1</v>
      </c>
      <c r="G160" s="16">
        <f>IF(E160&gt;0,2*$C$7^3*SIN(D160)^3/(3*E160),0)</f>
        <v>1.1707017644929472E-46</v>
      </c>
      <c r="H160" s="24">
        <f>F160*G160/$C$5</f>
        <v>1.9511696074882452E-49</v>
      </c>
      <c r="I160" s="24" cm="1">
        <f t="array" ref="I160">_xlfn.LET(_xlpm.x,$B160,_xlpm.dep,$H$6:$H$29,_xlpm.e,IF(_xlpm.x&lt;=$C$5,$C$12*(_xlpm.x-_xlpm.dep)/_xlpm.x,$C$13*(_xlpm.x-_xlpm.dep)/(_xlpm.x-3*$C$5/7))/$C$14,_xlpm.s,(_xlpm.e&gt;=1)*1+(_xlpm.e&lt;=-1)*(-1)+(ABS(_xlpm.e)&lt;1)*_xlpm.e,AVERAGE(_xlpm.s))</f>
        <v>0.78724953867792069</v>
      </c>
      <c r="J160" s="24" cm="1">
        <f t="array" ref="J160">_xlfn.LET(_xlpm.x,$B160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5.6138438468121346E-2</v>
      </c>
      <c r="K160" s="24">
        <f>IFERROR(($C$15-F160)/I160,"")</f>
        <v>-1.0006908489699453</v>
      </c>
      <c r="L160" s="24" t="str">
        <f>IF(AND(ISNUMBER(K160),N(K160)&gt;0),H160+K160*J160,"")</f>
        <v/>
      </c>
      <c r="M160" s="24">
        <f>IF(ISNUMBER(L160),ABS(L160-$C$16),1000000000)</f>
        <v>1000000000</v>
      </c>
    </row>
    <row r="161" spans="1:13" x14ac:dyDescent="0.3">
      <c r="A161" s="24">
        <f>A160+0.01</f>
        <v>1.330000000000001</v>
      </c>
      <c r="B161" s="20">
        <f>A161*$C$5</f>
        <v>798.00000000000057</v>
      </c>
      <c r="C161" s="20">
        <f>MIN(0.8*B161,$C$5)</f>
        <v>600</v>
      </c>
      <c r="D161" s="24">
        <f>ACOS(MAX(-1,($C$7-C161)/$C$7))</f>
        <v>3.1415926535897931</v>
      </c>
      <c r="E161" s="20">
        <f>$C$7^2*(D161-SIN(D161)*COS(D161))</f>
        <v>282743.3388230814</v>
      </c>
      <c r="F161" s="24">
        <f>E161/$C$9</f>
        <v>1</v>
      </c>
      <c r="G161" s="16">
        <f>IF(E161&gt;0,2*$C$7^3*SIN(D161)^3/(3*E161),0)</f>
        <v>1.1707017644929472E-46</v>
      </c>
      <c r="H161" s="24">
        <f>F161*G161/$C$5</f>
        <v>1.9511696074882452E-49</v>
      </c>
      <c r="I161" s="24" cm="1">
        <f t="array" ref="I161">_xlfn.LET(_xlpm.x,$B161,_xlpm.dep,$H$6:$H$29,_xlpm.e,IF(_xlpm.x&lt;=$C$5,$C$12*(_xlpm.x-_xlpm.dep)/_xlpm.x,$C$13*(_xlpm.x-_xlpm.dep)/(_xlpm.x-3*$C$5/7))/$C$14,_xlpm.s,(_xlpm.e&gt;=1)*1+(_xlpm.e&lt;=-1)*(-1)+(ABS(_xlpm.e)&lt;1)*_xlpm.e,AVERAGE(_xlpm.s))</f>
        <v>0.78905501130748412</v>
      </c>
      <c r="J161" s="24" cm="1">
        <f t="array" ref="J161">_xlfn.LET(_xlpm.x,$B161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5.5615999080257494E-2</v>
      </c>
      <c r="K161" s="24">
        <f>IFERROR(($C$15-F161)/I161,"")</f>
        <v>-0.99840112276254689</v>
      </c>
      <c r="L161" s="24" t="str">
        <f>IF(AND(ISNUMBER(K161),N(K161)&gt;0),H161+K161*J161,"")</f>
        <v/>
      </c>
      <c r="M161" s="24">
        <f>IF(ISNUMBER(L161),ABS(L161-$C$16),1000000000)</f>
        <v>1000000000</v>
      </c>
    </row>
    <row r="162" spans="1:13" x14ac:dyDescent="0.3">
      <c r="A162" s="24">
        <f>A161+0.01</f>
        <v>1.340000000000001</v>
      </c>
      <c r="B162" s="20">
        <f>A162*$C$5</f>
        <v>804.00000000000057</v>
      </c>
      <c r="C162" s="20">
        <f>MIN(0.8*B162,$C$5)</f>
        <v>600</v>
      </c>
      <c r="D162" s="24">
        <f>ACOS(MAX(-1,($C$7-C162)/$C$7))</f>
        <v>3.1415926535897931</v>
      </c>
      <c r="E162" s="20">
        <f>$C$7^2*(D162-SIN(D162)*COS(D162))</f>
        <v>282743.3388230814</v>
      </c>
      <c r="F162" s="24">
        <f>E162/$C$9</f>
        <v>1</v>
      </c>
      <c r="G162" s="16">
        <f>IF(E162&gt;0,2*$C$7^3*SIN(D162)^3/(3*E162),0)</f>
        <v>1.1707017644929472E-46</v>
      </c>
      <c r="H162" s="24">
        <f>F162*G162/$C$5</f>
        <v>1.9511696074882452E-49</v>
      </c>
      <c r="I162" s="24" cm="1">
        <f t="array" ref="I162">_xlfn.LET(_xlpm.x,$B162,_xlpm.dep,$H$6:$H$29,_xlpm.e,IF(_xlpm.x&lt;=$C$5,$C$12*(_xlpm.x-_xlpm.dep)/_xlpm.x,$C$13*(_xlpm.x-_xlpm.dep)/(_xlpm.x-3*$C$5/7))/$C$14,_xlpm.s,(_xlpm.e&gt;=1)*1+(_xlpm.e&lt;=-1)*(-1)+(ABS(_xlpm.e)&lt;1)*_xlpm.e,AVERAGE(_xlpm.s))</f>
        <v>0.79082086541539576</v>
      </c>
      <c r="J162" s="24" cm="1">
        <f t="array" ref="J162">_xlfn.LET(_xlpm.x,$B162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5.5105023879588148E-2</v>
      </c>
      <c r="K162" s="24">
        <f>IFERROR(($C$15-F162)/I162,"")</f>
        <v>-0.99617175477154463</v>
      </c>
      <c r="L162" s="24" t="str">
        <f>IF(AND(ISNUMBER(K162),N(K162)&gt;0),H162+K162*J162,"")</f>
        <v/>
      </c>
      <c r="M162" s="24">
        <f>IF(ISNUMBER(L162),ABS(L162-$C$16),1000000000)</f>
        <v>1000000000</v>
      </c>
    </row>
    <row r="163" spans="1:13" x14ac:dyDescent="0.3">
      <c r="A163" s="24">
        <f>A162+0.01</f>
        <v>1.350000000000001</v>
      </c>
      <c r="B163" s="20">
        <f>A163*$C$5</f>
        <v>810.00000000000057</v>
      </c>
      <c r="C163" s="20">
        <f>MIN(0.8*B163,$C$5)</f>
        <v>600</v>
      </c>
      <c r="D163" s="24">
        <f>ACOS(MAX(-1,($C$7-C163)/$C$7))</f>
        <v>3.1415926535897931</v>
      </c>
      <c r="E163" s="20">
        <f>$C$7^2*(D163-SIN(D163)*COS(D163))</f>
        <v>282743.3388230814</v>
      </c>
      <c r="F163" s="24">
        <f>E163/$C$9</f>
        <v>1</v>
      </c>
      <c r="G163" s="16">
        <f>IF(E163&gt;0,2*$C$7^3*SIN(D163)^3/(3*E163),0)</f>
        <v>1.1707017644929472E-46</v>
      </c>
      <c r="H163" s="24">
        <f>F163*G163/$C$5</f>
        <v>1.9511696074882452E-49</v>
      </c>
      <c r="I163" s="24" cm="1">
        <f t="array" ref="I163">_xlfn.LET(_xlpm.x,$B163,_xlpm.dep,$H$6:$H$29,_xlpm.e,IF(_xlpm.x&lt;=$C$5,$C$12*(_xlpm.x-_xlpm.dep)/_xlpm.x,$C$13*(_xlpm.x-_xlpm.dep)/(_xlpm.x-3*$C$5/7))/$C$14,_xlpm.s,(_xlpm.e&gt;=1)*1+(_xlpm.e&lt;=-1)*(-1)+(ABS(_xlpm.e)&lt;1)*_xlpm.e,AVERAGE(_xlpm.s))</f>
        <v>0.79254839090701168</v>
      </c>
      <c r="J163" s="24" cm="1">
        <f t="array" ref="J163">_xlfn.LET(_xlpm.x,$B163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5.4605139613506978E-2</v>
      </c>
      <c r="K163" s="24">
        <f>IFERROR(($C$15-F163)/I163,"")</f>
        <v>-0.99400038943897973</v>
      </c>
      <c r="L163" s="24" t="str">
        <f>IF(AND(ISNUMBER(K163),N(K163)&gt;0),H163+K163*J163,"")</f>
        <v/>
      </c>
      <c r="M163" s="24">
        <f>IF(ISNUMBER(L163),ABS(L163-$C$16),1000000000)</f>
        <v>1000000000</v>
      </c>
    </row>
    <row r="164" spans="1:13" x14ac:dyDescent="0.3">
      <c r="A164" s="24">
        <f>A163+0.01</f>
        <v>1.360000000000001</v>
      </c>
      <c r="B164" s="20">
        <f>A164*$C$5</f>
        <v>816.00000000000057</v>
      </c>
      <c r="C164" s="20">
        <f>MIN(0.8*B164,$C$5)</f>
        <v>600</v>
      </c>
      <c r="D164" s="24">
        <f>ACOS(MAX(-1,($C$7-C164)/$C$7))</f>
        <v>3.1415926535897931</v>
      </c>
      <c r="E164" s="20">
        <f>$C$7^2*(D164-SIN(D164)*COS(D164))</f>
        <v>282743.3388230814</v>
      </c>
      <c r="F164" s="24">
        <f>E164/$C$9</f>
        <v>1</v>
      </c>
      <c r="G164" s="16">
        <f>IF(E164&gt;0,2*$C$7^3*SIN(D164)^3/(3*E164),0)</f>
        <v>1.1707017644929472E-46</v>
      </c>
      <c r="H164" s="24">
        <f>F164*G164/$C$5</f>
        <v>1.9511696074882452E-49</v>
      </c>
      <c r="I164" s="24" cm="1">
        <f t="array" ref="I164">_xlfn.LET(_xlpm.x,$B164,_xlpm.dep,$H$6:$H$29,_xlpm.e,IF(_xlpm.x&lt;=$C$5,$C$12*(_xlpm.x-_xlpm.dep)/_xlpm.x,$C$13*(_xlpm.x-_xlpm.dep)/(_xlpm.x-3*$C$5/7))/$C$14,_xlpm.s,(_xlpm.e&gt;=1)*1+(_xlpm.e&lt;=-1)*(-1)+(ABS(_xlpm.e)&lt;1)*_xlpm.e,AVERAGE(_xlpm.s))</f>
        <v>0.79423882229297915</v>
      </c>
      <c r="J164" s="24" cm="1">
        <f t="array" ref="J164">_xlfn.LET(_xlpm.x,$B164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5.4115989058660691E-2</v>
      </c>
      <c r="K164" s="24">
        <f>IFERROR(($C$15-F164)/I164,"")</f>
        <v>-0.99188479220448478</v>
      </c>
      <c r="L164" s="24" t="str">
        <f>IF(AND(ISNUMBER(K164),N(K164)&gt;0),H164+K164*J164,"")</f>
        <v/>
      </c>
      <c r="M164" s="24">
        <f>IF(ISNUMBER(L164),ABS(L164-$C$16),1000000000)</f>
        <v>1000000000</v>
      </c>
    </row>
    <row r="165" spans="1:13" x14ac:dyDescent="0.3">
      <c r="A165" s="24">
        <f>A164+0.01</f>
        <v>1.370000000000001</v>
      </c>
      <c r="B165" s="20">
        <f>A165*$C$5</f>
        <v>822.00000000000057</v>
      </c>
      <c r="C165" s="20">
        <f>MIN(0.8*B165,$C$5)</f>
        <v>600</v>
      </c>
      <c r="D165" s="24">
        <f>ACOS(MAX(-1,($C$7-C165)/$C$7))</f>
        <v>3.1415926535897931</v>
      </c>
      <c r="E165" s="20">
        <f>$C$7^2*(D165-SIN(D165)*COS(D165))</f>
        <v>282743.3388230814</v>
      </c>
      <c r="F165" s="24">
        <f>E165/$C$9</f>
        <v>1</v>
      </c>
      <c r="G165" s="16">
        <f>IF(E165&gt;0,2*$C$7^3*SIN(D165)^3/(3*E165),0)</f>
        <v>1.1707017644929472E-46</v>
      </c>
      <c r="H165" s="24">
        <f>F165*G165/$C$5</f>
        <v>1.9511696074882452E-49</v>
      </c>
      <c r="I165" s="24" cm="1">
        <f t="array" ref="I165">_xlfn.LET(_xlpm.x,$B165,_xlpm.dep,$H$6:$H$29,_xlpm.e,IF(_xlpm.x&lt;=$C$5,$C$12*(_xlpm.x-_xlpm.dep)/_xlpm.x,$C$13*(_xlpm.x-_xlpm.dep)/(_xlpm.x-3*$C$5/7))/$C$14,_xlpm.s,(_xlpm.e&gt;=1)*1+(_xlpm.e&lt;=-1)*(-1)+(ABS(_xlpm.e)&lt;1)*_xlpm.e,AVERAGE(_xlpm.s))</f>
        <v>0.79589334163129377</v>
      </c>
      <c r="J165" s="24" cm="1">
        <f t="array" ref="J165">_xlfn.LET(_xlpm.x,$B165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5.3637230169622956E-2</v>
      </c>
      <c r="K165" s="24">
        <f>IFERROR(($C$15-F165)/I165,"")</f>
        <v>-0.98982284183470426</v>
      </c>
      <c r="L165" s="24" t="str">
        <f>IF(AND(ISNUMBER(K165),N(K165)&gt;0),H165+K165*J165,"")</f>
        <v/>
      </c>
      <c r="M165" s="24">
        <f>IF(ISNUMBER(L165),ABS(L165-$C$16),1000000000)</f>
        <v>1000000000</v>
      </c>
    </row>
    <row r="166" spans="1:13" x14ac:dyDescent="0.3">
      <c r="A166" s="24">
        <f>A165+0.01</f>
        <v>1.380000000000001</v>
      </c>
      <c r="B166" s="20">
        <f>A166*$C$5</f>
        <v>828.00000000000057</v>
      </c>
      <c r="C166" s="20">
        <f>MIN(0.8*B166,$C$5)</f>
        <v>600</v>
      </c>
      <c r="D166" s="24">
        <f>ACOS(MAX(-1,($C$7-C166)/$C$7))</f>
        <v>3.1415926535897931</v>
      </c>
      <c r="E166" s="20">
        <f>$C$7^2*(D166-SIN(D166)*COS(D166))</f>
        <v>282743.3388230814</v>
      </c>
      <c r="F166" s="24">
        <f>E166/$C$9</f>
        <v>1</v>
      </c>
      <c r="G166" s="16">
        <f>IF(E166&gt;0,2*$C$7^3*SIN(D166)^3/(3*E166),0)</f>
        <v>1.1707017644929472E-46</v>
      </c>
      <c r="H166" s="24">
        <f>F166*G166/$C$5</f>
        <v>1.9511696074882452E-49</v>
      </c>
      <c r="I166" s="24" cm="1">
        <f t="array" ref="I166">_xlfn.LET(_xlpm.x,$B166,_xlpm.dep,$H$6:$H$29,_xlpm.e,IF(_xlpm.x&lt;=$C$5,$C$12*(_xlpm.x-_xlpm.dep)/_xlpm.x,$C$13*(_xlpm.x-_xlpm.dep)/(_xlpm.x-3*$C$5/7))/$C$14,_xlpm.s,(_xlpm.e&gt;=1)*1+(_xlpm.e&lt;=-1)*(-1)+(ABS(_xlpm.e)&lt;1)*_xlpm.e,AVERAGE(_xlpm.s))</f>
        <v>0.79751308128381737</v>
      </c>
      <c r="J166" s="24" cm="1">
        <f t="array" ref="J166">_xlfn.LET(_xlpm.x,$B166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5.3168535281255695E-2</v>
      </c>
      <c r="K166" s="24">
        <f>IFERROR(($C$15-F166)/I166,"")</f>
        <v>-0.98781252332894076</v>
      </c>
      <c r="L166" s="24" t="str">
        <f>IF(AND(ISNUMBER(K166),N(K166)&gt;0),H166+K166*J166,"")</f>
        <v/>
      </c>
      <c r="M166" s="24">
        <f>IF(ISNUMBER(L166),ABS(L166-$C$16),1000000000)</f>
        <v>1000000000</v>
      </c>
    </row>
    <row r="167" spans="1:13" x14ac:dyDescent="0.3">
      <c r="A167" s="24">
        <f>A166+0.01</f>
        <v>1.390000000000001</v>
      </c>
      <c r="B167" s="20">
        <f>A167*$C$5</f>
        <v>834.00000000000057</v>
      </c>
      <c r="C167" s="20">
        <f>MIN(0.8*B167,$C$5)</f>
        <v>600</v>
      </c>
      <c r="D167" s="24">
        <f>ACOS(MAX(-1,($C$7-C167)/$C$7))</f>
        <v>3.1415926535897931</v>
      </c>
      <c r="E167" s="20">
        <f>$C$7^2*(D167-SIN(D167)*COS(D167))</f>
        <v>282743.3388230814</v>
      </c>
      <c r="F167" s="24">
        <f>E167/$C$9</f>
        <v>1</v>
      </c>
      <c r="G167" s="16">
        <f>IF(E167&gt;0,2*$C$7^3*SIN(D167)^3/(3*E167),0)</f>
        <v>1.1707017644929472E-46</v>
      </c>
      <c r="H167" s="24">
        <f>F167*G167/$C$5</f>
        <v>1.9511696074882452E-49</v>
      </c>
      <c r="I167" s="24" cm="1">
        <f t="array" ref="I167">_xlfn.LET(_xlpm.x,$B167,_xlpm.dep,$H$6:$H$29,_xlpm.e,IF(_xlpm.x&lt;=$C$5,$C$12*(_xlpm.x-_xlpm.dep)/_xlpm.x,$C$13*(_xlpm.x-_xlpm.dep)/(_xlpm.x-3*$C$5/7))/$C$14,_xlpm.s,(_xlpm.e&gt;=1)*1+(_xlpm.e&lt;=-1)*(-1)+(ABS(_xlpm.e)&lt;1)*_xlpm.e,AVERAGE(_xlpm.s))</f>
        <v>0.79909912650077641</v>
      </c>
      <c r="J167" s="24" cm="1">
        <f t="array" ref="J167">_xlfn.LET(_xlpm.x,$B167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5.2709590360848532E-2</v>
      </c>
      <c r="K167" s="24">
        <f>IFERROR(($C$15-F167)/I167,"")</f>
        <v>-0.98585192135113775</v>
      </c>
      <c r="L167" s="24" t="str">
        <f>IF(AND(ISNUMBER(K167),N(K167)&gt;0),H167+K167*J167,"")</f>
        <v/>
      </c>
      <c r="M167" s="24">
        <f>IF(ISNUMBER(L167),ABS(L167-$C$16),1000000000)</f>
        <v>1000000000</v>
      </c>
    </row>
    <row r="168" spans="1:13" x14ac:dyDescent="0.3">
      <c r="A168" s="24">
        <f>A167+0.01</f>
        <v>1.400000000000001</v>
      </c>
      <c r="B168" s="20">
        <f>A168*$C$5</f>
        <v>840.00000000000057</v>
      </c>
      <c r="C168" s="20">
        <f>MIN(0.8*B168,$C$5)</f>
        <v>600</v>
      </c>
      <c r="D168" s="24">
        <f>ACOS(MAX(-1,($C$7-C168)/$C$7))</f>
        <v>3.1415926535897931</v>
      </c>
      <c r="E168" s="20">
        <f>$C$7^2*(D168-SIN(D168)*COS(D168))</f>
        <v>282743.3388230814</v>
      </c>
      <c r="F168" s="24">
        <f>E168/$C$9</f>
        <v>1</v>
      </c>
      <c r="G168" s="16">
        <f>IF(E168&gt;0,2*$C$7^3*SIN(D168)^3/(3*E168),0)</f>
        <v>1.1707017644929472E-46</v>
      </c>
      <c r="H168" s="24">
        <f>F168*G168/$C$5</f>
        <v>1.9511696074882452E-49</v>
      </c>
      <c r="I168" s="24" cm="1">
        <f t="array" ref="I168">_xlfn.LET(_xlpm.x,$B168,_xlpm.dep,$H$6:$H$29,_xlpm.e,IF(_xlpm.x&lt;=$C$5,$C$12*(_xlpm.x-_xlpm.dep)/_xlpm.x,$C$13*(_xlpm.x-_xlpm.dep)/(_xlpm.x-3*$C$5/7))/$C$14,_xlpm.s,(_xlpm.e&gt;=1)*1+(_xlpm.e&lt;=-1)*(-1)+(ABS(_xlpm.e)&lt;1)*_xlpm.e,AVERAGE(_xlpm.s))</f>
        <v>0.8006525178456213</v>
      </c>
      <c r="J168" s="24" cm="1">
        <f t="array" ref="J168">_xlfn.LET(_xlpm.x,$B168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5.2260094306449734E-2</v>
      </c>
      <c r="K168" s="24">
        <f>IFERROR(($C$15-F168)/I168,"")</f>
        <v>-0.98393921414321406</v>
      </c>
      <c r="L168" s="24" t="str">
        <f>IF(AND(ISNUMBER(K168),N(K168)&gt;0),H168+K168*J168,"")</f>
        <v/>
      </c>
      <c r="M168" s="24">
        <f>IF(ISNUMBER(L168),ABS(L168-$C$16),1000000000)</f>
        <v>1000000000</v>
      </c>
    </row>
    <row r="169" spans="1:13" x14ac:dyDescent="0.3">
      <c r="A169" s="24">
        <f>A168+0.01</f>
        <v>1.410000000000001</v>
      </c>
      <c r="B169" s="20">
        <f>A169*$C$5</f>
        <v>846.00000000000057</v>
      </c>
      <c r="C169" s="20">
        <f>MIN(0.8*B169,$C$5)</f>
        <v>600</v>
      </c>
      <c r="D169" s="24">
        <f>ACOS(MAX(-1,($C$7-C169)/$C$7))</f>
        <v>3.1415926535897931</v>
      </c>
      <c r="E169" s="20">
        <f>$C$7^2*(D169-SIN(D169)*COS(D169))</f>
        <v>282743.3388230814</v>
      </c>
      <c r="F169" s="24">
        <f>E169/$C$9</f>
        <v>1</v>
      </c>
      <c r="G169" s="16">
        <f>IF(E169&gt;0,2*$C$7^3*SIN(D169)^3/(3*E169),0)</f>
        <v>1.1707017644929472E-46</v>
      </c>
      <c r="H169" s="24">
        <f>F169*G169/$C$5</f>
        <v>1.9511696074882452E-49</v>
      </c>
      <c r="I169" s="24" cm="1">
        <f t="array" ref="I169">_xlfn.LET(_xlpm.x,$B169,_xlpm.dep,$H$6:$H$29,_xlpm.e,IF(_xlpm.x&lt;=$C$5,$C$12*(_xlpm.x-_xlpm.dep)/_xlpm.x,$C$13*(_xlpm.x-_xlpm.dep)/(_xlpm.x-3*$C$5/7))/$C$14,_xlpm.s,(_xlpm.e&gt;=1)*1+(_xlpm.e&lt;=-1)*(-1)+(ABS(_xlpm.e)&lt;1)*_xlpm.e,AVERAGE(_xlpm.s))</f>
        <v>0.80217425347164839</v>
      </c>
      <c r="J169" s="24" cm="1">
        <f t="array" ref="J169">_xlfn.LET(_xlpm.x,$B169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5.1819758288094014E-2</v>
      </c>
      <c r="K169" s="24">
        <f>IFERROR(($C$15-F169)/I169,"")</f>
        <v>-0.9820726678790741</v>
      </c>
      <c r="L169" s="24" t="str">
        <f>IF(AND(ISNUMBER(K169),N(K169)&gt;0),H169+K169*J169,"")</f>
        <v/>
      </c>
      <c r="M169" s="24">
        <f>IF(ISNUMBER(L169),ABS(L169-$C$16),1000000000)</f>
        <v>1000000000</v>
      </c>
    </row>
    <row r="170" spans="1:13" x14ac:dyDescent="0.3">
      <c r="A170" s="24">
        <f>A169+0.01</f>
        <v>1.420000000000001</v>
      </c>
      <c r="B170" s="20">
        <f>A170*$C$5</f>
        <v>852.00000000000057</v>
      </c>
      <c r="C170" s="20">
        <f>MIN(0.8*B170,$C$5)</f>
        <v>600</v>
      </c>
      <c r="D170" s="24">
        <f>ACOS(MAX(-1,($C$7-C170)/$C$7))</f>
        <v>3.1415926535897931</v>
      </c>
      <c r="E170" s="20">
        <f>$C$7^2*(D170-SIN(D170)*COS(D170))</f>
        <v>282743.3388230814</v>
      </c>
      <c r="F170" s="24">
        <f>E170/$C$9</f>
        <v>1</v>
      </c>
      <c r="G170" s="16">
        <f>IF(E170&gt;0,2*$C$7^3*SIN(D170)^3/(3*E170),0)</f>
        <v>1.1707017644929472E-46</v>
      </c>
      <c r="H170" s="24">
        <f>F170*G170/$C$5</f>
        <v>1.9511696074882452E-49</v>
      </c>
      <c r="I170" s="24" cm="1">
        <f t="array" ref="I170">_xlfn.LET(_xlpm.x,$B170,_xlpm.dep,$H$6:$H$29,_xlpm.e,IF(_xlpm.x&lt;=$C$5,$C$12*(_xlpm.x-_xlpm.dep)/_xlpm.x,$C$13*(_xlpm.x-_xlpm.dep)/(_xlpm.x-3*$C$5/7))/$C$14,_xlpm.s,(_xlpm.e&gt;=1)*1+(_xlpm.e&lt;=-1)*(-1)+(ABS(_xlpm.e)&lt;1)*_xlpm.e,AVERAGE(_xlpm.s))</f>
        <v>0.80366529126083908</v>
      </c>
      <c r="J170" s="24" cm="1">
        <f t="array" ref="J170">_xlfn.LET(_xlpm.x,$B170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5.1388305128898179E-2</v>
      </c>
      <c r="K170" s="24">
        <f>IFERROR(($C$15-F170)/I170,"")</f>
        <v>-0.98025063142252666</v>
      </c>
      <c r="L170" s="24" t="str">
        <f>IF(AND(ISNUMBER(K170),N(K170)&gt;0),H170+K170*J170,"")</f>
        <v/>
      </c>
      <c r="M170" s="24">
        <f>IF(ISNUMBER(L170),ABS(L170-$C$16),1000000000)</f>
        <v>1000000000</v>
      </c>
    </row>
    <row r="171" spans="1:13" x14ac:dyDescent="0.3">
      <c r="A171" s="24">
        <f>A170+0.01</f>
        <v>1.430000000000001</v>
      </c>
      <c r="B171" s="20">
        <f>A171*$C$5</f>
        <v>858.00000000000068</v>
      </c>
      <c r="C171" s="20">
        <f>MIN(0.8*B171,$C$5)</f>
        <v>600</v>
      </c>
      <c r="D171" s="24">
        <f>ACOS(MAX(-1,($C$7-C171)/$C$7))</f>
        <v>3.1415926535897931</v>
      </c>
      <c r="E171" s="20">
        <f>$C$7^2*(D171-SIN(D171)*COS(D171))</f>
        <v>282743.3388230814</v>
      </c>
      <c r="F171" s="24">
        <f>E171/$C$9</f>
        <v>1</v>
      </c>
      <c r="G171" s="16">
        <f>IF(E171&gt;0,2*$C$7^3*SIN(D171)^3/(3*E171),0)</f>
        <v>1.1707017644929472E-46</v>
      </c>
      <c r="H171" s="24">
        <f>F171*G171/$C$5</f>
        <v>1.9511696074882452E-49</v>
      </c>
      <c r="I171" s="24" cm="1">
        <f t="array" ref="I171">_xlfn.LET(_xlpm.x,$B171,_xlpm.dep,$H$6:$H$29,_xlpm.e,IF(_xlpm.x&lt;=$C$5,$C$12*(_xlpm.x-_xlpm.dep)/_xlpm.x,$C$13*(_xlpm.x-_xlpm.dep)/(_xlpm.x-3*$C$5/7))/$C$14,_xlpm.s,(_xlpm.e&gt;=1)*1+(_xlpm.e&lt;=-1)*(-1)+(ABS(_xlpm.e)&lt;1)*_xlpm.e,AVERAGE(_xlpm.s))</f>
        <v>0.80512655083455409</v>
      </c>
      <c r="J171" s="24" cm="1">
        <f t="array" ref="J171">_xlfn.LET(_xlpm.x,$B171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5.0965468723238386E-2</v>
      </c>
      <c r="K171" s="24">
        <f>IFERROR(($C$15-F171)/I171,"")</f>
        <v>-0.9784715314557928</v>
      </c>
      <c r="L171" s="24" t="str">
        <f>IF(AND(ISNUMBER(K171),N(K171)&gt;0),H171+K171*J171,"")</f>
        <v/>
      </c>
      <c r="M171" s="24">
        <f>IF(ISNUMBER(L171),ABS(L171-$C$16),1000000000)</f>
        <v>1000000000</v>
      </c>
    </row>
    <row r="172" spans="1:13" x14ac:dyDescent="0.3">
      <c r="A172" s="24">
        <f>A171+0.01</f>
        <v>1.4400000000000011</v>
      </c>
      <c r="B172" s="20">
        <f>A172*$C$5</f>
        <v>864.00000000000068</v>
      </c>
      <c r="C172" s="20">
        <f>MIN(0.8*B172,$C$5)</f>
        <v>600</v>
      </c>
      <c r="D172" s="24">
        <f>ACOS(MAX(-1,($C$7-C172)/$C$7))</f>
        <v>3.1415926535897931</v>
      </c>
      <c r="E172" s="20">
        <f>$C$7^2*(D172-SIN(D172)*COS(D172))</f>
        <v>282743.3388230814</v>
      </c>
      <c r="F172" s="24">
        <f>E172/$C$9</f>
        <v>1</v>
      </c>
      <c r="G172" s="16">
        <f>IF(E172&gt;0,2*$C$7^3*SIN(D172)^3/(3*E172),0)</f>
        <v>1.1707017644929472E-46</v>
      </c>
      <c r="H172" s="24">
        <f>F172*G172/$C$5</f>
        <v>1.9511696074882452E-49</v>
      </c>
      <c r="I172" s="24" cm="1">
        <f t="array" ref="I172">_xlfn.LET(_xlpm.x,$B172,_xlpm.dep,$H$6:$H$29,_xlpm.e,IF(_xlpm.x&lt;=$C$5,$C$12*(_xlpm.x-_xlpm.dep)/_xlpm.x,$C$13*(_xlpm.x-_xlpm.dep)/(_xlpm.x-3*$C$5/7))/$C$14,_xlpm.s,(_xlpm.e&gt;=1)*1+(_xlpm.e&lt;=-1)*(-1)+(ABS(_xlpm.e)&lt;1)*_xlpm.e,AVERAGE(_xlpm.s))</f>
        <v>0.80655891544494696</v>
      </c>
      <c r="J172" s="24" cm="1">
        <f t="array" ref="J172">_xlfn.LET(_xlpm.x,$B172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5.055099348944192E-2</v>
      </c>
      <c r="K172" s="24">
        <f>IFERROR(($C$15-F172)/I172,"")</f>
        <v>-0.97673386794839601</v>
      </c>
      <c r="L172" s="24" t="str">
        <f>IF(AND(ISNUMBER(K172),N(K172)&gt;0),H172+K172*J172,"")</f>
        <v/>
      </c>
      <c r="M172" s="24">
        <f>IF(ISNUMBER(L172),ABS(L172-$C$16),1000000000)</f>
        <v>1000000000</v>
      </c>
    </row>
    <row r="173" spans="1:13" x14ac:dyDescent="0.3">
      <c r="A173" s="24">
        <f>A172+0.01</f>
        <v>1.4500000000000011</v>
      </c>
      <c r="B173" s="20">
        <f>A173*$C$5</f>
        <v>870.00000000000068</v>
      </c>
      <c r="C173" s="20">
        <f>MIN(0.8*B173,$C$5)</f>
        <v>600</v>
      </c>
      <c r="D173" s="24">
        <f>ACOS(MAX(-1,($C$7-C173)/$C$7))</f>
        <v>3.1415926535897931</v>
      </c>
      <c r="E173" s="20">
        <f>$C$7^2*(D173-SIN(D173)*COS(D173))</f>
        <v>282743.3388230814</v>
      </c>
      <c r="F173" s="24">
        <f>E173/$C$9</f>
        <v>1</v>
      </c>
      <c r="G173" s="16">
        <f>IF(E173&gt;0,2*$C$7^3*SIN(D173)^3/(3*E173),0)</f>
        <v>1.1707017644929472E-46</v>
      </c>
      <c r="H173" s="24">
        <f>F173*G173/$C$5</f>
        <v>1.9511696074882452E-49</v>
      </c>
      <c r="I173" s="24" cm="1">
        <f t="array" ref="I173">_xlfn.LET(_xlpm.x,$B173,_xlpm.dep,$H$6:$H$29,_xlpm.e,IF(_xlpm.x&lt;=$C$5,$C$12*(_xlpm.x-_xlpm.dep)/_xlpm.x,$C$13*(_xlpm.x-_xlpm.dep)/(_xlpm.x-3*$C$5/7))/$C$14,_xlpm.s,(_xlpm.e&gt;=1)*1+(_xlpm.e&lt;=-1)*(-1)+(ABS(_xlpm.e)&lt;1)*_xlpm.e,AVERAGE(_xlpm.s))</f>
        <v>0.80796323375527612</v>
      </c>
      <c r="J173" s="24" cm="1">
        <f t="array" ref="J173">_xlfn.LET(_xlpm.x,$B173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5.0144633854628876E-2</v>
      </c>
      <c r="K173" s="24">
        <f>IFERROR(($C$15-F173)/I173,"")</f>
        <v>-0.97503620993900442</v>
      </c>
      <c r="L173" s="24" t="str">
        <f>IF(AND(ISNUMBER(K173),N(K173)&gt;0),H173+K173*J173,"")</f>
        <v/>
      </c>
      <c r="M173" s="24">
        <f>IF(ISNUMBER(L173),ABS(L173-$C$16),1000000000)</f>
        <v>1000000000</v>
      </c>
    </row>
    <row r="174" spans="1:13" x14ac:dyDescent="0.3">
      <c r="A174" s="24">
        <f>A173+0.01</f>
        <v>1.4600000000000011</v>
      </c>
      <c r="B174" s="20">
        <f>A174*$C$5</f>
        <v>876.00000000000068</v>
      </c>
      <c r="C174" s="20">
        <f>MIN(0.8*B174,$C$5)</f>
        <v>600</v>
      </c>
      <c r="D174" s="24">
        <f>ACOS(MAX(-1,($C$7-C174)/$C$7))</f>
        <v>3.1415926535897931</v>
      </c>
      <c r="E174" s="20">
        <f>$C$7^2*(D174-SIN(D174)*COS(D174))</f>
        <v>282743.3388230814</v>
      </c>
      <c r="F174" s="24">
        <f>E174/$C$9</f>
        <v>1</v>
      </c>
      <c r="G174" s="16">
        <f>IF(E174&gt;0,2*$C$7^3*SIN(D174)^3/(3*E174),0)</f>
        <v>1.1707017644929472E-46</v>
      </c>
      <c r="H174" s="24">
        <f>F174*G174/$C$5</f>
        <v>1.9511696074882452E-49</v>
      </c>
      <c r="I174" s="24" cm="1">
        <f t="array" ref="I174">_xlfn.LET(_xlpm.x,$B174,_xlpm.dep,$H$6:$H$29,_xlpm.e,IF(_xlpm.x&lt;=$C$5,$C$12*(_xlpm.x-_xlpm.dep)/_xlpm.x,$C$13*(_xlpm.x-_xlpm.dep)/(_xlpm.x-3*$C$5/7))/$C$14,_xlpm.s,(_xlpm.e&gt;=1)*1+(_xlpm.e&lt;=-1)*(-1)+(ABS(_xlpm.e)&lt;1)*_xlpm.e,AVERAGE(_xlpm.s))</f>
        <v>0.80934032151665158</v>
      </c>
      <c r="J174" s="24" cm="1">
        <f t="array" ref="J174">_xlfn.LET(_xlpm.x,$B174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4.9746153769521344E-2</v>
      </c>
      <c r="K174" s="24">
        <f>IFERROR(($C$15-F174)/I174,"")</f>
        <v>-0.97337719160529679</v>
      </c>
      <c r="L174" s="24" t="str">
        <f>IF(AND(ISNUMBER(K174),N(K174)&gt;0),H174+K174*J174,"")</f>
        <v/>
      </c>
      <c r="M174" s="24">
        <f>IF(ISNUMBER(L174),ABS(L174-$C$16),1000000000)</f>
        <v>1000000000</v>
      </c>
    </row>
    <row r="175" spans="1:13" x14ac:dyDescent="0.3">
      <c r="A175" s="24">
        <f>A174+0.01</f>
        <v>1.4700000000000011</v>
      </c>
      <c r="B175" s="20">
        <f>A175*$C$5</f>
        <v>882.00000000000068</v>
      </c>
      <c r="C175" s="20">
        <f>MIN(0.8*B175,$C$5)</f>
        <v>600</v>
      </c>
      <c r="D175" s="24">
        <f>ACOS(MAX(-1,($C$7-C175)/$C$7))</f>
        <v>3.1415926535897931</v>
      </c>
      <c r="E175" s="20">
        <f>$C$7^2*(D175-SIN(D175)*COS(D175))</f>
        <v>282743.3388230814</v>
      </c>
      <c r="F175" s="24">
        <f>E175/$C$9</f>
        <v>1</v>
      </c>
      <c r="G175" s="16">
        <f>IF(E175&gt;0,2*$C$7^3*SIN(D175)^3/(3*E175),0)</f>
        <v>1.1707017644929472E-46</v>
      </c>
      <c r="H175" s="24">
        <f>F175*G175/$C$5</f>
        <v>1.9511696074882452E-49</v>
      </c>
      <c r="I175" s="24" cm="1">
        <f t="array" ref="I175">_xlfn.LET(_xlpm.x,$B175,_xlpm.dep,$H$6:$H$29,_xlpm.e,IF(_xlpm.x&lt;=$C$5,$C$12*(_xlpm.x-_xlpm.dep)/_xlpm.x,$C$13*(_xlpm.x-_xlpm.dep)/(_xlpm.x-3*$C$5/7))/$C$14,_xlpm.s,(_xlpm.e&gt;=1)*1+(_xlpm.e&lt;=-1)*(-1)+(ABS(_xlpm.e)&lt;1)*_xlpm.e,AVERAGE(_xlpm.s))</f>
        <v>0.81069096314817879</v>
      </c>
      <c r="J175" s="24" cm="1">
        <f t="array" ref="J175">_xlfn.LET(_xlpm.x,$B175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4.9355326251205991E-2</v>
      </c>
      <c r="K175" s="24">
        <f>IFERROR(($C$15-F175)/I175,"")</f>
        <v>-0.97175550859916615</v>
      </c>
      <c r="L175" s="24" t="str">
        <f>IF(AND(ISNUMBER(K175),N(K175)&gt;0),H175+K175*J175,"")</f>
        <v/>
      </c>
      <c r="M175" s="24">
        <f>IF(ISNUMBER(L175),ABS(L175-$C$16),1000000000)</f>
        <v>1000000000</v>
      </c>
    </row>
    <row r="176" spans="1:13" x14ac:dyDescent="0.3">
      <c r="A176" s="24">
        <f>A175+0.01</f>
        <v>1.4800000000000011</v>
      </c>
      <c r="B176" s="20">
        <f>A176*$C$5</f>
        <v>888.00000000000068</v>
      </c>
      <c r="C176" s="20">
        <f>MIN(0.8*B176,$C$5)</f>
        <v>600</v>
      </c>
      <c r="D176" s="24">
        <f>ACOS(MAX(-1,($C$7-C176)/$C$7))</f>
        <v>3.1415926535897931</v>
      </c>
      <c r="E176" s="20">
        <f>$C$7^2*(D176-SIN(D176)*COS(D176))</f>
        <v>282743.3388230814</v>
      </c>
      <c r="F176" s="24">
        <f>E176/$C$9</f>
        <v>1</v>
      </c>
      <c r="G176" s="16">
        <f>IF(E176&gt;0,2*$C$7^3*SIN(D176)^3/(3*E176),0)</f>
        <v>1.1707017644929472E-46</v>
      </c>
      <c r="H176" s="24">
        <f>F176*G176/$C$5</f>
        <v>1.9511696074882452E-49</v>
      </c>
      <c r="I176" s="24" cm="1">
        <f t="array" ref="I176">_xlfn.LET(_xlpm.x,$B176,_xlpm.dep,$H$6:$H$29,_xlpm.e,IF(_xlpm.x&lt;=$C$5,$C$12*(_xlpm.x-_xlpm.dep)/_xlpm.x,$C$13*(_xlpm.x-_xlpm.dep)/(_xlpm.x-3*$C$5/7))/$C$14,_xlpm.s,(_xlpm.e&gt;=1)*1+(_xlpm.e&lt;=-1)*(-1)+(ABS(_xlpm.e)&lt;1)*_xlpm.e,AVERAGE(_xlpm.s))</f>
        <v>0.81201591322693256</v>
      </c>
      <c r="J176" s="24" cm="1">
        <f t="array" ref="J176">_xlfn.LET(_xlpm.x,$B176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4.8971932951989032E-2</v>
      </c>
      <c r="K176" s="24">
        <f>IFERROR(($C$15-F176)/I176,"")</f>
        <v>-0.97016991462659075</v>
      </c>
      <c r="L176" s="24" t="str">
        <f>IF(AND(ISNUMBER(K176),N(K176)&gt;0),H176+K176*J176,"")</f>
        <v/>
      </c>
      <c r="M176" s="24">
        <f>IF(ISNUMBER(L176),ABS(L176-$C$16),1000000000)</f>
        <v>1000000000</v>
      </c>
    </row>
    <row r="177" spans="1:13" x14ac:dyDescent="0.3">
      <c r="A177" s="24">
        <f>A176+0.01</f>
        <v>1.4900000000000011</v>
      </c>
      <c r="B177" s="20">
        <f>A177*$C$5</f>
        <v>894.00000000000068</v>
      </c>
      <c r="C177" s="20">
        <f>MIN(0.8*B177,$C$5)</f>
        <v>600</v>
      </c>
      <c r="D177" s="24">
        <f>ACOS(MAX(-1,($C$7-C177)/$C$7))</f>
        <v>3.1415926535897931</v>
      </c>
      <c r="E177" s="20">
        <f>$C$7^2*(D177-SIN(D177)*COS(D177))</f>
        <v>282743.3388230814</v>
      </c>
      <c r="F177" s="24">
        <f>E177/$C$9</f>
        <v>1</v>
      </c>
      <c r="G177" s="16">
        <f>IF(E177&gt;0,2*$C$7^3*SIN(D177)^3/(3*E177),0)</f>
        <v>1.1707017644929472E-46</v>
      </c>
      <c r="H177" s="24">
        <f>F177*G177/$C$5</f>
        <v>1.9511696074882452E-49</v>
      </c>
      <c r="I177" s="24" cm="1">
        <f t="array" ref="I177">_xlfn.LET(_xlpm.x,$B177,_xlpm.dep,$H$6:$H$29,_xlpm.e,IF(_xlpm.x&lt;=$C$5,$C$12*(_xlpm.x-_xlpm.dep)/_xlpm.x,$C$13*(_xlpm.x-_xlpm.dep)/(_xlpm.x-3*$C$5/7))/$C$14,_xlpm.s,(_xlpm.e&gt;=1)*1+(_xlpm.e&lt;=-1)*(-1)+(ABS(_xlpm.e)&lt;1)*_xlpm.e,AVERAGE(_xlpm.s))</f>
        <v>0.81331589789370451</v>
      </c>
      <c r="J177" s="24" cm="1">
        <f t="array" ref="J177">_xlfn.LET(_xlpm.x,$B177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4.8595763752622742E-2</v>
      </c>
      <c r="K177" s="24">
        <f>IFERROR(($C$15-F177)/I177,"")</f>
        <v>-0.9686192182533313</v>
      </c>
      <c r="L177" s="24" t="str">
        <f>IF(AND(ISNUMBER(K177),N(K177)&gt;0),H177+K177*J177,"")</f>
        <v/>
      </c>
      <c r="M177" s="24">
        <f>IF(ISNUMBER(L177),ABS(L177-$C$16),1000000000)</f>
        <v>1000000000</v>
      </c>
    </row>
    <row r="178" spans="1:13" x14ac:dyDescent="0.3">
      <c r="A178" s="24">
        <f>A177+0.01</f>
        <v>1.5000000000000011</v>
      </c>
      <c r="B178" s="20">
        <f>A178*$C$5</f>
        <v>900.00000000000068</v>
      </c>
      <c r="C178" s="20">
        <f>MIN(0.8*B178,$C$5)</f>
        <v>600</v>
      </c>
      <c r="D178" s="24">
        <f>ACOS(MAX(-1,($C$7-C178)/$C$7))</f>
        <v>3.1415926535897931</v>
      </c>
      <c r="E178" s="20">
        <f>$C$7^2*(D178-SIN(D178)*COS(D178))</f>
        <v>282743.3388230814</v>
      </c>
      <c r="F178" s="24">
        <f>E178/$C$9</f>
        <v>1</v>
      </c>
      <c r="G178" s="16">
        <f>IF(E178&gt;0,2*$C$7^3*SIN(D178)^3/(3*E178),0)</f>
        <v>1.1707017644929472E-46</v>
      </c>
      <c r="H178" s="24">
        <f>F178*G178/$C$5</f>
        <v>1.9511696074882452E-49</v>
      </c>
      <c r="I178" s="24" cm="1">
        <f t="array" ref="I178">_xlfn.LET(_xlpm.x,$B178,_xlpm.dep,$H$6:$H$29,_xlpm.e,IF(_xlpm.x&lt;=$C$5,$C$12*(_xlpm.x-_xlpm.dep)/_xlpm.x,$C$13*(_xlpm.x-_xlpm.dep)/(_xlpm.x-3*$C$5/7))/$C$14,_xlpm.s,(_xlpm.e&gt;=1)*1+(_xlpm.e&lt;=-1)*(-1)+(ABS(_xlpm.e)&lt;1)*_xlpm.e,AVERAGE(_xlpm.s))</f>
        <v>0.81459161618003006</v>
      </c>
      <c r="J178" s="24" cm="1">
        <f t="array" ref="J178">_xlfn.LET(_xlpm.x,$B178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4.8226616378311271E-2</v>
      </c>
      <c r="K178" s="24">
        <f>IFERROR(($C$15-F178)/I178,"")</f>
        <v>-0.96710227991924091</v>
      </c>
      <c r="L178" s="24" t="str">
        <f>IF(AND(ISNUMBER(K178),N(K178)&gt;0),H178+K178*J178,"")</f>
        <v/>
      </c>
      <c r="M178" s="24">
        <f>IF(ISNUMBER(L178),ABS(L178-$C$16),1000000000)</f>
        <v>1000000000</v>
      </c>
    </row>
    <row r="179" spans="1:13" x14ac:dyDescent="0.3">
      <c r="A179" s="24">
        <f>A178+0.01</f>
        <v>1.5100000000000011</v>
      </c>
      <c r="B179" s="20">
        <f>A179*$C$5</f>
        <v>906.00000000000068</v>
      </c>
      <c r="C179" s="20">
        <f>MIN(0.8*B179,$C$5)</f>
        <v>600</v>
      </c>
      <c r="D179" s="24">
        <f>ACOS(MAX(-1,($C$7-C179)/$C$7))</f>
        <v>3.1415926535897931</v>
      </c>
      <c r="E179" s="20">
        <f>$C$7^2*(D179-SIN(D179)*COS(D179))</f>
        <v>282743.3388230814</v>
      </c>
      <c r="F179" s="24">
        <f>E179/$C$9</f>
        <v>1</v>
      </c>
      <c r="G179" s="16">
        <f>IF(E179&gt;0,2*$C$7^3*SIN(D179)^3/(3*E179),0)</f>
        <v>1.1707017644929472E-46</v>
      </c>
      <c r="H179" s="24">
        <f>F179*G179/$C$5</f>
        <v>1.9511696074882452E-49</v>
      </c>
      <c r="I179" s="24" cm="1">
        <f t="array" ref="I179">_xlfn.LET(_xlpm.x,$B179,_xlpm.dep,$H$6:$H$29,_xlpm.e,IF(_xlpm.x&lt;=$C$5,$C$12*(_xlpm.x-_xlpm.dep)/_xlpm.x,$C$13*(_xlpm.x-_xlpm.dep)/(_xlpm.x-3*$C$5/7))/$C$14,_xlpm.s,(_xlpm.e&gt;=1)*1+(_xlpm.e&lt;=-1)*(-1)+(ABS(_xlpm.e)&lt;1)*_xlpm.e,AVERAGE(_xlpm.s))</f>
        <v>0.81584374126158854</v>
      </c>
      <c r="J179" s="24" cm="1">
        <f t="array" ref="J179">_xlfn.LET(_xlpm.x,$B179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4.7864296036021423E-2</v>
      </c>
      <c r="K179" s="24">
        <f>IFERROR(($C$15-F179)/I179,"")</f>
        <v>-0.96561800914546914</v>
      </c>
      <c r="L179" s="24" t="str">
        <f>IF(AND(ISNUMBER(K179),N(K179)&gt;0),H179+K179*J179,"")</f>
        <v/>
      </c>
      <c r="M179" s="24">
        <f>IF(ISNUMBER(L179),ABS(L179-$C$16),1000000000)</f>
        <v>1000000000</v>
      </c>
    </row>
    <row r="180" spans="1:13" x14ac:dyDescent="0.3">
      <c r="A180" s="24">
        <f>A179+0.01</f>
        <v>1.5200000000000011</v>
      </c>
      <c r="B180" s="20">
        <f>A180*$C$5</f>
        <v>912.00000000000068</v>
      </c>
      <c r="C180" s="20">
        <f>MIN(0.8*B180,$C$5)</f>
        <v>600</v>
      </c>
      <c r="D180" s="24">
        <f>ACOS(MAX(-1,($C$7-C180)/$C$7))</f>
        <v>3.1415926535897931</v>
      </c>
      <c r="E180" s="20">
        <f>$C$7^2*(D180-SIN(D180)*COS(D180))</f>
        <v>282743.3388230814</v>
      </c>
      <c r="F180" s="24">
        <f>E180/$C$9</f>
        <v>1</v>
      </c>
      <c r="G180" s="16">
        <f>IF(E180&gt;0,2*$C$7^3*SIN(D180)^3/(3*E180),0)</f>
        <v>1.1707017644929472E-46</v>
      </c>
      <c r="H180" s="24">
        <f>F180*G180/$C$5</f>
        <v>1.9511696074882452E-49</v>
      </c>
      <c r="I180" s="24" cm="1">
        <f t="array" ref="I180">_xlfn.LET(_xlpm.x,$B180,_xlpm.dep,$H$6:$H$29,_xlpm.e,IF(_xlpm.x&lt;=$C$5,$C$12*(_xlpm.x-_xlpm.dep)/_xlpm.x,$C$13*(_xlpm.x-_xlpm.dep)/(_xlpm.x-3*$C$5/7))/$C$14,_xlpm.s,(_xlpm.e&gt;=1)*1+(_xlpm.e&lt;=-1)*(-1)+(ABS(_xlpm.e)&lt;1)*_xlpm.e,AVERAGE(_xlpm.s))</f>
        <v>0.81707292164269951</v>
      </c>
      <c r="J180" s="24" cm="1">
        <f t="array" ref="J180">_xlfn.LET(_xlpm.x,$B180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4.7508615071731652E-2</v>
      </c>
      <c r="K180" s="24">
        <f>IFERROR(($C$15-F180)/I180,"")</f>
        <v>-0.96416536192017277</v>
      </c>
      <c r="L180" s="24" t="str">
        <f>IF(AND(ISNUMBER(K180),N(K180)&gt;0),H180+K180*J180,"")</f>
        <v/>
      </c>
      <c r="M180" s="24">
        <f>IF(ISNUMBER(L180),ABS(L180-$C$16),1000000000)</f>
        <v>1000000000</v>
      </c>
    </row>
    <row r="181" spans="1:13" x14ac:dyDescent="0.3">
      <c r="A181" s="24">
        <f>A180+0.01</f>
        <v>1.5300000000000011</v>
      </c>
      <c r="B181" s="20">
        <f>A181*$C$5</f>
        <v>918.00000000000068</v>
      </c>
      <c r="C181" s="20">
        <f>MIN(0.8*B181,$C$5)</f>
        <v>600</v>
      </c>
      <c r="D181" s="24">
        <f>ACOS(MAX(-1,($C$7-C181)/$C$7))</f>
        <v>3.1415926535897931</v>
      </c>
      <c r="E181" s="20">
        <f>$C$7^2*(D181-SIN(D181)*COS(D181))</f>
        <v>282743.3388230814</v>
      </c>
      <c r="F181" s="24">
        <f>E181/$C$9</f>
        <v>1</v>
      </c>
      <c r="G181" s="16">
        <f>IF(E181&gt;0,2*$C$7^3*SIN(D181)^3/(3*E181),0)</f>
        <v>1.1707017644929472E-46</v>
      </c>
      <c r="H181" s="24">
        <f>F181*G181/$C$5</f>
        <v>1.9511696074882452E-49</v>
      </c>
      <c r="I181" s="24" cm="1">
        <f t="array" ref="I181">_xlfn.LET(_xlpm.x,$B181,_xlpm.dep,$H$6:$H$29,_xlpm.e,IF(_xlpm.x&lt;=$C$5,$C$12*(_xlpm.x-_xlpm.dep)/_xlpm.x,$C$13*(_xlpm.x-_xlpm.dep)/(_xlpm.x-3*$C$5/7))/$C$14,_xlpm.s,(_xlpm.e&gt;=1)*1+(_xlpm.e&lt;=-1)*(-1)+(ABS(_xlpm.e)&lt;1)*_xlpm.e,AVERAGE(_xlpm.s))</f>
        <v>0.81827978227629361</v>
      </c>
      <c r="J181" s="24" cm="1">
        <f t="array" ref="J181">_xlfn.LET(_xlpm.x,$B181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4.7159392646352459E-2</v>
      </c>
      <c r="K181" s="24">
        <f>IFERROR(($C$15-F181)/I181,"")</f>
        <v>-0.96274333824956526</v>
      </c>
      <c r="L181" s="24" t="str">
        <f>IF(AND(ISNUMBER(K181),N(K181)&gt;0),H181+K181*J181,"")</f>
        <v/>
      </c>
      <c r="M181" s="24">
        <f>IF(ISNUMBER(L181),ABS(L181-$C$16),1000000000)</f>
        <v>1000000000</v>
      </c>
    </row>
    <row r="182" spans="1:13" x14ac:dyDescent="0.3">
      <c r="A182" s="24">
        <f>A181+0.01</f>
        <v>1.5400000000000011</v>
      </c>
      <c r="B182" s="20">
        <f>A182*$C$5</f>
        <v>924.00000000000068</v>
      </c>
      <c r="C182" s="20">
        <f>MIN(0.8*B182,$C$5)</f>
        <v>600</v>
      </c>
      <c r="D182" s="24">
        <f>ACOS(MAX(-1,($C$7-C182)/$C$7))</f>
        <v>3.1415926535897931</v>
      </c>
      <c r="E182" s="20">
        <f>$C$7^2*(D182-SIN(D182)*COS(D182))</f>
        <v>282743.3388230814</v>
      </c>
      <c r="F182" s="24">
        <f>E182/$C$9</f>
        <v>1</v>
      </c>
      <c r="G182" s="16">
        <f>IF(E182&gt;0,2*$C$7^3*SIN(D182)^3/(3*E182),0)</f>
        <v>1.1707017644929472E-46</v>
      </c>
      <c r="H182" s="24">
        <f>F182*G182/$C$5</f>
        <v>1.9511696074882452E-49</v>
      </c>
      <c r="I182" s="24" cm="1">
        <f t="array" ref="I182">_xlfn.LET(_xlpm.x,$B182,_xlpm.dep,$H$6:$H$29,_xlpm.e,IF(_xlpm.x&lt;=$C$5,$C$12*(_xlpm.x-_xlpm.dep)/_xlpm.x,$C$13*(_xlpm.x-_xlpm.dep)/(_xlpm.x-3*$C$5/7))/$C$14,_xlpm.s,(_xlpm.e&gt;=1)*1+(_xlpm.e&lt;=-1)*(-1)+(ABS(_xlpm.e)&lt;1)*_xlpm.e,AVERAGE(_xlpm.s))</f>
        <v>0.81946492562342199</v>
      </c>
      <c r="J182" s="24" cm="1">
        <f t="array" ref="J182">_xlfn.LET(_xlpm.x,$B182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4.6816454429142049E-2</v>
      </c>
      <c r="K182" s="24">
        <f>IFERROR(($C$15-F182)/I182,"")</f>
        <v>-0.96135097986223017</v>
      </c>
      <c r="L182" s="24" t="str">
        <f>IF(AND(ISNUMBER(K182),N(K182)&gt;0),H182+K182*J182,"")</f>
        <v/>
      </c>
      <c r="M182" s="24">
        <f>IF(ISNUMBER(L182),ABS(L182-$C$16),1000000000)</f>
        <v>1000000000</v>
      </c>
    </row>
    <row r="183" spans="1:13" x14ac:dyDescent="0.3">
      <c r="A183" s="24">
        <f>A182+0.01</f>
        <v>1.5500000000000012</v>
      </c>
      <c r="B183" s="20">
        <f>A183*$C$5</f>
        <v>930.00000000000068</v>
      </c>
      <c r="C183" s="20">
        <f>MIN(0.8*B183,$C$5)</f>
        <v>600</v>
      </c>
      <c r="D183" s="24">
        <f>ACOS(MAX(-1,($C$7-C183)/$C$7))</f>
        <v>3.1415926535897931</v>
      </c>
      <c r="E183" s="20">
        <f>$C$7^2*(D183-SIN(D183)*COS(D183))</f>
        <v>282743.3388230814</v>
      </c>
      <c r="F183" s="24">
        <f>E183/$C$9</f>
        <v>1</v>
      </c>
      <c r="G183" s="16">
        <f>IF(E183&gt;0,2*$C$7^3*SIN(D183)^3/(3*E183),0)</f>
        <v>1.1707017644929472E-46</v>
      </c>
      <c r="H183" s="24">
        <f>F183*G183/$C$5</f>
        <v>1.9511696074882452E-49</v>
      </c>
      <c r="I183" s="24" cm="1">
        <f t="array" ref="I183">_xlfn.LET(_xlpm.x,$B183,_xlpm.dep,$H$6:$H$29,_xlpm.e,IF(_xlpm.x&lt;=$C$5,$C$12*(_xlpm.x-_xlpm.dep)/_xlpm.x,$C$13*(_xlpm.x-_xlpm.dep)/(_xlpm.x-3*$C$5/7))/$C$14,_xlpm.s,(_xlpm.e&gt;=1)*1+(_xlpm.e&lt;=-1)*(-1)+(ABS(_xlpm.e)&lt;1)*_xlpm.e,AVERAGE(_xlpm.s))</f>
        <v>0.82062893265607961</v>
      </c>
      <c r="J183" s="24" cm="1">
        <f t="array" ref="J183">_xlfn.LET(_xlpm.x,$B183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4.6479632307525186E-2</v>
      </c>
      <c r="K183" s="24">
        <f>IFERROR(($C$15-F183)/I183,"")</f>
        <v>-0.95998736805562468</v>
      </c>
      <c r="L183" s="24" t="str">
        <f>IF(AND(ISNUMBER(K183),N(K183)&gt;0),H183+K183*J183,"")</f>
        <v/>
      </c>
      <c r="M183" s="24">
        <f>IF(ISNUMBER(L183),ABS(L183-$C$16),1000000000)</f>
        <v>1000000000</v>
      </c>
    </row>
    <row r="184" spans="1:13" x14ac:dyDescent="0.3">
      <c r="A184" s="24">
        <f>A183+0.01</f>
        <v>1.5600000000000012</v>
      </c>
      <c r="B184" s="20">
        <f>A184*$C$5</f>
        <v>936.00000000000068</v>
      </c>
      <c r="C184" s="20">
        <f>MIN(0.8*B184,$C$5)</f>
        <v>600</v>
      </c>
      <c r="D184" s="24">
        <f>ACOS(MAX(-1,($C$7-C184)/$C$7))</f>
        <v>3.1415926535897931</v>
      </c>
      <c r="E184" s="20">
        <f>$C$7^2*(D184-SIN(D184)*COS(D184))</f>
        <v>282743.3388230814</v>
      </c>
      <c r="F184" s="24">
        <f>E184/$C$9</f>
        <v>1</v>
      </c>
      <c r="G184" s="16">
        <f>IF(E184&gt;0,2*$C$7^3*SIN(D184)^3/(3*E184),0)</f>
        <v>1.1707017644929472E-46</v>
      </c>
      <c r="H184" s="24">
        <f>F184*G184/$C$5</f>
        <v>1.9511696074882452E-49</v>
      </c>
      <c r="I184" s="24" cm="1">
        <f t="array" ref="I184">_xlfn.LET(_xlpm.x,$B184,_xlpm.dep,$H$6:$H$29,_xlpm.e,IF(_xlpm.x&lt;=$C$5,$C$12*(_xlpm.x-_xlpm.dep)/_xlpm.x,$C$13*(_xlpm.x-_xlpm.dep)/(_xlpm.x-3*$C$5/7))/$C$14,_xlpm.s,(_xlpm.e&gt;=1)*1+(_xlpm.e&lt;=-1)*(-1)+(ABS(_xlpm.e)&lt;1)*_xlpm.e,AVERAGE(_xlpm.s))</f>
        <v>0.82177236380684626</v>
      </c>
      <c r="J184" s="24" cm="1">
        <f t="array" ref="J184">_xlfn.LET(_xlpm.x,$B184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4.6148764112300553E-2</v>
      </c>
      <c r="K184" s="24">
        <f>IFERROR(($C$15-F184)/I184,"")</f>
        <v>-0.9586516216746046</v>
      </c>
      <c r="L184" s="24" t="str">
        <f>IF(AND(ISNUMBER(K184),N(K184)&gt;0),H184+K184*J184,"")</f>
        <v/>
      </c>
      <c r="M184" s="24">
        <f>IF(ISNUMBER(L184),ABS(L184-$C$16),1000000000)</f>
        <v>1000000000</v>
      </c>
    </row>
    <row r="185" spans="1:13" x14ac:dyDescent="0.3">
      <c r="A185" s="24">
        <f>A184+0.01</f>
        <v>1.5700000000000012</v>
      </c>
      <c r="B185" s="20">
        <f>A185*$C$5</f>
        <v>942.00000000000068</v>
      </c>
      <c r="C185" s="20">
        <f>MIN(0.8*B185,$C$5)</f>
        <v>600</v>
      </c>
      <c r="D185" s="24">
        <f>ACOS(MAX(-1,($C$7-C185)/$C$7))</f>
        <v>3.1415926535897931</v>
      </c>
      <c r="E185" s="20">
        <f>$C$7^2*(D185-SIN(D185)*COS(D185))</f>
        <v>282743.3388230814</v>
      </c>
      <c r="F185" s="24">
        <f>E185/$C$9</f>
        <v>1</v>
      </c>
      <c r="G185" s="16">
        <f>IF(E185&gt;0,2*$C$7^3*SIN(D185)^3/(3*E185),0)</f>
        <v>1.1707017644929472E-46</v>
      </c>
      <c r="H185" s="24">
        <f>F185*G185/$C$5</f>
        <v>1.9511696074882452E-49</v>
      </c>
      <c r="I185" s="24" cm="1">
        <f t="array" ref="I185">_xlfn.LET(_xlpm.x,$B185,_xlpm.dep,$H$6:$H$29,_xlpm.e,IF(_xlpm.x&lt;=$C$5,$C$12*(_xlpm.x-_xlpm.dep)/_xlpm.x,$C$13*(_xlpm.x-_xlpm.dep)/(_xlpm.x-3*$C$5/7))/$C$14,_xlpm.s,(_xlpm.e&gt;=1)*1+(_xlpm.e&lt;=-1)*(-1)+(ABS(_xlpm.e)&lt;1)*_xlpm.e,AVERAGE(_xlpm.s))</f>
        <v>0.82289575986861363</v>
      </c>
      <c r="J185" s="24" cm="1">
        <f t="array" ref="J185">_xlfn.LET(_xlpm.x,$B185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4.5823693357292611E-2</v>
      </c>
      <c r="K185" s="24">
        <f>IFERROR(($C$15-F185)/I185,"")</f>
        <v>-0.95734289521261862</v>
      </c>
      <c r="L185" s="24" t="str">
        <f>IF(AND(ISNUMBER(K185),N(K185)&gt;0),H185+K185*J185,"")</f>
        <v/>
      </c>
      <c r="M185" s="24">
        <f>IF(ISNUMBER(L185),ABS(L185-$C$16),1000000000)</f>
        <v>1000000000</v>
      </c>
    </row>
    <row r="186" spans="1:13" x14ac:dyDescent="0.3">
      <c r="A186" s="24">
        <f>A185+0.01</f>
        <v>1.5800000000000012</v>
      </c>
      <c r="B186" s="20">
        <f>A186*$C$5</f>
        <v>948.00000000000068</v>
      </c>
      <c r="C186" s="20">
        <f>MIN(0.8*B186,$C$5)</f>
        <v>600</v>
      </c>
      <c r="D186" s="24">
        <f>ACOS(MAX(-1,($C$7-C186)/$C$7))</f>
        <v>3.1415926535897931</v>
      </c>
      <c r="E186" s="20">
        <f>$C$7^2*(D186-SIN(D186)*COS(D186))</f>
        <v>282743.3388230814</v>
      </c>
      <c r="F186" s="24">
        <f>E186/$C$9</f>
        <v>1</v>
      </c>
      <c r="G186" s="16">
        <f>IF(E186&gt;0,2*$C$7^3*SIN(D186)^3/(3*E186),0)</f>
        <v>1.1707017644929472E-46</v>
      </c>
      <c r="H186" s="24">
        <f>F186*G186/$C$5</f>
        <v>1.9511696074882452E-49</v>
      </c>
      <c r="I186" s="24" cm="1">
        <f t="array" ref="I186">_xlfn.LET(_xlpm.x,$B186,_xlpm.dep,$H$6:$H$29,_xlpm.e,IF(_xlpm.x&lt;=$C$5,$C$12*(_xlpm.x-_xlpm.dep)/_xlpm.x,$C$13*(_xlpm.x-_xlpm.dep)/(_xlpm.x-3*$C$5/7))/$C$14,_xlpm.s,(_xlpm.e&gt;=1)*1+(_xlpm.e&lt;=-1)*(-1)+(ABS(_xlpm.e)&lt;1)*_xlpm.e,AVERAGE(_xlpm.s))</f>
        <v>0.82399964284742211</v>
      </c>
      <c r="J186" s="24" cm="1">
        <f t="array" ref="J186">_xlfn.LET(_xlpm.x,$B186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4.5504268992570186E-2</v>
      </c>
      <c r="K186" s="24">
        <f>IFERROR(($C$15-F186)/I186,"")</f>
        <v>-0.95606037702698377</v>
      </c>
      <c r="L186" s="24" t="str">
        <f>IF(AND(ISNUMBER(K186),N(K186)&gt;0),H186+K186*J186,"")</f>
        <v/>
      </c>
      <c r="M186" s="24">
        <f>IF(ISNUMBER(L186),ABS(L186-$C$16),1000000000)</f>
        <v>1000000000</v>
      </c>
    </row>
    <row r="187" spans="1:13" x14ac:dyDescent="0.3">
      <c r="A187" s="24">
        <f>A186+0.01</f>
        <v>1.5900000000000012</v>
      </c>
      <c r="B187" s="20">
        <f>A187*$C$5</f>
        <v>954.00000000000068</v>
      </c>
      <c r="C187" s="20">
        <f>MIN(0.8*B187,$C$5)</f>
        <v>600</v>
      </c>
      <c r="D187" s="24">
        <f>ACOS(MAX(-1,($C$7-C187)/$C$7))</f>
        <v>3.1415926535897931</v>
      </c>
      <c r="E187" s="20">
        <f>$C$7^2*(D187-SIN(D187)*COS(D187))</f>
        <v>282743.3388230814</v>
      </c>
      <c r="F187" s="24">
        <f>E187/$C$9</f>
        <v>1</v>
      </c>
      <c r="G187" s="16">
        <f>IF(E187&gt;0,2*$C$7^3*SIN(D187)^3/(3*E187),0)</f>
        <v>1.1707017644929472E-46</v>
      </c>
      <c r="H187" s="24">
        <f>F187*G187/$C$5</f>
        <v>1.9511696074882452E-49</v>
      </c>
      <c r="I187" s="24" cm="1">
        <f t="array" ref="I187">_xlfn.LET(_xlpm.x,$B187,_xlpm.dep,$H$6:$H$29,_xlpm.e,IF(_xlpm.x&lt;=$C$5,$C$12*(_xlpm.x-_xlpm.dep)/_xlpm.x,$C$13*(_xlpm.x-_xlpm.dep)/(_xlpm.x-3*$C$5/7))/$C$14,_xlpm.s,(_xlpm.e&gt;=1)*1+(_xlpm.e&lt;=-1)*(-1)+(ABS(_xlpm.e)&lt;1)*_xlpm.e,AVERAGE(_xlpm.s))</f>
        <v>0.82508451677124517</v>
      </c>
      <c r="J187" s="24" cm="1">
        <f t="array" ref="J187">_xlfn.LET(_xlpm.x,$B187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4.5190345170413697E-2</v>
      </c>
      <c r="K187" s="24">
        <f>IFERROR(($C$15-F187)/I187,"")</f>
        <v>-0.95480328766031397</v>
      </c>
      <c r="L187" s="24" t="str">
        <f>IF(AND(ISNUMBER(K187),N(K187)&gt;0),H187+K187*J187,"")</f>
        <v/>
      </c>
      <c r="M187" s="24">
        <f>IF(ISNUMBER(L187),ABS(L187-$C$16),1000000000)</f>
        <v>1000000000</v>
      </c>
    </row>
    <row r="188" spans="1:13" x14ac:dyDescent="0.3">
      <c r="A188" s="24">
        <f>A187+0.01</f>
        <v>1.6000000000000012</v>
      </c>
      <c r="B188" s="20">
        <f>A188*$C$5</f>
        <v>960.00000000000068</v>
      </c>
      <c r="C188" s="20">
        <f>MIN(0.8*B188,$C$5)</f>
        <v>600</v>
      </c>
      <c r="D188" s="24">
        <f>ACOS(MAX(-1,($C$7-C188)/$C$7))</f>
        <v>3.1415926535897931</v>
      </c>
      <c r="E188" s="20">
        <f>$C$7^2*(D188-SIN(D188)*COS(D188))</f>
        <v>282743.3388230814</v>
      </c>
      <c r="F188" s="24">
        <f>E188/$C$9</f>
        <v>1</v>
      </c>
      <c r="G188" s="16">
        <f>IF(E188&gt;0,2*$C$7^3*SIN(D188)^3/(3*E188),0)</f>
        <v>1.1707017644929472E-46</v>
      </c>
      <c r="H188" s="24">
        <f>F188*G188/$C$5</f>
        <v>1.9511696074882452E-49</v>
      </c>
      <c r="I188" s="24" cm="1">
        <f t="array" ref="I188">_xlfn.LET(_xlpm.x,$B188,_xlpm.dep,$H$6:$H$29,_xlpm.e,IF(_xlpm.x&lt;=$C$5,$C$12*(_xlpm.x-_xlpm.dep)/_xlpm.x,$C$13*(_xlpm.x-_xlpm.dep)/(_xlpm.x-3*$C$5/7))/$C$14,_xlpm.s,(_xlpm.e&gt;=1)*1+(_xlpm.e&lt;=-1)*(-1)+(ABS(_xlpm.e)&lt;1)*_xlpm.e,AVERAGE(_xlpm.s))</f>
        <v>0.82615086845734431</v>
      </c>
      <c r="J188" s="24" cm="1">
        <f t="array" ref="J188">_xlfn.LET(_xlpm.x,$B188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4.4881781023269618E-2</v>
      </c>
      <c r="K188" s="24">
        <f>IFERROR(($C$15-F188)/I188,"")</f>
        <v>-0.95357087826081677</v>
      </c>
      <c r="L188" s="24" t="str">
        <f>IF(AND(ISNUMBER(K188),N(K188)&gt;0),H188+K188*J188,"")</f>
        <v/>
      </c>
      <c r="M188" s="24">
        <f>IF(ISNUMBER(L188),ABS(L188-$C$16),1000000000)</f>
        <v>1000000000</v>
      </c>
    </row>
    <row r="189" spans="1:13" x14ac:dyDescent="0.3">
      <c r="A189" s="24">
        <f>A188+0.01</f>
        <v>1.6100000000000012</v>
      </c>
      <c r="B189" s="20">
        <f>A189*$C$5</f>
        <v>966.00000000000068</v>
      </c>
      <c r="C189" s="20">
        <f>MIN(0.8*B189,$C$5)</f>
        <v>600</v>
      </c>
      <c r="D189" s="24">
        <f>ACOS(MAX(-1,($C$7-C189)/$C$7))</f>
        <v>3.1415926535897931</v>
      </c>
      <c r="E189" s="20">
        <f>$C$7^2*(D189-SIN(D189)*COS(D189))</f>
        <v>282743.3388230814</v>
      </c>
      <c r="F189" s="24">
        <f>E189/$C$9</f>
        <v>1</v>
      </c>
      <c r="G189" s="16">
        <f>IF(E189&gt;0,2*$C$7^3*SIN(D189)^3/(3*E189),0)</f>
        <v>1.1707017644929472E-46</v>
      </c>
      <c r="H189" s="24">
        <f>F189*G189/$C$5</f>
        <v>1.9511696074882452E-49</v>
      </c>
      <c r="I189" s="24" cm="1">
        <f t="array" ref="I189">_xlfn.LET(_xlpm.x,$B189,_xlpm.dep,$H$6:$H$29,_xlpm.e,IF(_xlpm.x&lt;=$C$5,$C$12*(_xlpm.x-_xlpm.dep)/_xlpm.x,$C$13*(_xlpm.x-_xlpm.dep)/(_xlpm.x-3*$C$5/7))/$C$14,_xlpm.s,(_xlpm.e&gt;=1)*1+(_xlpm.e&lt;=-1)*(-1)+(ABS(_xlpm.e)&lt;1)*_xlpm.e,AVERAGE(_xlpm.s))</f>
        <v>0.82719916824065598</v>
      </c>
      <c r="J189" s="24" cm="1">
        <f t="array" ref="J189">_xlfn.LET(_xlpm.x,$B189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4.4578440452981691E-2</v>
      </c>
      <c r="K189" s="24">
        <f>IFERROR(($C$15-F189)/I189,"")</f>
        <v>-0.95236242909472391</v>
      </c>
      <c r="L189" s="24" t="str">
        <f>IF(AND(ISNUMBER(K189),N(K189)&gt;0),H189+K189*J189,"")</f>
        <v/>
      </c>
      <c r="M189" s="24">
        <f>IF(ISNUMBER(L189),ABS(L189-$C$16),1000000000)</f>
        <v>1000000000</v>
      </c>
    </row>
    <row r="190" spans="1:13" x14ac:dyDescent="0.3">
      <c r="A190" s="24">
        <f>A189+0.01</f>
        <v>1.6200000000000012</v>
      </c>
      <c r="B190" s="20">
        <f>A190*$C$5</f>
        <v>972.00000000000068</v>
      </c>
      <c r="C190" s="20">
        <f>MIN(0.8*B190,$C$5)</f>
        <v>600</v>
      </c>
      <c r="D190" s="24">
        <f>ACOS(MAX(-1,($C$7-C190)/$C$7))</f>
        <v>3.1415926535897931</v>
      </c>
      <c r="E190" s="20">
        <f>$C$7^2*(D190-SIN(D190)*COS(D190))</f>
        <v>282743.3388230814</v>
      </c>
      <c r="F190" s="24">
        <f>E190/$C$9</f>
        <v>1</v>
      </c>
      <c r="G190" s="16">
        <f>IF(E190&gt;0,2*$C$7^3*SIN(D190)^3/(3*E190),0)</f>
        <v>1.1707017644929472E-46</v>
      </c>
      <c r="H190" s="24">
        <f>F190*G190/$C$5</f>
        <v>1.9511696074882452E-49</v>
      </c>
      <c r="I190" s="24" cm="1">
        <f t="array" ref="I190">_xlfn.LET(_xlpm.x,$B190,_xlpm.dep,$H$6:$H$29,_xlpm.e,IF(_xlpm.x&lt;=$C$5,$C$12*(_xlpm.x-_xlpm.dep)/_xlpm.x,$C$13*(_xlpm.x-_xlpm.dep)/(_xlpm.x-3*$C$5/7))/$C$14,_xlpm.s,(_xlpm.e&gt;=1)*1+(_xlpm.e&lt;=-1)*(-1)+(ABS(_xlpm.e)&lt;1)*_xlpm.e,AVERAGE(_xlpm.s))</f>
        <v>0.82822987066549458</v>
      </c>
      <c r="J190" s="24" cm="1">
        <f t="array" ref="J190">_xlfn.LET(_xlpm.x,$B190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4.4280191930636224E-2</v>
      </c>
      <c r="K190" s="24">
        <f>IFERROR(($C$15-F190)/I190,"")</f>
        <v>-0.95117724814465221</v>
      </c>
      <c r="L190" s="24" t="str">
        <f>IF(AND(ISNUMBER(K190),N(K190)&gt;0),H190+K190*J190,"")</f>
        <v/>
      </c>
      <c r="M190" s="24">
        <f>IF(ISNUMBER(L190),ABS(L190-$C$16),1000000000)</f>
        <v>1000000000</v>
      </c>
    </row>
    <row r="191" spans="1:13" x14ac:dyDescent="0.3">
      <c r="A191" s="24">
        <f>A190+0.01</f>
        <v>1.6300000000000012</v>
      </c>
      <c r="B191" s="20">
        <f>A191*$C$5</f>
        <v>978.00000000000068</v>
      </c>
      <c r="C191" s="20">
        <f>MIN(0.8*B191,$C$5)</f>
        <v>600</v>
      </c>
      <c r="D191" s="24">
        <f>ACOS(MAX(-1,($C$7-C191)/$C$7))</f>
        <v>3.1415926535897931</v>
      </c>
      <c r="E191" s="20">
        <f>$C$7^2*(D191-SIN(D191)*COS(D191))</f>
        <v>282743.3388230814</v>
      </c>
      <c r="F191" s="24">
        <f>E191/$C$9</f>
        <v>1</v>
      </c>
      <c r="G191" s="16">
        <f>IF(E191&gt;0,2*$C$7^3*SIN(D191)^3/(3*E191),0)</f>
        <v>1.1707017644929472E-46</v>
      </c>
      <c r="H191" s="24">
        <f>F191*G191/$C$5</f>
        <v>1.9511696074882452E-49</v>
      </c>
      <c r="I191" s="24" cm="1">
        <f t="array" ref="I191">_xlfn.LET(_xlpm.x,$B191,_xlpm.dep,$H$6:$H$29,_xlpm.e,IF(_xlpm.x&lt;=$C$5,$C$12*(_xlpm.x-_xlpm.dep)/_xlpm.x,$C$13*(_xlpm.x-_xlpm.dep)/(_xlpm.x-3*$C$5/7))/$C$14,_xlpm.s,(_xlpm.e&gt;=1)*1+(_xlpm.e&lt;=-1)*(-1)+(ABS(_xlpm.e)&lt;1)*_xlpm.e,AVERAGE(_xlpm.s))</f>
        <v>0.82924341514271405</v>
      </c>
      <c r="J191" s="24" cm="1">
        <f t="array" ref="J191">_xlfn.LET(_xlpm.x,$B191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4.3986908306403547E-2</v>
      </c>
      <c r="K191" s="24">
        <f>IFERROR(($C$15-F191)/I191,"")</f>
        <v>-0.95001466978815363</v>
      </c>
      <c r="L191" s="24" t="str">
        <f>IF(AND(ISNUMBER(K191),N(K191)&gt;0),H191+K191*J191,"")</f>
        <v/>
      </c>
      <c r="M191" s="24">
        <f>IF(ISNUMBER(L191),ABS(L191-$C$16),1000000000)</f>
        <v>1000000000</v>
      </c>
    </row>
    <row r="192" spans="1:13" x14ac:dyDescent="0.3">
      <c r="A192" s="24">
        <f>A191+0.01</f>
        <v>1.6400000000000012</v>
      </c>
      <c r="B192" s="20">
        <f>A192*$C$5</f>
        <v>984.0000000000008</v>
      </c>
      <c r="C192" s="20">
        <f>MIN(0.8*B192,$C$5)</f>
        <v>600</v>
      </c>
      <c r="D192" s="24">
        <f>ACOS(MAX(-1,($C$7-C192)/$C$7))</f>
        <v>3.1415926535897931</v>
      </c>
      <c r="E192" s="20">
        <f>$C$7^2*(D192-SIN(D192)*COS(D192))</f>
        <v>282743.3388230814</v>
      </c>
      <c r="F192" s="24">
        <f>E192/$C$9</f>
        <v>1</v>
      </c>
      <c r="G192" s="16">
        <f>IF(E192&gt;0,2*$C$7^3*SIN(D192)^3/(3*E192),0)</f>
        <v>1.1707017644929472E-46</v>
      </c>
      <c r="H192" s="24">
        <f>F192*G192/$C$5</f>
        <v>1.9511696074882452E-49</v>
      </c>
      <c r="I192" s="24" cm="1">
        <f t="array" ref="I192">_xlfn.LET(_xlpm.x,$B192,_xlpm.dep,$H$6:$H$29,_xlpm.e,IF(_xlpm.x&lt;=$C$5,$C$12*(_xlpm.x-_xlpm.dep)/_xlpm.x,$C$13*(_xlpm.x-_xlpm.dep)/(_xlpm.x-3*$C$5/7))/$C$14,_xlpm.s,(_xlpm.e&gt;=1)*1+(_xlpm.e&lt;=-1)*(-1)+(ABS(_xlpm.e)&lt;1)*_xlpm.e,AVERAGE(_xlpm.s))</f>
        <v>0.83024022657431884</v>
      </c>
      <c r="J192" s="24" cm="1">
        <f t="array" ref="J192">_xlfn.LET(_xlpm.x,$B192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4.3698466628797332E-2</v>
      </c>
      <c r="K192" s="24">
        <f>IFERROR(($C$15-F192)/I192,"")</f>
        <v>-0.94887405355115861</v>
      </c>
      <c r="L192" s="24" t="str">
        <f>IF(AND(ISNUMBER(K192),N(K192)&gt;0),H192+K192*J192,"")</f>
        <v/>
      </c>
      <c r="M192" s="24">
        <f>IF(ISNUMBER(L192),ABS(L192-$C$16),1000000000)</f>
        <v>1000000000</v>
      </c>
    </row>
    <row r="193" spans="1:13" x14ac:dyDescent="0.3">
      <c r="A193" s="24">
        <f>A192+0.01</f>
        <v>1.6500000000000012</v>
      </c>
      <c r="B193" s="20">
        <f>A193*$C$5</f>
        <v>990.0000000000008</v>
      </c>
      <c r="C193" s="20">
        <f>MIN(0.8*B193,$C$5)</f>
        <v>600</v>
      </c>
      <c r="D193" s="24">
        <f>ACOS(MAX(-1,($C$7-C193)/$C$7))</f>
        <v>3.1415926535897931</v>
      </c>
      <c r="E193" s="20">
        <f>$C$7^2*(D193-SIN(D193)*COS(D193))</f>
        <v>282743.3388230814</v>
      </c>
      <c r="F193" s="24">
        <f>E193/$C$9</f>
        <v>1</v>
      </c>
      <c r="G193" s="16">
        <f>IF(E193&gt;0,2*$C$7^3*SIN(D193)^3/(3*E193),0)</f>
        <v>1.1707017644929472E-46</v>
      </c>
      <c r="H193" s="24">
        <f>F193*G193/$C$5</f>
        <v>1.9511696074882452E-49</v>
      </c>
      <c r="I193" s="24" cm="1">
        <f t="array" ref="I193">_xlfn.LET(_xlpm.x,$B193,_xlpm.dep,$H$6:$H$29,_xlpm.e,IF(_xlpm.x&lt;=$C$5,$C$12*(_xlpm.x-_xlpm.dep)/_xlpm.x,$C$13*(_xlpm.x-_xlpm.dep)/(_xlpm.x-3*$C$5/7))/$C$14,_xlpm.s,(_xlpm.e&gt;=1)*1+(_xlpm.e&lt;=-1)*(-1)+(ABS(_xlpm.e)&lt;1)*_xlpm.e,AVERAGE(_xlpm.s))</f>
        <v>0.83122071594739466</v>
      </c>
      <c r="J193" s="24" cm="1">
        <f t="array" ref="J193">_xlfn.LET(_xlpm.x,$B193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4.3414747972812737E-2</v>
      </c>
      <c r="K193" s="24">
        <f>IFERROR(($C$15-F193)/I193,"")</f>
        <v>-0.94775478293140047</v>
      </c>
      <c r="L193" s="24" t="str">
        <f>IF(AND(ISNUMBER(K193),N(K193)&gt;0),H193+K193*J193,"")</f>
        <v/>
      </c>
      <c r="M193" s="24">
        <f>IF(ISNUMBER(L193),ABS(L193-$C$16),1000000000)</f>
        <v>1000000000</v>
      </c>
    </row>
    <row r="194" spans="1:13" x14ac:dyDescent="0.3">
      <c r="A194" s="24">
        <f>A193+0.01</f>
        <v>1.6600000000000013</v>
      </c>
      <c r="B194" s="20">
        <f>A194*$C$5</f>
        <v>996.0000000000008</v>
      </c>
      <c r="C194" s="20">
        <f>MIN(0.8*B194,$C$5)</f>
        <v>600</v>
      </c>
      <c r="D194" s="24">
        <f>ACOS(MAX(-1,($C$7-C194)/$C$7))</f>
        <v>3.1415926535897931</v>
      </c>
      <c r="E194" s="20">
        <f>$C$7^2*(D194-SIN(D194)*COS(D194))</f>
        <v>282743.3388230814</v>
      </c>
      <c r="F194" s="24">
        <f>E194/$C$9</f>
        <v>1</v>
      </c>
      <c r="G194" s="16">
        <f>IF(E194&gt;0,2*$C$7^3*SIN(D194)^3/(3*E194),0)</f>
        <v>1.1707017644929472E-46</v>
      </c>
      <c r="H194" s="24">
        <f>F194*G194/$C$5</f>
        <v>1.9511696074882452E-49</v>
      </c>
      <c r="I194" s="24" cm="1">
        <f t="array" ref="I194">_xlfn.LET(_xlpm.x,$B194,_xlpm.dep,$H$6:$H$29,_xlpm.e,IF(_xlpm.x&lt;=$C$5,$C$12*(_xlpm.x-_xlpm.dep)/_xlpm.x,$C$13*(_xlpm.x-_xlpm.dep)/(_xlpm.x-3*$C$5/7))/$C$14,_xlpm.s,(_xlpm.e&gt;=1)*1+(_xlpm.e&lt;=-1)*(-1)+(ABS(_xlpm.e)&lt;1)*_xlpm.e,AVERAGE(_xlpm.s))</f>
        <v>0.83218528089909805</v>
      </c>
      <c r="J194" s="24" cm="1">
        <f t="array" ref="J194">_xlfn.LET(_xlpm.x,$B194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4.3135637276438106E-2</v>
      </c>
      <c r="K194" s="24">
        <f>IFERROR(($C$15-F194)/I194,"")</f>
        <v>-0.94665626428728655</v>
      </c>
      <c r="L194" s="24" t="str">
        <f>IF(AND(ISNUMBER(K194),N(K194)&gt;0),H194+K194*J194,"")</f>
        <v/>
      </c>
      <c r="M194" s="24">
        <f>IF(ISNUMBER(L194),ABS(L194-$C$16),1000000000)</f>
        <v>1000000000</v>
      </c>
    </row>
    <row r="195" spans="1:13" x14ac:dyDescent="0.3">
      <c r="A195" s="24">
        <f>A194+0.01</f>
        <v>1.6700000000000013</v>
      </c>
      <c r="B195" s="20">
        <f>A195*$C$5</f>
        <v>1002.0000000000008</v>
      </c>
      <c r="C195" s="20">
        <f>MIN(0.8*B195,$C$5)</f>
        <v>600</v>
      </c>
      <c r="D195" s="24">
        <f>ACOS(MAX(-1,($C$7-C195)/$C$7))</f>
        <v>3.1415926535897931</v>
      </c>
      <c r="E195" s="20">
        <f>$C$7^2*(D195-SIN(D195)*COS(D195))</f>
        <v>282743.3388230814</v>
      </c>
      <c r="F195" s="24">
        <f>E195/$C$9</f>
        <v>1</v>
      </c>
      <c r="G195" s="16">
        <f>IF(E195&gt;0,2*$C$7^3*SIN(D195)^3/(3*E195),0)</f>
        <v>1.1707017644929472E-46</v>
      </c>
      <c r="H195" s="24">
        <f>F195*G195/$C$5</f>
        <v>1.9511696074882452E-49</v>
      </c>
      <c r="I195" s="24" cm="1">
        <f t="array" ref="I195">_xlfn.LET(_xlpm.x,$B195,_xlpm.dep,$H$6:$H$29,_xlpm.e,IF(_xlpm.x&lt;=$C$5,$C$12*(_xlpm.x-_xlpm.dep)/_xlpm.x,$C$13*(_xlpm.x-_xlpm.dep)/(_xlpm.x-3*$C$5/7))/$C$14,_xlpm.s,(_xlpm.e&gt;=1)*1+(_xlpm.e&lt;=-1)*(-1)+(ABS(_xlpm.e)&lt;1)*_xlpm.e,AVERAGE(_xlpm.s))</f>
        <v>0.83313430625434126</v>
      </c>
      <c r="J195" s="24" cm="1">
        <f t="array" ref="J195">_xlfn.LET(_xlpm.x,$B195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4.2861023185068375E-2</v>
      </c>
      <c r="K195" s="24">
        <f>IFERROR(($C$15-F195)/I195,"")</f>
        <v>-0.94557792578800237</v>
      </c>
      <c r="L195" s="24" t="str">
        <f>IF(AND(ISNUMBER(K195),N(K195)&gt;0),H195+K195*J195,"")</f>
        <v/>
      </c>
      <c r="M195" s="24">
        <f>IF(ISNUMBER(L195),ABS(L195-$C$16),1000000000)</f>
        <v>1000000000</v>
      </c>
    </row>
    <row r="196" spans="1:13" x14ac:dyDescent="0.3">
      <c r="A196" s="24">
        <f>A195+0.01</f>
        <v>1.6800000000000013</v>
      </c>
      <c r="B196" s="20">
        <f>A196*$C$5</f>
        <v>1008.0000000000008</v>
      </c>
      <c r="C196" s="20">
        <f>MIN(0.8*B196,$C$5)</f>
        <v>600</v>
      </c>
      <c r="D196" s="24">
        <f>ACOS(MAX(-1,($C$7-C196)/$C$7))</f>
        <v>3.1415926535897931</v>
      </c>
      <c r="E196" s="20">
        <f>$C$7^2*(D196-SIN(D196)*COS(D196))</f>
        <v>282743.3388230814</v>
      </c>
      <c r="F196" s="24">
        <f>E196/$C$9</f>
        <v>1</v>
      </c>
      <c r="G196" s="16">
        <f>IF(E196&gt;0,2*$C$7^3*SIN(D196)^3/(3*E196),0)</f>
        <v>1.1707017644929472E-46</v>
      </c>
      <c r="H196" s="24">
        <f>F196*G196/$C$5</f>
        <v>1.9511696074882452E-49</v>
      </c>
      <c r="I196" s="24" cm="1">
        <f t="array" ref="I196">_xlfn.LET(_xlpm.x,$B196,_xlpm.dep,$H$6:$H$29,_xlpm.e,IF(_xlpm.x&lt;=$C$5,$C$12*(_xlpm.x-_xlpm.dep)/_xlpm.x,$C$13*(_xlpm.x-_xlpm.dep)/(_xlpm.x-3*$C$5/7))/$C$14,_xlpm.s,(_xlpm.e&gt;=1)*1+(_xlpm.e&lt;=-1)*(-1)+(ABS(_xlpm.e)&lt;1)*_xlpm.e,AVERAGE(_xlpm.s))</f>
        <v>0.83406816453769672</v>
      </c>
      <c r="J196" s="24" cm="1">
        <f t="array" ref="J196">_xlfn.LET(_xlpm.x,$B196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4.2590797903378073E-2</v>
      </c>
      <c r="K196" s="24">
        <f>IFERROR(($C$15-F196)/I196,"")</f>
        <v>-0.94451921642095127</v>
      </c>
      <c r="L196" s="24" t="str">
        <f>IF(AND(ISNUMBER(K196),N(K196)&gt;0),H196+K196*J196,"")</f>
        <v/>
      </c>
      <c r="M196" s="24">
        <f>IF(ISNUMBER(L196),ABS(L196-$C$16),1000000000)</f>
        <v>1000000000</v>
      </c>
    </row>
    <row r="197" spans="1:13" x14ac:dyDescent="0.3">
      <c r="A197" s="24">
        <f>A196+0.01</f>
        <v>1.6900000000000013</v>
      </c>
      <c r="B197" s="20">
        <f>A197*$C$5</f>
        <v>1014.0000000000008</v>
      </c>
      <c r="C197" s="20">
        <f>MIN(0.8*B197,$C$5)</f>
        <v>600</v>
      </c>
      <c r="D197" s="24">
        <f>ACOS(MAX(-1,($C$7-C197)/$C$7))</f>
        <v>3.1415926535897931</v>
      </c>
      <c r="E197" s="20">
        <f>$C$7^2*(D197-SIN(D197)*COS(D197))</f>
        <v>282743.3388230814</v>
      </c>
      <c r="F197" s="24">
        <f>E197/$C$9</f>
        <v>1</v>
      </c>
      <c r="G197" s="16">
        <f>IF(E197&gt;0,2*$C$7^3*SIN(D197)^3/(3*E197),0)</f>
        <v>1.1707017644929472E-46</v>
      </c>
      <c r="H197" s="24">
        <f>F197*G197/$C$5</f>
        <v>1.9511696074882452E-49</v>
      </c>
      <c r="I197" s="24" cm="1">
        <f t="array" ref="I197">_xlfn.LET(_xlpm.x,$B197,_xlpm.dep,$H$6:$H$29,_xlpm.e,IF(_xlpm.x&lt;=$C$5,$C$12*(_xlpm.x-_xlpm.dep)/_xlpm.x,$C$13*(_xlpm.x-_xlpm.dep)/(_xlpm.x-3*$C$5/7))/$C$14,_xlpm.s,(_xlpm.e&gt;=1)*1+(_xlpm.e&lt;=-1)*(-1)+(ABS(_xlpm.e)&lt;1)*_xlpm.e,AVERAGE(_xlpm.s))</f>
        <v>0.83498721646095397</v>
      </c>
      <c r="J197" s="24" cm="1">
        <f t="array" ref="J197">_xlfn.LET(_xlpm.x,$B197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4.2324857054240037E-2</v>
      </c>
      <c r="K197" s="24">
        <f>IFERROR(($C$15-F197)/I197,"")</f>
        <v>-0.94347960505290618</v>
      </c>
      <c r="L197" s="24" t="str">
        <f>IF(AND(ISNUMBER(K197),N(K197)&gt;0),H197+K197*J197,"")</f>
        <v/>
      </c>
      <c r="M197" s="24">
        <f>IF(ISNUMBER(L197),ABS(L197-$C$16),1000000000)</f>
        <v>1000000000</v>
      </c>
    </row>
    <row r="198" spans="1:13" x14ac:dyDescent="0.3">
      <c r="A198" s="24">
        <f>A197+0.01</f>
        <v>1.7000000000000013</v>
      </c>
      <c r="B198" s="20">
        <f>A198*$C$5</f>
        <v>1020.0000000000008</v>
      </c>
      <c r="C198" s="20">
        <f>MIN(0.8*B198,$C$5)</f>
        <v>600</v>
      </c>
      <c r="D198" s="24">
        <f>ACOS(MAX(-1,($C$7-C198)/$C$7))</f>
        <v>3.1415926535897931</v>
      </c>
      <c r="E198" s="20">
        <f>$C$7^2*(D198-SIN(D198)*COS(D198))</f>
        <v>282743.3388230814</v>
      </c>
      <c r="F198" s="24">
        <f>E198/$C$9</f>
        <v>1</v>
      </c>
      <c r="G198" s="16">
        <f>IF(E198&gt;0,2*$C$7^3*SIN(D198)^3/(3*E198),0)</f>
        <v>1.1707017644929472E-46</v>
      </c>
      <c r="H198" s="24">
        <f>F198*G198/$C$5</f>
        <v>1.9511696074882452E-49</v>
      </c>
      <c r="I198" s="24" cm="1">
        <f t="array" ref="I198">_xlfn.LET(_xlpm.x,$B198,_xlpm.dep,$H$6:$H$29,_xlpm.e,IF(_xlpm.x&lt;=$C$5,$C$12*(_xlpm.x-_xlpm.dep)/_xlpm.x,$C$13*(_xlpm.x-_xlpm.dep)/(_xlpm.x-3*$C$5/7))/$C$14,_xlpm.s,(_xlpm.e&gt;=1)*1+(_xlpm.e&lt;=-1)*(-1)+(ABS(_xlpm.e)&lt;1)*_xlpm.e,AVERAGE(_xlpm.s))</f>
        <v>0.83589181138766566</v>
      </c>
      <c r="J198" s="24" cm="1">
        <f t="array" ref="J198">_xlfn.LET(_xlpm.x,$B198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4.2063099544301916E-2</v>
      </c>
      <c r="K198" s="24">
        <f>IFERROR(($C$15-F198)/I198,"")</f>
        <v>-0.94245857954151857</v>
      </c>
      <c r="L198" s="24" t="str">
        <f>IF(AND(ISNUMBER(K198),N(K198)&gt;0),H198+K198*J198,"")</f>
        <v/>
      </c>
      <c r="M198" s="24">
        <f>IF(ISNUMBER(L198),ABS(L198-$C$16),1000000000)</f>
        <v>1000000000</v>
      </c>
    </row>
    <row r="199" spans="1:13" x14ac:dyDescent="0.3">
      <c r="A199" s="24">
        <f>A198+0.01</f>
        <v>1.7100000000000013</v>
      </c>
      <c r="B199" s="20">
        <f>A199*$C$5</f>
        <v>1026.0000000000007</v>
      </c>
      <c r="C199" s="20">
        <f>MIN(0.8*B199,$C$5)</f>
        <v>600</v>
      </c>
      <c r="D199" s="24">
        <f>ACOS(MAX(-1,($C$7-C199)/$C$7))</f>
        <v>3.1415926535897931</v>
      </c>
      <c r="E199" s="20">
        <f>$C$7^2*(D199-SIN(D199)*COS(D199))</f>
        <v>282743.3388230814</v>
      </c>
      <c r="F199" s="24">
        <f>E199/$C$9</f>
        <v>1</v>
      </c>
      <c r="G199" s="16">
        <f>IF(E199&gt;0,2*$C$7^3*SIN(D199)^3/(3*E199),0)</f>
        <v>1.1707017644929472E-46</v>
      </c>
      <c r="H199" s="24">
        <f>F199*G199/$C$5</f>
        <v>1.9511696074882452E-49</v>
      </c>
      <c r="I199" s="24" cm="1">
        <f t="array" ref="I199">_xlfn.LET(_xlpm.x,$B199,_xlpm.dep,$H$6:$H$29,_xlpm.e,IF(_xlpm.x&lt;=$C$5,$C$12*(_xlpm.x-_xlpm.dep)/_xlpm.x,$C$13*(_xlpm.x-_xlpm.dep)/(_xlpm.x-3*$C$5/7))/$C$14,_xlpm.s,(_xlpm.e&gt;=1)*1+(_xlpm.e&lt;=-1)*(-1)+(ABS(_xlpm.e)&lt;1)*_xlpm.e,AVERAGE(_xlpm.s))</f>
        <v>0.83678228777594477</v>
      </c>
      <c r="J199" s="24" cm="1">
        <f t="array" ref="J199">_xlfn.LET(_xlpm.x,$B199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4.1805427435856725E-2</v>
      </c>
      <c r="K199" s="24">
        <f>IFERROR(($C$15-F199)/I199,"")</f>
        <v>-0.94145564589405406</v>
      </c>
      <c r="L199" s="24" t="str">
        <f>IF(AND(ISNUMBER(K199),N(K199)&gt;0),H199+K199*J199,"")</f>
        <v/>
      </c>
      <c r="M199" s="24">
        <f>IF(ISNUMBER(L199),ABS(L199-$C$16),1000000000)</f>
        <v>1000000000</v>
      </c>
    </row>
    <row r="200" spans="1:13" x14ac:dyDescent="0.3">
      <c r="A200" s="24">
        <f>A199+0.01</f>
        <v>1.7200000000000013</v>
      </c>
      <c r="B200" s="20">
        <f>A200*$C$5</f>
        <v>1032.0000000000007</v>
      </c>
      <c r="C200" s="20">
        <f>MIN(0.8*B200,$C$5)</f>
        <v>600</v>
      </c>
      <c r="D200" s="24">
        <f>ACOS(MAX(-1,($C$7-C200)/$C$7))</f>
        <v>3.1415926535897931</v>
      </c>
      <c r="E200" s="20">
        <f>$C$7^2*(D200-SIN(D200)*COS(D200))</f>
        <v>282743.3388230814</v>
      </c>
      <c r="F200" s="24">
        <f>E200/$C$9</f>
        <v>1</v>
      </c>
      <c r="G200" s="16">
        <f>IF(E200&gt;0,2*$C$7^3*SIN(D200)^3/(3*E200),0)</f>
        <v>1.1707017644929472E-46</v>
      </c>
      <c r="H200" s="24">
        <f>F200*G200/$C$5</f>
        <v>1.9511696074882452E-49</v>
      </c>
      <c r="I200" s="24" cm="1">
        <f t="array" ref="I200">_xlfn.LET(_xlpm.x,$B200,_xlpm.dep,$H$6:$H$29,_xlpm.e,IF(_xlpm.x&lt;=$C$5,$C$12*(_xlpm.x-_xlpm.dep)/_xlpm.x,$C$13*(_xlpm.x-_xlpm.dep)/(_xlpm.x-3*$C$5/7))/$C$14,_xlpm.s,(_xlpm.e&gt;=1)*1+(_xlpm.e&lt;=-1)*(-1)+(ABS(_xlpm.e)&lt;1)*_xlpm.e,AVERAGE(_xlpm.s))</f>
        <v>0.83765897360068864</v>
      </c>
      <c r="J200" s="24" cm="1">
        <f t="array" ref="J200">_xlfn.LET(_xlpm.x,$B200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4.1551745824666197E-2</v>
      </c>
      <c r="K200" s="24">
        <f>IFERROR(($C$15-F200)/I200,"")</f>
        <v>-0.94047032747045678</v>
      </c>
      <c r="L200" s="24" t="str">
        <f>IF(AND(ISNUMBER(K200),N(K200)&gt;0),H200+K200*J200,"")</f>
        <v/>
      </c>
      <c r="M200" s="24">
        <f>IF(ISNUMBER(L200),ABS(L200-$C$16),1000000000)</f>
        <v>1000000000</v>
      </c>
    </row>
    <row r="201" spans="1:13" x14ac:dyDescent="0.3">
      <c r="A201" s="24">
        <f>A200+0.01</f>
        <v>1.7300000000000013</v>
      </c>
      <c r="B201" s="20">
        <f>A201*$C$5</f>
        <v>1038.0000000000007</v>
      </c>
      <c r="C201" s="20">
        <f>MIN(0.8*B201,$C$5)</f>
        <v>600</v>
      </c>
      <c r="D201" s="24">
        <f>ACOS(MAX(-1,($C$7-C201)/$C$7))</f>
        <v>3.1415926535897931</v>
      </c>
      <c r="E201" s="20">
        <f>$C$7^2*(D201-SIN(D201)*COS(D201))</f>
        <v>282743.3388230814</v>
      </c>
      <c r="F201" s="24">
        <f>E201/$C$9</f>
        <v>1</v>
      </c>
      <c r="G201" s="16">
        <f>IF(E201&gt;0,2*$C$7^3*SIN(D201)^3/(3*E201),0)</f>
        <v>1.1707017644929472E-46</v>
      </c>
      <c r="H201" s="24">
        <f>F201*G201/$C$5</f>
        <v>1.9511696074882452E-49</v>
      </c>
      <c r="I201" s="24" cm="1">
        <f t="array" ref="I201">_xlfn.LET(_xlpm.x,$B201,_xlpm.dep,$H$6:$H$29,_xlpm.e,IF(_xlpm.x&lt;=$C$5,$C$12*(_xlpm.x-_xlpm.dep)/_xlpm.x,$C$13*(_xlpm.x-_xlpm.dep)/(_xlpm.x-3*$C$5/7))/$C$14,_xlpm.s,(_xlpm.e&gt;=1)*1+(_xlpm.e&lt;=-1)*(-1)+(ABS(_xlpm.e)&lt;1)*_xlpm.e,AVERAGE(_xlpm.s))</f>
        <v>0.83852218675633639</v>
      </c>
      <c r="J201" s="24" cm="1">
        <f t="array" ref="J201">_xlfn.LET(_xlpm.x,$B201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4.1301962723417136E-2</v>
      </c>
      <c r="K201" s="24">
        <f>IFERROR(($C$15-F201)/I201,"")</f>
        <v>-0.93950216422803945</v>
      </c>
      <c r="L201" s="24" t="str">
        <f>IF(AND(ISNUMBER(K201),N(K201)&gt;0),H201+K201*J201,"")</f>
        <v/>
      </c>
      <c r="M201" s="24">
        <f>IF(ISNUMBER(L201),ABS(L201-$C$16),1000000000)</f>
        <v>1000000000</v>
      </c>
    </row>
    <row r="202" spans="1:13" x14ac:dyDescent="0.3">
      <c r="A202" s="24">
        <f>A201+0.01</f>
        <v>1.7400000000000013</v>
      </c>
      <c r="B202" s="20">
        <f>A202*$C$5</f>
        <v>1044.0000000000007</v>
      </c>
      <c r="C202" s="20">
        <f>MIN(0.8*B202,$C$5)</f>
        <v>600</v>
      </c>
      <c r="D202" s="24">
        <f>ACOS(MAX(-1,($C$7-C202)/$C$7))</f>
        <v>3.1415926535897931</v>
      </c>
      <c r="E202" s="20">
        <f>$C$7^2*(D202-SIN(D202)*COS(D202))</f>
        <v>282743.3388230814</v>
      </c>
      <c r="F202" s="24">
        <f>E202/$C$9</f>
        <v>1</v>
      </c>
      <c r="G202" s="16">
        <f>IF(E202&gt;0,2*$C$7^3*SIN(D202)^3/(3*E202),0)</f>
        <v>1.1707017644929472E-46</v>
      </c>
      <c r="H202" s="24">
        <f>F202*G202/$C$5</f>
        <v>1.9511696074882452E-49</v>
      </c>
      <c r="I202" s="24" cm="1">
        <f t="array" ref="I202">_xlfn.LET(_xlpm.x,$B202,_xlpm.dep,$H$6:$H$29,_xlpm.e,IF(_xlpm.x&lt;=$C$5,$C$12*(_xlpm.x-_xlpm.dep)/_xlpm.x,$C$13*(_xlpm.x-_xlpm.dep)/(_xlpm.x-3*$C$5/7))/$C$14,_xlpm.s,(_xlpm.e&gt;=1)*1+(_xlpm.e&lt;=-1)*(-1)+(ABS(_xlpm.e)&lt;1)*_xlpm.e,AVERAGE(_xlpm.s))</f>
        <v>0.83937223544120076</v>
      </c>
      <c r="J202" s="24" cm="1">
        <f t="array" ref="J202">_xlfn.LET(_xlpm.x,$B202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4.1055988950509568E-2</v>
      </c>
      <c r="K202" s="24">
        <f>IFERROR(($C$15-F202)/I202,"")</f>
        <v>-0.9385507120052845</v>
      </c>
      <c r="L202" s="24" t="str">
        <f>IF(AND(ISNUMBER(K202),N(K202)&gt;0),H202+K202*J202,"")</f>
        <v/>
      </c>
      <c r="M202" s="24">
        <f>IF(ISNUMBER(L202),ABS(L202-$C$16),1000000000)</f>
        <v>1000000000</v>
      </c>
    </row>
    <row r="203" spans="1:13" x14ac:dyDescent="0.3">
      <c r="A203" s="24">
        <f>A202+0.01</f>
        <v>1.7500000000000013</v>
      </c>
      <c r="B203" s="20">
        <f>A203*$C$5</f>
        <v>1050.0000000000009</v>
      </c>
      <c r="C203" s="20">
        <f>MIN(0.8*B203,$C$5)</f>
        <v>600</v>
      </c>
      <c r="D203" s="24">
        <f>ACOS(MAX(-1,($C$7-C203)/$C$7))</f>
        <v>3.1415926535897931</v>
      </c>
      <c r="E203" s="20">
        <f>$C$7^2*(D203-SIN(D203)*COS(D203))</f>
        <v>282743.3388230814</v>
      </c>
      <c r="F203" s="24">
        <f>E203/$C$9</f>
        <v>1</v>
      </c>
      <c r="G203" s="16">
        <f>IF(E203&gt;0,2*$C$7^3*SIN(D203)^3/(3*E203),0)</f>
        <v>1.1707017644929472E-46</v>
      </c>
      <c r="H203" s="24">
        <f>F203*G203/$C$5</f>
        <v>1.9511696074882452E-49</v>
      </c>
      <c r="I203" s="24" cm="1">
        <f t="array" ref="I203">_xlfn.LET(_xlpm.x,$B203,_xlpm.dep,$H$6:$H$29,_xlpm.e,IF(_xlpm.x&lt;=$C$5,$C$12*(_xlpm.x-_xlpm.dep)/_xlpm.x,$C$13*(_xlpm.x-_xlpm.dep)/(_xlpm.x-3*$C$5/7))/$C$14,_xlpm.s,(_xlpm.e&gt;=1)*1+(_xlpm.e&lt;=-1)*(-1)+(ABS(_xlpm.e)&lt;1)*_xlpm.e,AVERAGE(_xlpm.s))</f>
        <v>0.84020941852434861</v>
      </c>
      <c r="J203" s="24" cm="1">
        <f t="array" ref="J203">_xlfn.LET(_xlpm.x,$B203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4.0813738023894625E-2</v>
      </c>
      <c r="K203" s="24">
        <f>IFERROR(($C$15-F203)/I203,"")</f>
        <v>-0.93761554184241347</v>
      </c>
      <c r="L203" s="24" t="str">
        <f>IF(AND(ISNUMBER(K203),N(K203)&gt;0),H203+K203*J203,"")</f>
        <v/>
      </c>
      <c r="M203" s="24">
        <f>IF(ISNUMBER(L203),ABS(L203-$C$16),1000000000)</f>
        <v>1000000000</v>
      </c>
    </row>
    <row r="204" spans="1:13" x14ac:dyDescent="0.3">
      <c r="A204" s="24">
        <f>A203+0.01</f>
        <v>1.7600000000000013</v>
      </c>
      <c r="B204" s="20">
        <f>A204*$C$5</f>
        <v>1056.0000000000009</v>
      </c>
      <c r="C204" s="20">
        <f>MIN(0.8*B204,$C$5)</f>
        <v>600</v>
      </c>
      <c r="D204" s="24">
        <f>ACOS(MAX(-1,($C$7-C204)/$C$7))</f>
        <v>3.1415926535897931</v>
      </c>
      <c r="E204" s="20">
        <f>$C$7^2*(D204-SIN(D204)*COS(D204))</f>
        <v>282743.3388230814</v>
      </c>
      <c r="F204" s="24">
        <f>E204/$C$9</f>
        <v>1</v>
      </c>
      <c r="G204" s="16">
        <f>IF(E204&gt;0,2*$C$7^3*SIN(D204)^3/(3*E204),0)</f>
        <v>1.1707017644929472E-46</v>
      </c>
      <c r="H204" s="24">
        <f>F204*G204/$C$5</f>
        <v>1.9511696074882452E-49</v>
      </c>
      <c r="I204" s="24" cm="1">
        <f t="array" ref="I204">_xlfn.LET(_xlpm.x,$B204,_xlpm.dep,$H$6:$H$29,_xlpm.e,IF(_xlpm.x&lt;=$C$5,$C$12*(_xlpm.x-_xlpm.dep)/_xlpm.x,$C$13*(_xlpm.x-_xlpm.dep)/(_xlpm.x-3*$C$5/7))/$C$14,_xlpm.s,(_xlpm.e&gt;=1)*1+(_xlpm.e&lt;=-1)*(-1)+(ABS(_xlpm.e)&lt;1)*_xlpm.e,AVERAGE(_xlpm.s))</f>
        <v>0.84103402589594678</v>
      </c>
      <c r="J204" s="24" cm="1">
        <f t="array" ref="J204">_xlfn.LET(_xlpm.x,$B204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4.0575126059696674E-2</v>
      </c>
      <c r="K204" s="24">
        <f>IFERROR(($C$15-F204)/I204,"")</f>
        <v>-0.93669623933654333</v>
      </c>
      <c r="L204" s="24" t="str">
        <f>IF(AND(ISNUMBER(K204),N(K204)&gt;0),H204+K204*J204,"")</f>
        <v/>
      </c>
      <c r="M204" s="24">
        <f>IF(ISNUMBER(L204),ABS(L204-$C$16),1000000000)</f>
        <v>1000000000</v>
      </c>
    </row>
    <row r="205" spans="1:13" x14ac:dyDescent="0.3">
      <c r="A205" s="24">
        <f>A204+0.01</f>
        <v>1.7700000000000014</v>
      </c>
      <c r="B205" s="20">
        <f>A205*$C$5</f>
        <v>1062.0000000000009</v>
      </c>
      <c r="C205" s="20">
        <f>MIN(0.8*B205,$C$5)</f>
        <v>600</v>
      </c>
      <c r="D205" s="24">
        <f>ACOS(MAX(-1,($C$7-C205)/$C$7))</f>
        <v>3.1415926535897931</v>
      </c>
      <c r="E205" s="20">
        <f>$C$7^2*(D205-SIN(D205)*COS(D205))</f>
        <v>282743.3388230814</v>
      </c>
      <c r="F205" s="24">
        <f>E205/$C$9</f>
        <v>1</v>
      </c>
      <c r="G205" s="16">
        <f>IF(E205&gt;0,2*$C$7^3*SIN(D205)^3/(3*E205),0)</f>
        <v>1.1707017644929472E-46</v>
      </c>
      <c r="H205" s="24">
        <f>F205*G205/$C$5</f>
        <v>1.9511696074882452E-49</v>
      </c>
      <c r="I205" s="24" cm="1">
        <f t="array" ref="I205">_xlfn.LET(_xlpm.x,$B205,_xlpm.dep,$H$6:$H$29,_xlpm.e,IF(_xlpm.x&lt;=$C$5,$C$12*(_xlpm.x-_xlpm.dep)/_xlpm.x,$C$13*(_xlpm.x-_xlpm.dep)/(_xlpm.x-3*$C$5/7))/$C$14,_xlpm.s,(_xlpm.e&gt;=1)*1+(_xlpm.e&lt;=-1)*(-1)+(ABS(_xlpm.e)&lt;1)*_xlpm.e,AVERAGE(_xlpm.s))</f>
        <v>0.84184633880194093</v>
      </c>
      <c r="J205" s="24" cm="1">
        <f t="array" ref="J205">_xlfn.LET(_xlpm.x,$B205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4.0340071675369599E-2</v>
      </c>
      <c r="K205" s="24">
        <f>IFERROR(($C$15-F205)/I205,"")</f>
        <v>-0.93579240402938724</v>
      </c>
      <c r="L205" s="24" t="str">
        <f>IF(AND(ISNUMBER(K205),N(K205)&gt;0),H205+K205*J205,"")</f>
        <v/>
      </c>
      <c r="M205" s="24">
        <f>IF(ISNUMBER(L205),ABS(L205-$C$16),1000000000)</f>
        <v>1000000000</v>
      </c>
    </row>
    <row r="206" spans="1:13" x14ac:dyDescent="0.3">
      <c r="A206" s="24">
        <f>A205+0.01</f>
        <v>1.7800000000000014</v>
      </c>
      <c r="B206" s="20">
        <f>A206*$C$5</f>
        <v>1068.0000000000009</v>
      </c>
      <c r="C206" s="20">
        <f>MIN(0.8*B206,$C$5)</f>
        <v>600</v>
      </c>
      <c r="D206" s="24">
        <f>ACOS(MAX(-1,($C$7-C206)/$C$7))</f>
        <v>3.1415926535897931</v>
      </c>
      <c r="E206" s="20">
        <f>$C$7^2*(D206-SIN(D206)*COS(D206))</f>
        <v>282743.3388230814</v>
      </c>
      <c r="F206" s="24">
        <f>E206/$C$9</f>
        <v>1</v>
      </c>
      <c r="G206" s="16">
        <f>IF(E206&gt;0,2*$C$7^3*SIN(D206)^3/(3*E206),0)</f>
        <v>1.1707017644929472E-46</v>
      </c>
      <c r="H206" s="24">
        <f>F206*G206/$C$5</f>
        <v>1.9511696074882452E-49</v>
      </c>
      <c r="I206" s="24" cm="1">
        <f t="array" ref="I206">_xlfn.LET(_xlpm.x,$B206,_xlpm.dep,$H$6:$H$29,_xlpm.e,IF(_xlpm.x&lt;=$C$5,$C$12*(_xlpm.x-_xlpm.dep)/_xlpm.x,$C$13*(_xlpm.x-_xlpm.dep)/(_xlpm.x-3*$C$5/7))/$C$14,_xlpm.s,(_xlpm.e&gt;=1)*1+(_xlpm.e&lt;=-1)*(-1)+(ABS(_xlpm.e)&lt;1)*_xlpm.e,AVERAGE(_xlpm.s))</f>
        <v>0.84264663016387154</v>
      </c>
      <c r="J206" s="24" cm="1">
        <f t="array" ref="J206">_xlfn.LET(_xlpm.x,$B206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4.0108495897153089E-2</v>
      </c>
      <c r="K206" s="24">
        <f>IFERROR(($C$15-F206)/I206,"")</f>
        <v>-0.93490364882560817</v>
      </c>
      <c r="L206" s="24" t="str">
        <f>IF(AND(ISNUMBER(K206),N(K206)&gt;0),H206+K206*J206,"")</f>
        <v/>
      </c>
      <c r="M206" s="24">
        <f>IF(ISNUMBER(L206),ABS(L206-$C$16),1000000000)</f>
        <v>1000000000</v>
      </c>
    </row>
    <row r="207" spans="1:13" x14ac:dyDescent="0.3">
      <c r="A207" s="24">
        <f>A206+0.01</f>
        <v>1.7900000000000014</v>
      </c>
      <c r="B207" s="20">
        <f>A207*$C$5</f>
        <v>1074.0000000000009</v>
      </c>
      <c r="C207" s="20">
        <f>MIN(0.8*B207,$C$5)</f>
        <v>600</v>
      </c>
      <c r="D207" s="24">
        <f>ACOS(MAX(-1,($C$7-C207)/$C$7))</f>
        <v>3.1415926535897931</v>
      </c>
      <c r="E207" s="20">
        <f>$C$7^2*(D207-SIN(D207)*COS(D207))</f>
        <v>282743.3388230814</v>
      </c>
      <c r="F207" s="24">
        <f>E207/$C$9</f>
        <v>1</v>
      </c>
      <c r="G207" s="16">
        <f>IF(E207&gt;0,2*$C$7^3*SIN(D207)^3/(3*E207),0)</f>
        <v>1.1707017644929472E-46</v>
      </c>
      <c r="H207" s="24">
        <f>F207*G207/$C$5</f>
        <v>1.9511696074882452E-49</v>
      </c>
      <c r="I207" s="24" cm="1">
        <f t="array" ref="I207">_xlfn.LET(_xlpm.x,$B207,_xlpm.dep,$H$6:$H$29,_xlpm.e,IF(_xlpm.x&lt;=$C$5,$C$12*(_xlpm.x-_xlpm.dep)/_xlpm.x,$C$13*(_xlpm.x-_xlpm.dep)/(_xlpm.x-3*$C$5/7))/$C$14,_xlpm.s,(_xlpm.e&gt;=1)*1+(_xlpm.e&lt;=-1)*(-1)+(ABS(_xlpm.e)&lt;1)*_xlpm.e,AVERAGE(_xlpm.s))</f>
        <v>0.84343516488459847</v>
      </c>
      <c r="J207" s="24" cm="1">
        <f t="array" ref="J207">_xlfn.LET(_xlpm.x,$B207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3.9880322071607119E-2</v>
      </c>
      <c r="K207" s="24">
        <f>IFERROR(($C$15-F207)/I207,"")</f>
        <v>-0.93402959944004083</v>
      </c>
      <c r="L207" s="24" t="str">
        <f>IF(AND(ISNUMBER(K207),N(K207)&gt;0),H207+K207*J207,"")</f>
        <v/>
      </c>
      <c r="M207" s="24">
        <f>IF(ISNUMBER(L207),ABS(L207-$C$16),1000000000)</f>
        <v>1000000000</v>
      </c>
    </row>
    <row r="208" spans="1:13" x14ac:dyDescent="0.3">
      <c r="A208" s="24">
        <f>A207+0.01</f>
        <v>1.8000000000000014</v>
      </c>
      <c r="B208" s="20">
        <f>A208*$C$5</f>
        <v>1080.0000000000009</v>
      </c>
      <c r="C208" s="20">
        <f>MIN(0.8*B208,$C$5)</f>
        <v>600</v>
      </c>
      <c r="D208" s="24">
        <f>ACOS(MAX(-1,($C$7-C208)/$C$7))</f>
        <v>3.1415926535897931</v>
      </c>
      <c r="E208" s="20">
        <f>$C$7^2*(D208-SIN(D208)*COS(D208))</f>
        <v>282743.3388230814</v>
      </c>
      <c r="F208" s="24">
        <f>E208/$C$9</f>
        <v>1</v>
      </c>
      <c r="G208" s="16">
        <f>IF(E208&gt;0,2*$C$7^3*SIN(D208)^3/(3*E208),0)</f>
        <v>1.1707017644929472E-46</v>
      </c>
      <c r="H208" s="24">
        <f>F208*G208/$C$5</f>
        <v>1.9511696074882452E-49</v>
      </c>
      <c r="I208" s="24" cm="1">
        <f t="array" ref="I208">_xlfn.LET(_xlpm.x,$B208,_xlpm.dep,$H$6:$H$29,_xlpm.e,IF(_xlpm.x&lt;=$C$5,$C$12*(_xlpm.x-_xlpm.dep)/_xlpm.x,$C$13*(_xlpm.x-_xlpm.dep)/(_xlpm.x-3*$C$5/7))/$C$14,_xlpm.s,(_xlpm.e&gt;=1)*1+(_xlpm.e&lt;=-1)*(-1)+(ABS(_xlpm.e)&lt;1)*_xlpm.e,AVERAGE(_xlpm.s))</f>
        <v>0.84421220014064835</v>
      </c>
      <c r="J208" s="24" cm="1">
        <f t="array" ref="J208">_xlfn.LET(_xlpm.x,$B208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3.9655475781017031E-2</v>
      </c>
      <c r="K208" s="24">
        <f>IFERROR(($C$15-F208)/I208,"")</f>
        <v>-0.93316989387213012</v>
      </c>
      <c r="L208" s="24" t="str">
        <f>IF(AND(ISNUMBER(K208),N(K208)&gt;0),H208+K208*J208,"")</f>
        <v/>
      </c>
      <c r="M208" s="24">
        <f>IF(ISNUMBER(L208),ABS(L208-$C$16),1000000000)</f>
        <v>1000000000</v>
      </c>
    </row>
    <row r="209" spans="1:13" x14ac:dyDescent="0.3">
      <c r="A209" s="24">
        <f>A208+0.01</f>
        <v>1.8100000000000014</v>
      </c>
      <c r="B209" s="20">
        <f>A209*$C$5</f>
        <v>1086.0000000000009</v>
      </c>
      <c r="C209" s="20">
        <f>MIN(0.8*B209,$C$5)</f>
        <v>600</v>
      </c>
      <c r="D209" s="24">
        <f>ACOS(MAX(-1,($C$7-C209)/$C$7))</f>
        <v>3.1415926535897931</v>
      </c>
      <c r="E209" s="20">
        <f>$C$7^2*(D209-SIN(D209)*COS(D209))</f>
        <v>282743.3388230814</v>
      </c>
      <c r="F209" s="24">
        <f>E209/$C$9</f>
        <v>1</v>
      </c>
      <c r="G209" s="16">
        <f>IF(E209&gt;0,2*$C$7^3*SIN(D209)^3/(3*E209),0)</f>
        <v>1.1707017644929472E-46</v>
      </c>
      <c r="H209" s="24">
        <f>F209*G209/$C$5</f>
        <v>1.9511696074882452E-49</v>
      </c>
      <c r="I209" s="24" cm="1">
        <f t="array" ref="I209">_xlfn.LET(_xlpm.x,$B209,_xlpm.dep,$H$6:$H$29,_xlpm.e,IF(_xlpm.x&lt;=$C$5,$C$12*(_xlpm.x-_xlpm.dep)/_xlpm.x,$C$13*(_xlpm.x-_xlpm.dep)/(_xlpm.x-3*$C$5/7))/$C$14,_xlpm.s,(_xlpm.e&gt;=1)*1+(_xlpm.e&lt;=-1)*(-1)+(ABS(_xlpm.e)&lt;1)*_xlpm.e,AVERAGE(_xlpm.s))</f>
        <v>0.84497798566186377</v>
      </c>
      <c r="J209" s="24" cm="1">
        <f t="array" ref="J209">_xlfn.LET(_xlpm.x,$B209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3.9433884762472712E-2</v>
      </c>
      <c r="K209" s="24">
        <f>IFERROR(($C$15-F209)/I209,"")</f>
        <v>-0.93232418190603472</v>
      </c>
      <c r="L209" s="24" t="str">
        <f>IF(AND(ISNUMBER(K209),N(K209)&gt;0),H209+K209*J209,"")</f>
        <v/>
      </c>
      <c r="M209" s="24">
        <f>IF(ISNUMBER(L209),ABS(L209-$C$16),1000000000)</f>
        <v>1000000000</v>
      </c>
    </row>
    <row r="210" spans="1:13" x14ac:dyDescent="0.3">
      <c r="A210" s="24">
        <f>A209+0.01</f>
        <v>1.8200000000000014</v>
      </c>
      <c r="B210" s="20">
        <f>A210*$C$5</f>
        <v>1092.0000000000009</v>
      </c>
      <c r="C210" s="20">
        <f>MIN(0.8*B210,$C$5)</f>
        <v>600</v>
      </c>
      <c r="D210" s="24">
        <f>ACOS(MAX(-1,($C$7-C210)/$C$7))</f>
        <v>3.1415926535897931</v>
      </c>
      <c r="E210" s="20">
        <f>$C$7^2*(D210-SIN(D210)*COS(D210))</f>
        <v>282743.3388230814</v>
      </c>
      <c r="F210" s="24">
        <f>E210/$C$9</f>
        <v>1</v>
      </c>
      <c r="G210" s="16">
        <f>IF(E210&gt;0,2*$C$7^3*SIN(D210)^3/(3*E210),0)</f>
        <v>1.1707017644929472E-46</v>
      </c>
      <c r="H210" s="24">
        <f>F210*G210/$C$5</f>
        <v>1.9511696074882452E-49</v>
      </c>
      <c r="I210" s="24" cm="1">
        <f t="array" ref="I210">_xlfn.LET(_xlpm.x,$B210,_xlpm.dep,$H$6:$H$29,_xlpm.e,IF(_xlpm.x&lt;=$C$5,$C$12*(_xlpm.x-_xlpm.dep)/_xlpm.x,$C$13*(_xlpm.x-_xlpm.dep)/(_xlpm.x-3*$C$5/7))/$C$14,_xlpm.s,(_xlpm.e&gt;=1)*1+(_xlpm.e&lt;=-1)*(-1)+(ABS(_xlpm.e)&lt;1)*_xlpm.e,AVERAGE(_xlpm.s))</f>
        <v>0.84569112585160866</v>
      </c>
      <c r="J210" s="24" cm="1">
        <f t="array" ref="J210">_xlfn.LET(_xlpm.x,$B210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3.9207498185521272E-2</v>
      </c>
      <c r="K210" s="24">
        <f>IFERROR(($C$15-F210)/I210,"")</f>
        <v>-0.9315379872497781</v>
      </c>
      <c r="L210" s="24" t="str">
        <f>IF(AND(ISNUMBER(K210),N(K210)&gt;0),H210+K210*J210,"")</f>
        <v/>
      </c>
      <c r="M210" s="24">
        <f>IF(ISNUMBER(L210),ABS(L210-$C$16),1000000000)</f>
        <v>1000000000</v>
      </c>
    </row>
    <row r="211" spans="1:13" x14ac:dyDescent="0.3">
      <c r="A211" s="24">
        <f>A210+0.01</f>
        <v>1.8300000000000014</v>
      </c>
      <c r="B211" s="20">
        <f>A211*$C$5</f>
        <v>1098.0000000000009</v>
      </c>
      <c r="C211" s="20">
        <f>MIN(0.8*B211,$C$5)</f>
        <v>600</v>
      </c>
      <c r="D211" s="24">
        <f>ACOS(MAX(-1,($C$7-C211)/$C$7))</f>
        <v>3.1415926535897931</v>
      </c>
      <c r="E211" s="20">
        <f>$C$7^2*(D211-SIN(D211)*COS(D211))</f>
        <v>282743.3388230814</v>
      </c>
      <c r="F211" s="24">
        <f>E211/$C$9</f>
        <v>1</v>
      </c>
      <c r="G211" s="16">
        <f>IF(E211&gt;0,2*$C$7^3*SIN(D211)^3/(3*E211),0)</f>
        <v>1.1707017644929472E-46</v>
      </c>
      <c r="H211" s="24">
        <f>F211*G211/$C$5</f>
        <v>1.9511696074882452E-49</v>
      </c>
      <c r="I211" s="24" cm="1">
        <f t="array" ref="I211">_xlfn.LET(_xlpm.x,$B211,_xlpm.dep,$H$6:$H$29,_xlpm.e,IF(_xlpm.x&lt;=$C$5,$C$12*(_xlpm.x-_xlpm.dep)/_xlpm.x,$C$13*(_xlpm.x-_xlpm.dep)/(_xlpm.x-3*$C$5/7))/$C$14,_xlpm.s,(_xlpm.e&gt;=1)*1+(_xlpm.e&lt;=-1)*(-1)+(ABS(_xlpm.e)&lt;1)*_xlpm.e,AVERAGE(_xlpm.s))</f>
        <v>0.84638785923832838</v>
      </c>
      <c r="J211" s="24" cm="1">
        <f t="array" ref="J211">_xlfn.LET(_xlpm.x,$B211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3.8983148423841013E-2</v>
      </c>
      <c r="K211" s="24">
        <f>IFERROR(($C$15-F211)/I211,"")</f>
        <v>-0.93077115959549361</v>
      </c>
      <c r="L211" s="24" t="str">
        <f>IF(AND(ISNUMBER(K211),N(K211)&gt;0),H211+K211*J211,"")</f>
        <v/>
      </c>
      <c r="M211" s="24">
        <f>IF(ISNUMBER(L211),ABS(L211-$C$16),1000000000)</f>
        <v>1000000000</v>
      </c>
    </row>
    <row r="212" spans="1:13" x14ac:dyDescent="0.3">
      <c r="A212" s="24">
        <f>A211+0.01</f>
        <v>1.8400000000000014</v>
      </c>
      <c r="B212" s="20">
        <f>A212*$C$5</f>
        <v>1104.0000000000009</v>
      </c>
      <c r="C212" s="20">
        <f>MIN(0.8*B212,$C$5)</f>
        <v>600</v>
      </c>
      <c r="D212" s="24">
        <f>ACOS(MAX(-1,($C$7-C212)/$C$7))</f>
        <v>3.1415926535897931</v>
      </c>
      <c r="E212" s="20">
        <f>$C$7^2*(D212-SIN(D212)*COS(D212))</f>
        <v>282743.3388230814</v>
      </c>
      <c r="F212" s="24">
        <f>E212/$C$9</f>
        <v>1</v>
      </c>
      <c r="G212" s="16">
        <f>IF(E212&gt;0,2*$C$7^3*SIN(D212)^3/(3*E212),0)</f>
        <v>1.1707017644929472E-46</v>
      </c>
      <c r="H212" s="24">
        <f>F212*G212/$C$5</f>
        <v>1.9511696074882452E-49</v>
      </c>
      <c r="I212" s="24" cm="1">
        <f t="array" ref="I212">_xlfn.LET(_xlpm.x,$B212,_xlpm.dep,$H$6:$H$29,_xlpm.e,IF(_xlpm.x&lt;=$C$5,$C$12*(_xlpm.x-_xlpm.dep)/_xlpm.x,$C$13*(_xlpm.x-_xlpm.dep)/(_xlpm.x-3*$C$5/7))/$C$14,_xlpm.s,(_xlpm.e&gt;=1)*1+(_xlpm.e&lt;=-1)*(-1)+(ABS(_xlpm.e)&lt;1)*_xlpm.e,AVERAGE(_xlpm.s))</f>
        <v>0.84707471988475058</v>
      </c>
      <c r="J212" s="24" cm="1">
        <f t="array" ref="J212">_xlfn.LET(_xlpm.x,$B212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3.8761977707366772E-2</v>
      </c>
      <c r="K212" s="24">
        <f>IFERROR(($C$15-F212)/I212,"")</f>
        <v>-0.93001643269201817</v>
      </c>
      <c r="L212" s="24" t="str">
        <f>IF(AND(ISNUMBER(K212),N(K212)&gt;0),H212+K212*J212,"")</f>
        <v/>
      </c>
      <c r="M212" s="24">
        <f>IF(ISNUMBER(L212),ABS(L212-$C$16),1000000000)</f>
        <v>1000000000</v>
      </c>
    </row>
  </sheetData>
  <mergeCells count="1">
    <mergeCell ref="A2:M2"/>
  </mergeCells>
  <conditionalFormatting sqref="C27">
    <cfRule type="containsText" dxfId="1" priority="1" operator="containsText" text="AUSSERHALB DES GÜLTIGKEITSBEREICHS">
      <formula>NOT(ISERROR(SEARCH("AUSSERHALB DES GÜLTIGKEITSBEREICHS",C27)))</formula>
    </cfRule>
    <cfRule type="containsText" dxfId="0" priority="2" operator="containsText" text="OK">
      <formula>NOT(ISERROR(SEARCH("OK",C27)))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50C8-1EFB-456F-8197-F43749612B60}">
  <dimension ref="A1:Y130"/>
  <sheetViews>
    <sheetView topLeftCell="A30" zoomScale="85" zoomScaleNormal="85" workbookViewId="0">
      <selection activeCell="C46" sqref="C46"/>
    </sheetView>
  </sheetViews>
  <sheetFormatPr defaultRowHeight="14.4" x14ac:dyDescent="0.3"/>
  <cols>
    <col min="1" max="1" width="57.109375" customWidth="1"/>
    <col min="2" max="2" width="13.33203125" customWidth="1"/>
    <col min="3" max="3" width="41.5546875" customWidth="1"/>
    <col min="4" max="4" width="10.44140625" customWidth="1"/>
    <col min="5" max="5" width="28.5546875" customWidth="1"/>
    <col min="6" max="6" width="64.6640625" customWidth="1"/>
    <col min="8" max="8" width="18.109375" customWidth="1"/>
    <col min="9" max="9" width="13.33203125" customWidth="1"/>
    <col min="10" max="10" width="15.33203125" customWidth="1"/>
    <col min="11" max="11" width="14.33203125" customWidth="1"/>
    <col min="12" max="12" width="17.109375" customWidth="1"/>
  </cols>
  <sheetData>
    <row r="1" spans="1:25" ht="18" x14ac:dyDescent="0.35">
      <c r="A1" s="44" t="s">
        <v>563</v>
      </c>
      <c r="B1" s="43"/>
      <c r="C1" s="43"/>
      <c r="D1" s="43"/>
      <c r="E1" s="43"/>
      <c r="F1" s="43"/>
    </row>
    <row r="2" spans="1:25" x14ac:dyDescent="0.3">
      <c r="A2" s="45" t="s">
        <v>564</v>
      </c>
      <c r="R2" t="s">
        <v>918</v>
      </c>
      <c r="S2" t="s">
        <v>919</v>
      </c>
      <c r="T2" t="s">
        <v>920</v>
      </c>
      <c r="U2" t="s">
        <v>921</v>
      </c>
      <c r="V2" t="s">
        <v>922</v>
      </c>
      <c r="W2" t="s">
        <v>923</v>
      </c>
      <c r="X2" t="s">
        <v>924</v>
      </c>
      <c r="Y2" t="s">
        <v>925</v>
      </c>
    </row>
    <row r="3" spans="1:25" x14ac:dyDescent="0.3">
      <c r="R3">
        <f>0</f>
        <v>0</v>
      </c>
      <c r="S3">
        <f>0</f>
        <v>0</v>
      </c>
      <c r="T3">
        <f>C11</f>
        <v>50</v>
      </c>
      <c r="U3">
        <f>C11</f>
        <v>50</v>
      </c>
      <c r="V3">
        <f>IF(1&lt;=$C$13,$C$33+(1-1)*($C$9-2*$C$33)/MAX($C$13-1,1),NA())</f>
        <v>70</v>
      </c>
      <c r="W3">
        <f>IF(1&lt;=$C$13,$C$33,NA())</f>
        <v>70</v>
      </c>
      <c r="X3">
        <f>$C$33</f>
        <v>70</v>
      </c>
      <c r="Y3" s="53">
        <f>$C$10-$C$33</f>
        <v>530</v>
      </c>
    </row>
    <row r="4" spans="1:25" x14ac:dyDescent="0.3">
      <c r="A4" s="4" t="s">
        <v>565</v>
      </c>
      <c r="B4" s="3"/>
      <c r="C4" s="3"/>
      <c r="D4" s="3"/>
      <c r="E4" s="3"/>
      <c r="F4" s="3"/>
      <c r="R4">
        <f>C9</f>
        <v>3420</v>
      </c>
      <c r="S4">
        <f>0</f>
        <v>0</v>
      </c>
      <c r="T4">
        <f>C9-C11</f>
        <v>3370</v>
      </c>
      <c r="U4">
        <f>C11</f>
        <v>50</v>
      </c>
      <c r="V4">
        <f>IF(2&lt;=$C$13,$C$33+(2-1)*($C$9-2*$C$33)/MAX($C$13-1,1),NA())</f>
        <v>434.44444444444446</v>
      </c>
      <c r="W4">
        <f>IF(2&lt;=$C$13,$C$33,NA())</f>
        <v>70</v>
      </c>
      <c r="X4" s="53">
        <f>$C$9-$C$33</f>
        <v>3350</v>
      </c>
      <c r="Y4" s="53">
        <f>$C$10-$C$33</f>
        <v>530</v>
      </c>
    </row>
    <row r="5" spans="1:25" x14ac:dyDescent="0.3">
      <c r="A5" s="5" t="s">
        <v>3</v>
      </c>
      <c r="B5" s="5" t="s">
        <v>4</v>
      </c>
      <c r="C5" s="46" t="s">
        <v>5</v>
      </c>
      <c r="D5" s="46" t="s">
        <v>6</v>
      </c>
      <c r="E5" s="5" t="s">
        <v>7</v>
      </c>
      <c r="F5" s="5" t="s">
        <v>566</v>
      </c>
      <c r="R5">
        <f>C9</f>
        <v>3420</v>
      </c>
      <c r="S5">
        <f>C10</f>
        <v>600</v>
      </c>
      <c r="T5">
        <f>C9-C11</f>
        <v>3370</v>
      </c>
      <c r="U5">
        <f>C10-C11</f>
        <v>550</v>
      </c>
      <c r="V5">
        <f>IF(3&lt;=$C$13,$C$33+(3-1)*($C$9-2*$C$33)/MAX($C$13-1,1),NA())</f>
        <v>798.88888888888891</v>
      </c>
      <c r="W5">
        <f>IF(3&lt;=$C$13,$C$33,NA())</f>
        <v>70</v>
      </c>
    </row>
    <row r="6" spans="1:25" x14ac:dyDescent="0.3">
      <c r="A6" t="s">
        <v>567</v>
      </c>
      <c r="B6" t="s">
        <v>17</v>
      </c>
      <c r="C6" s="47">
        <v>250</v>
      </c>
      <c r="D6" s="48" t="s">
        <v>18</v>
      </c>
      <c r="E6">
        <v>6.1</v>
      </c>
      <c r="F6" t="s">
        <v>568</v>
      </c>
      <c r="R6">
        <f>0</f>
        <v>0</v>
      </c>
      <c r="S6">
        <f>C10</f>
        <v>600</v>
      </c>
      <c r="T6">
        <f>C11</f>
        <v>50</v>
      </c>
      <c r="U6">
        <f>C10-C11</f>
        <v>550</v>
      </c>
      <c r="V6">
        <f>IF(4&lt;=$C$13,$C$33+(4-1)*($C$9-2*$C$33)/MAX($C$13-1,1),NA())</f>
        <v>1163.3333333333333</v>
      </c>
      <c r="W6">
        <f>IF(4&lt;=$C$13,$C$33,NA())</f>
        <v>70</v>
      </c>
    </row>
    <row r="7" spans="1:25" x14ac:dyDescent="0.3">
      <c r="A7" t="s">
        <v>569</v>
      </c>
      <c r="B7" t="s">
        <v>14</v>
      </c>
      <c r="C7" s="47">
        <v>200</v>
      </c>
      <c r="D7" s="48" t="s">
        <v>11</v>
      </c>
      <c r="E7" t="s">
        <v>15</v>
      </c>
      <c r="R7">
        <f>0</f>
        <v>0</v>
      </c>
      <c r="S7">
        <f>0</f>
        <v>0</v>
      </c>
      <c r="T7">
        <f>C11</f>
        <v>50</v>
      </c>
      <c r="U7">
        <f>C11</f>
        <v>50</v>
      </c>
      <c r="V7">
        <f>IF(5&lt;=$C$13,$C$33+(5-1)*($C$9-2*$C$33)/MAX($C$13-1,1),NA())</f>
        <v>1527.7777777777778</v>
      </c>
      <c r="W7">
        <f>IF(5&lt;=$C$13,$C$33,NA())</f>
        <v>70</v>
      </c>
    </row>
    <row r="8" spans="1:25" x14ac:dyDescent="0.3">
      <c r="A8" t="s">
        <v>570</v>
      </c>
      <c r="B8" t="s">
        <v>571</v>
      </c>
      <c r="C8" s="47">
        <v>25</v>
      </c>
      <c r="D8" s="48" t="s">
        <v>18</v>
      </c>
      <c r="E8" t="s">
        <v>572</v>
      </c>
      <c r="V8">
        <f>IF(6&lt;=$C$13,$C$33+(6-1)*($C$9-2*$C$33)/MAX($C$13-1,1),NA())</f>
        <v>1892.2222222222222</v>
      </c>
      <c r="W8">
        <f>IF(6&lt;=$C$13,$C$33,NA())</f>
        <v>70</v>
      </c>
    </row>
    <row r="9" spans="1:25" x14ac:dyDescent="0.3">
      <c r="A9" t="s">
        <v>573</v>
      </c>
      <c r="B9" t="s">
        <v>574</v>
      </c>
      <c r="C9" s="47">
        <v>3420</v>
      </c>
      <c r="D9" s="48" t="s">
        <v>21</v>
      </c>
      <c r="E9" t="s">
        <v>575</v>
      </c>
      <c r="V9">
        <f>IF(7&lt;=$C$13,$C$33+(7-1)*($C$9-2*$C$33)/MAX($C$13-1,1),NA())</f>
        <v>2256.6666666666665</v>
      </c>
      <c r="W9">
        <f>IF(7&lt;=$C$13,$C$33,NA())</f>
        <v>70</v>
      </c>
    </row>
    <row r="10" spans="1:25" x14ac:dyDescent="0.3">
      <c r="A10" t="s">
        <v>576</v>
      </c>
      <c r="B10" t="s">
        <v>577</v>
      </c>
      <c r="C10" s="47">
        <v>600</v>
      </c>
      <c r="D10" s="48" t="s">
        <v>21</v>
      </c>
      <c r="E10" t="s">
        <v>575</v>
      </c>
      <c r="V10">
        <f>IF(8&lt;=$C$13,$C$33+(8-1)*($C$9-2*$C$33)/MAX($C$13-1,1),NA())</f>
        <v>2621.1111111111113</v>
      </c>
      <c r="W10">
        <f>IF(8&lt;=$C$13,$C$33,NA())</f>
        <v>70</v>
      </c>
    </row>
    <row r="11" spans="1:25" x14ac:dyDescent="0.3">
      <c r="A11" t="s">
        <v>23</v>
      </c>
      <c r="B11" t="s">
        <v>24</v>
      </c>
      <c r="C11" s="47">
        <v>50</v>
      </c>
      <c r="D11" s="48" t="s">
        <v>21</v>
      </c>
      <c r="E11" t="s">
        <v>578</v>
      </c>
      <c r="V11">
        <f>IF(9&lt;=$C$13,$C$33+(9-1)*($C$9-2*$C$33)/MAX($C$13-1,1),NA())</f>
        <v>2985.5555555555557</v>
      </c>
      <c r="W11">
        <f>IF(9&lt;=$C$13,$C$33,NA())</f>
        <v>70</v>
      </c>
    </row>
    <row r="12" spans="1:25" x14ac:dyDescent="0.3">
      <c r="A12" t="s">
        <v>579</v>
      </c>
      <c r="B12" t="s">
        <v>32</v>
      </c>
      <c r="C12" s="100">
        <v>20</v>
      </c>
      <c r="D12" s="48" t="s">
        <v>21</v>
      </c>
      <c r="E12" t="s">
        <v>575</v>
      </c>
      <c r="V12">
        <f>IF(10&lt;=$C$13,$C$33+(10-1)*($C$9-2*$C$33)/MAX($C$13-1,1),NA())</f>
        <v>3350</v>
      </c>
      <c r="W12">
        <f>IF(10&lt;=$C$13,$C$33,NA())</f>
        <v>70</v>
      </c>
    </row>
    <row r="13" spans="1:25" x14ac:dyDescent="0.3">
      <c r="A13" t="s">
        <v>580</v>
      </c>
      <c r="B13" t="s">
        <v>27</v>
      </c>
      <c r="C13" s="47">
        <v>10</v>
      </c>
      <c r="D13" s="48" t="s">
        <v>575</v>
      </c>
      <c r="E13" t="s">
        <v>575</v>
      </c>
      <c r="V13" t="e">
        <f>IF(11&lt;=$C$13,$C$33+(11-1)*($C$9-2*$C$33)/MAX($C$13-1,1),NA())</f>
        <v>#N/A</v>
      </c>
      <c r="W13" t="e">
        <f>IF(11&lt;=$C$13,$C$33,NA())</f>
        <v>#N/A</v>
      </c>
    </row>
    <row r="14" spans="1:25" x14ac:dyDescent="0.3">
      <c r="A14" t="s">
        <v>581</v>
      </c>
      <c r="B14" t="s">
        <v>35</v>
      </c>
      <c r="C14" s="100">
        <v>10</v>
      </c>
      <c r="D14" s="48" t="s">
        <v>21</v>
      </c>
      <c r="E14" t="s">
        <v>582</v>
      </c>
      <c r="V14" t="e">
        <f>IF(12&lt;=$C$13,$C$33+(12-1)*($C$9-2*$C$33)/MAX($C$13-1,1),NA())</f>
        <v>#N/A</v>
      </c>
      <c r="W14" t="e">
        <f>IF(12&lt;=$C$13,$C$33,NA())</f>
        <v>#N/A</v>
      </c>
    </row>
    <row r="15" spans="1:25" x14ac:dyDescent="0.3">
      <c r="A15" t="s">
        <v>583</v>
      </c>
      <c r="B15" t="s">
        <v>584</v>
      </c>
      <c r="C15" s="47">
        <v>2</v>
      </c>
      <c r="D15" s="48" t="s">
        <v>575</v>
      </c>
      <c r="E15" t="s">
        <v>582</v>
      </c>
    </row>
    <row r="16" spans="1:25" x14ac:dyDescent="0.3">
      <c r="A16" t="s">
        <v>41</v>
      </c>
      <c r="B16" t="s">
        <v>42</v>
      </c>
      <c r="C16" s="90">
        <f>_xlfn.XLOOKUP(F16,Aceros_DIN!$A$35:$A$43,Aceros_DIN!$B$35:$B$43)</f>
        <v>30</v>
      </c>
      <c r="D16" s="48" t="s">
        <v>43</v>
      </c>
      <c r="E16" t="s">
        <v>44</v>
      </c>
      <c r="F16" s="89" t="s">
        <v>953</v>
      </c>
    </row>
    <row r="17" spans="1:6" x14ac:dyDescent="0.3">
      <c r="A17" t="s">
        <v>585</v>
      </c>
      <c r="B17" t="s">
        <v>46</v>
      </c>
      <c r="C17" s="90">
        <f>_xlfn.XLOOKUP(F17,Aceros_DIN!$A$47:$A$49,Aceros_DIN!$B$47:$B$49)</f>
        <v>500</v>
      </c>
      <c r="D17" s="48" t="s">
        <v>43</v>
      </c>
      <c r="E17" t="s">
        <v>47</v>
      </c>
      <c r="F17" s="89" t="s">
        <v>966</v>
      </c>
    </row>
    <row r="18" spans="1:6" x14ac:dyDescent="0.3">
      <c r="A18" t="s">
        <v>586</v>
      </c>
      <c r="B18" t="s">
        <v>49</v>
      </c>
      <c r="C18" s="47">
        <v>1.5</v>
      </c>
      <c r="D18" s="48" t="s">
        <v>575</v>
      </c>
      <c r="E18" t="s">
        <v>50</v>
      </c>
    </row>
    <row r="19" spans="1:6" x14ac:dyDescent="0.3">
      <c r="A19" t="s">
        <v>587</v>
      </c>
      <c r="B19" t="s">
        <v>52</v>
      </c>
      <c r="C19" s="47">
        <v>1.1499999999999999</v>
      </c>
      <c r="D19" s="48" t="s">
        <v>575</v>
      </c>
      <c r="E19" t="s">
        <v>50</v>
      </c>
    </row>
    <row r="20" spans="1:6" x14ac:dyDescent="0.3">
      <c r="A20" t="s">
        <v>588</v>
      </c>
      <c r="B20" t="s">
        <v>54</v>
      </c>
      <c r="C20" s="47">
        <v>0.85</v>
      </c>
      <c r="D20" s="48" t="s">
        <v>575</v>
      </c>
      <c r="E20" t="s">
        <v>55</v>
      </c>
    </row>
    <row r="21" spans="1:6" x14ac:dyDescent="0.3">
      <c r="A21" t="s">
        <v>59</v>
      </c>
      <c r="B21" t="s">
        <v>60</v>
      </c>
      <c r="C21" s="47">
        <v>0</v>
      </c>
      <c r="D21" s="48" t="s">
        <v>575</v>
      </c>
      <c r="E21" t="s">
        <v>553</v>
      </c>
    </row>
    <row r="22" spans="1:6" x14ac:dyDescent="0.3">
      <c r="A22" t="s">
        <v>589</v>
      </c>
      <c r="B22" t="s">
        <v>590</v>
      </c>
      <c r="C22" s="47">
        <v>0.52500000000000002</v>
      </c>
      <c r="D22" s="48" t="s">
        <v>575</v>
      </c>
      <c r="E22" t="s">
        <v>591</v>
      </c>
      <c r="F22" t="s">
        <v>592</v>
      </c>
    </row>
    <row r="24" spans="1:6" x14ac:dyDescent="0.3">
      <c r="A24" s="4" t="s">
        <v>62</v>
      </c>
      <c r="B24" s="3"/>
      <c r="C24" s="3"/>
      <c r="D24" s="3"/>
      <c r="E24" s="3"/>
      <c r="F24" s="3"/>
    </row>
    <row r="25" spans="1:6" x14ac:dyDescent="0.3">
      <c r="A25" t="s">
        <v>593</v>
      </c>
      <c r="B25" t="s">
        <v>64</v>
      </c>
      <c r="C25" s="49">
        <f>C20*C16/C18</f>
        <v>17</v>
      </c>
      <c r="D25" s="48" t="s">
        <v>43</v>
      </c>
      <c r="E25" t="s">
        <v>534</v>
      </c>
      <c r="F25" t="s">
        <v>594</v>
      </c>
    </row>
    <row r="26" spans="1:6" x14ac:dyDescent="0.3">
      <c r="A26" t="s">
        <v>67</v>
      </c>
      <c r="B26" t="s">
        <v>68</v>
      </c>
      <c r="C26" s="49">
        <f>0.3*C16^(2/3)</f>
        <v>2.896468153816889</v>
      </c>
      <c r="D26" s="48" t="s">
        <v>43</v>
      </c>
      <c r="E26" t="s">
        <v>44</v>
      </c>
      <c r="F26" t="s">
        <v>595</v>
      </c>
    </row>
    <row r="27" spans="1:6" x14ac:dyDescent="0.3">
      <c r="A27" t="s">
        <v>596</v>
      </c>
      <c r="B27" t="s">
        <v>597</v>
      </c>
      <c r="C27" s="49">
        <f>0.85*0.7*C26/C18</f>
        <v>1.1489323676806993</v>
      </c>
      <c r="D27" s="48" t="s">
        <v>43</v>
      </c>
      <c r="E27" t="s">
        <v>598</v>
      </c>
      <c r="F27" t="s">
        <v>599</v>
      </c>
    </row>
    <row r="28" spans="1:6" x14ac:dyDescent="0.3">
      <c r="A28" t="s">
        <v>600</v>
      </c>
      <c r="B28" t="s">
        <v>70</v>
      </c>
      <c r="C28" s="50">
        <f>C17/C19</f>
        <v>434.78260869565219</v>
      </c>
      <c r="D28" s="48" t="s">
        <v>43</v>
      </c>
      <c r="E28" t="s">
        <v>535</v>
      </c>
      <c r="F28" t="s">
        <v>601</v>
      </c>
    </row>
    <row r="29" spans="1:6" x14ac:dyDescent="0.3">
      <c r="A29" t="s">
        <v>602</v>
      </c>
      <c r="B29" t="s">
        <v>79</v>
      </c>
      <c r="C29" s="51">
        <v>3.5000000000000001E-3</v>
      </c>
      <c r="D29" s="48" t="s">
        <v>575</v>
      </c>
      <c r="E29" t="s">
        <v>44</v>
      </c>
    </row>
    <row r="30" spans="1:6" x14ac:dyDescent="0.3">
      <c r="A30" t="s">
        <v>603</v>
      </c>
      <c r="B30" t="s">
        <v>76</v>
      </c>
      <c r="C30" s="51">
        <f>C28/200000</f>
        <v>2.1739130434782609E-3</v>
      </c>
      <c r="D30" s="48" t="s">
        <v>575</v>
      </c>
      <c r="E30" t="s">
        <v>77</v>
      </c>
      <c r="F30" t="s">
        <v>604</v>
      </c>
    </row>
    <row r="32" spans="1:6" x14ac:dyDescent="0.3">
      <c r="A32" s="4" t="s">
        <v>605</v>
      </c>
      <c r="B32" s="3"/>
      <c r="C32" s="3"/>
      <c r="D32" s="3"/>
      <c r="E32" s="3"/>
      <c r="F32" s="3"/>
    </row>
    <row r="33" spans="1:6" x14ac:dyDescent="0.3">
      <c r="A33" t="s">
        <v>606</v>
      </c>
      <c r="B33" t="s">
        <v>607</v>
      </c>
      <c r="C33" s="52">
        <f>C11+C14+C12/2</f>
        <v>70</v>
      </c>
      <c r="D33" s="48" t="s">
        <v>21</v>
      </c>
      <c r="E33" t="s">
        <v>96</v>
      </c>
      <c r="F33" t="s">
        <v>608</v>
      </c>
    </row>
    <row r="34" spans="1:6" x14ac:dyDescent="0.3">
      <c r="A34" t="s">
        <v>609</v>
      </c>
      <c r="B34" t="s">
        <v>100</v>
      </c>
      <c r="C34" s="52">
        <f>C10-C33</f>
        <v>530</v>
      </c>
      <c r="D34" s="48" t="s">
        <v>21</v>
      </c>
      <c r="E34">
        <v>6.1</v>
      </c>
      <c r="F34" t="s">
        <v>610</v>
      </c>
    </row>
    <row r="35" spans="1:6" x14ac:dyDescent="0.3">
      <c r="A35" t="s">
        <v>611</v>
      </c>
      <c r="B35" t="s">
        <v>92</v>
      </c>
      <c r="C35" s="54">
        <f>C9*C10</f>
        <v>2052000</v>
      </c>
      <c r="D35" s="48" t="s">
        <v>93</v>
      </c>
      <c r="E35" t="s">
        <v>575</v>
      </c>
      <c r="F35" t="s">
        <v>612</v>
      </c>
    </row>
    <row r="36" spans="1:6" x14ac:dyDescent="0.3">
      <c r="A36" t="s">
        <v>613</v>
      </c>
      <c r="B36" t="s">
        <v>614</v>
      </c>
      <c r="C36" s="54">
        <f>C13*PI()*C12^2/4</f>
        <v>3141.5926535897929</v>
      </c>
      <c r="D36" s="48" t="s">
        <v>93</v>
      </c>
      <c r="E36" t="s">
        <v>575</v>
      </c>
      <c r="F36" t="s">
        <v>615</v>
      </c>
    </row>
    <row r="37" spans="1:6" x14ac:dyDescent="0.3">
      <c r="A37" t="s">
        <v>616</v>
      </c>
      <c r="B37" t="s">
        <v>617</v>
      </c>
      <c r="C37" s="54">
        <f>2*(C9+C10)</f>
        <v>8040</v>
      </c>
      <c r="D37" s="48" t="s">
        <v>21</v>
      </c>
      <c r="E37" t="s">
        <v>618</v>
      </c>
      <c r="F37" t="s">
        <v>619</v>
      </c>
    </row>
    <row r="38" spans="1:6" x14ac:dyDescent="0.3">
      <c r="A38" t="s">
        <v>620</v>
      </c>
      <c r="B38" t="s">
        <v>621</v>
      </c>
      <c r="C38" s="52">
        <f>MAX(C35/C37,2*C33)</f>
        <v>255.22388059701493</v>
      </c>
      <c r="D38" s="48" t="s">
        <v>21</v>
      </c>
      <c r="E38" t="s">
        <v>618</v>
      </c>
      <c r="F38" t="s">
        <v>622</v>
      </c>
    </row>
    <row r="39" spans="1:6" x14ac:dyDescent="0.3">
      <c r="A39" t="s">
        <v>623</v>
      </c>
      <c r="B39" t="s">
        <v>624</v>
      </c>
      <c r="C39" s="54">
        <f>(C9-C38)*(C10-C38)</f>
        <v>1091139.2292269992</v>
      </c>
      <c r="D39" s="48" t="s">
        <v>93</v>
      </c>
      <c r="E39" t="s">
        <v>618</v>
      </c>
      <c r="F39" t="s">
        <v>625</v>
      </c>
    </row>
    <row r="40" spans="1:6" x14ac:dyDescent="0.3">
      <c r="A40" t="s">
        <v>626</v>
      </c>
      <c r="B40" t="s">
        <v>627</v>
      </c>
      <c r="C40" s="54">
        <f>2*((C9-C38)+(C10-C38))</f>
        <v>7019.1044776119397</v>
      </c>
      <c r="D40" s="48" t="s">
        <v>21</v>
      </c>
      <c r="E40" t="s">
        <v>618</v>
      </c>
      <c r="F40" t="s">
        <v>628</v>
      </c>
    </row>
    <row r="41" spans="1:6" x14ac:dyDescent="0.3">
      <c r="A41" t="s">
        <v>629</v>
      </c>
      <c r="B41" t="s">
        <v>103</v>
      </c>
      <c r="C41" s="52">
        <f>0.9*C34</f>
        <v>477</v>
      </c>
      <c r="D41" s="48" t="s">
        <v>21</v>
      </c>
      <c r="E41" t="s">
        <v>104</v>
      </c>
      <c r="F41" t="s">
        <v>630</v>
      </c>
    </row>
    <row r="43" spans="1:6" x14ac:dyDescent="0.3">
      <c r="A43" s="4" t="s">
        <v>631</v>
      </c>
      <c r="B43" s="3"/>
      <c r="C43" s="3"/>
      <c r="D43" s="3"/>
      <c r="E43" s="3"/>
      <c r="F43" s="3"/>
    </row>
    <row r="44" spans="1:6" x14ac:dyDescent="0.3">
      <c r="A44" t="s">
        <v>632</v>
      </c>
      <c r="B44" t="s">
        <v>633</v>
      </c>
      <c r="C44" s="55">
        <f>C6*1000000/(C9*C34^2*C25)</f>
        <v>1.5307816305714482E-2</v>
      </c>
      <c r="D44" s="48" t="s">
        <v>575</v>
      </c>
      <c r="E44" t="s">
        <v>634</v>
      </c>
      <c r="F44" t="s">
        <v>635</v>
      </c>
    </row>
    <row r="45" spans="1:6" x14ac:dyDescent="0.3">
      <c r="A45" t="s">
        <v>636</v>
      </c>
      <c r="B45" t="s">
        <v>637</v>
      </c>
      <c r="C45" s="55">
        <f>1.25*(1-SQRT(1-2*C44))</f>
        <v>1.9283511914851142E-2</v>
      </c>
      <c r="D45" s="48" t="s">
        <v>575</v>
      </c>
      <c r="E45" t="s">
        <v>638</v>
      </c>
      <c r="F45" t="s">
        <v>639</v>
      </c>
    </row>
    <row r="46" spans="1:6" x14ac:dyDescent="0.3">
      <c r="A46" t="s">
        <v>640</v>
      </c>
      <c r="B46" t="s">
        <v>641</v>
      </c>
      <c r="C46" s="56">
        <v>0.45</v>
      </c>
      <c r="D46" s="48" t="s">
        <v>575</v>
      </c>
      <c r="E46" t="s">
        <v>642</v>
      </c>
      <c r="F46" t="s">
        <v>643</v>
      </c>
    </row>
    <row r="47" spans="1:6" x14ac:dyDescent="0.3">
      <c r="A47" t="s">
        <v>644</v>
      </c>
      <c r="B47" t="s">
        <v>575</v>
      </c>
      <c r="C47" s="57" t="str">
        <f>IF(C45&lt;=C46,"OK","REVISAR – requiere armadura de compresión")</f>
        <v>OK</v>
      </c>
      <c r="D47" s="48" t="s">
        <v>575</v>
      </c>
      <c r="E47" t="s">
        <v>645</v>
      </c>
    </row>
    <row r="48" spans="1:6" x14ac:dyDescent="0.3">
      <c r="A48" t="s">
        <v>646</v>
      </c>
      <c r="B48" t="s">
        <v>647</v>
      </c>
      <c r="C48" s="52">
        <f>C34*(1-0.4*C45)</f>
        <v>525.91189547405156</v>
      </c>
      <c r="D48" s="48" t="s">
        <v>21</v>
      </c>
      <c r="E48">
        <v>6.1</v>
      </c>
      <c r="F48" t="s">
        <v>648</v>
      </c>
    </row>
    <row r="49" spans="1:6" x14ac:dyDescent="0.3">
      <c r="A49" t="s">
        <v>649</v>
      </c>
      <c r="B49" t="s">
        <v>650</v>
      </c>
      <c r="C49" s="54">
        <f>C6*1000000/(C48*C28)</f>
        <v>1093.3390268377575</v>
      </c>
      <c r="D49" s="48" t="s">
        <v>93</v>
      </c>
      <c r="E49">
        <v>6.1</v>
      </c>
      <c r="F49" t="s">
        <v>651</v>
      </c>
    </row>
    <row r="50" spans="1:6" x14ac:dyDescent="0.3">
      <c r="A50" t="s">
        <v>652</v>
      </c>
      <c r="B50" t="s">
        <v>237</v>
      </c>
      <c r="C50" s="54">
        <f>MAX(0.26*C26/C17*C9*C34,0.0013*C9*C34)</f>
        <v>2730.0718513164165</v>
      </c>
      <c r="D50" s="48" t="s">
        <v>93</v>
      </c>
      <c r="E50" t="s">
        <v>653</v>
      </c>
      <c r="F50" t="s">
        <v>654</v>
      </c>
    </row>
    <row r="51" spans="1:6" x14ac:dyDescent="0.3">
      <c r="A51" t="s">
        <v>239</v>
      </c>
      <c r="B51" t="s">
        <v>240</v>
      </c>
      <c r="C51" s="54">
        <f>0.04*C35</f>
        <v>82080</v>
      </c>
      <c r="D51" s="48" t="s">
        <v>93</v>
      </c>
      <c r="E51" t="s">
        <v>655</v>
      </c>
      <c r="F51" t="s">
        <v>656</v>
      </c>
    </row>
    <row r="52" spans="1:6" x14ac:dyDescent="0.3">
      <c r="A52" s="2" t="s">
        <v>657</v>
      </c>
      <c r="B52" s="2" t="s">
        <v>650</v>
      </c>
      <c r="C52" s="59">
        <f>MAX(C49,C50)</f>
        <v>2730.0718513164165</v>
      </c>
      <c r="D52" s="58" t="s">
        <v>93</v>
      </c>
      <c r="E52" s="9" t="s">
        <v>645</v>
      </c>
      <c r="F52" s="9" t="s">
        <v>658</v>
      </c>
    </row>
    <row r="53" spans="1:6" x14ac:dyDescent="0.3">
      <c r="A53" s="5" t="s">
        <v>876</v>
      </c>
      <c r="B53" s="5"/>
      <c r="C53" s="5"/>
      <c r="D53" s="5"/>
      <c r="E53" s="5"/>
      <c r="F53" s="5"/>
    </row>
    <row r="54" spans="1:6" x14ac:dyDescent="0.3">
      <c r="A54" t="s">
        <v>877</v>
      </c>
      <c r="B54" t="s">
        <v>878</v>
      </c>
      <c r="C54" s="64">
        <f>(C34/10)/SQRT(C6*1000/C9)</f>
        <v>6.1989612032985004</v>
      </c>
      <c r="D54" s="48" t="s">
        <v>575</v>
      </c>
      <c r="E54" t="s">
        <v>879</v>
      </c>
      <c r="F54" t="s">
        <v>880</v>
      </c>
    </row>
    <row r="55" spans="1:6" x14ac:dyDescent="0.3">
      <c r="A55" t="s">
        <v>881</v>
      </c>
      <c r="B55" t="s">
        <v>193</v>
      </c>
      <c r="C55" s="64">
        <f>1000/(C56*C28)</f>
        <v>2.3178787368960458</v>
      </c>
      <c r="D55" s="48" t="s">
        <v>575</v>
      </c>
      <c r="E55" t="s">
        <v>882</v>
      </c>
      <c r="F55" t="s">
        <v>883</v>
      </c>
    </row>
    <row r="56" spans="1:6" x14ac:dyDescent="0.3">
      <c r="A56" t="s">
        <v>884</v>
      </c>
      <c r="B56" t="s">
        <v>885</v>
      </c>
      <c r="C56" s="64">
        <f>1-0.4*C45</f>
        <v>0.9922865952340596</v>
      </c>
      <c r="D56" s="48" t="s">
        <v>575</v>
      </c>
      <c r="E56">
        <v>6.1</v>
      </c>
      <c r="F56" t="s">
        <v>886</v>
      </c>
    </row>
    <row r="57" spans="1:6" x14ac:dyDescent="0.3">
      <c r="A57" t="s">
        <v>636</v>
      </c>
      <c r="B57" t="s">
        <v>637</v>
      </c>
      <c r="C57" s="64">
        <f>C45</f>
        <v>1.9283511914851142E-2</v>
      </c>
      <c r="D57" s="48" t="s">
        <v>575</v>
      </c>
      <c r="E57" t="s">
        <v>887</v>
      </c>
      <c r="F57" t="s">
        <v>888</v>
      </c>
    </row>
    <row r="58" spans="1:6" x14ac:dyDescent="0.3">
      <c r="A58" t="s">
        <v>889</v>
      </c>
      <c r="B58" t="s">
        <v>83</v>
      </c>
      <c r="C58" s="65">
        <f>-MIN(C29*1000,25*C45/(1-C45))</f>
        <v>-0.49156693471377855</v>
      </c>
      <c r="D58" s="48" t="s">
        <v>80</v>
      </c>
      <c r="E58" t="s">
        <v>890</v>
      </c>
      <c r="F58" t="s">
        <v>891</v>
      </c>
    </row>
    <row r="59" spans="1:6" x14ac:dyDescent="0.3">
      <c r="A59" t="s">
        <v>892</v>
      </c>
      <c r="B59" t="s">
        <v>893</v>
      </c>
      <c r="C59" s="65">
        <f>MIN(25,C29*1000*(1-C45)/C45)</f>
        <v>25</v>
      </c>
      <c r="D59" s="48" t="s">
        <v>80</v>
      </c>
      <c r="E59" t="s">
        <v>894</v>
      </c>
      <c r="F59" t="s">
        <v>895</v>
      </c>
    </row>
    <row r="60" spans="1:6" x14ac:dyDescent="0.3">
      <c r="A60" t="s">
        <v>896</v>
      </c>
      <c r="B60" t="s">
        <v>203</v>
      </c>
      <c r="C60" s="66">
        <f>C45*C34</f>
        <v>10.220261314871106</v>
      </c>
      <c r="D60" s="48" t="s">
        <v>21</v>
      </c>
      <c r="E60">
        <v>6.1</v>
      </c>
      <c r="F60" t="s">
        <v>897</v>
      </c>
    </row>
    <row r="61" spans="1:6" x14ac:dyDescent="0.3">
      <c r="A61" t="s">
        <v>898</v>
      </c>
      <c r="B61" t="s">
        <v>103</v>
      </c>
      <c r="C61" s="66">
        <f>C48</f>
        <v>525.91189547405156</v>
      </c>
      <c r="D61" s="48" t="s">
        <v>21</v>
      </c>
      <c r="E61">
        <v>6.1</v>
      </c>
      <c r="F61" t="s">
        <v>899</v>
      </c>
    </row>
    <row r="62" spans="1:6" x14ac:dyDescent="0.3">
      <c r="A62" s="9" t="s">
        <v>900</v>
      </c>
      <c r="B62" s="9" t="s">
        <v>244</v>
      </c>
      <c r="C62" s="67">
        <f>C55*C6/(C34/10)</f>
        <v>10.933390268377574</v>
      </c>
      <c r="D62" s="68" t="s">
        <v>901</v>
      </c>
      <c r="E62" s="9" t="s">
        <v>882</v>
      </c>
      <c r="F62" s="9" t="s">
        <v>902</v>
      </c>
    </row>
    <row r="64" spans="1:6" x14ac:dyDescent="0.3">
      <c r="A64" s="4" t="s">
        <v>659</v>
      </c>
      <c r="B64" s="3"/>
      <c r="C64" s="3"/>
      <c r="D64" s="3"/>
      <c r="E64" s="3"/>
      <c r="F64" s="3"/>
    </row>
    <row r="65" spans="1:6" x14ac:dyDescent="0.3">
      <c r="A65" t="s">
        <v>660</v>
      </c>
      <c r="B65" t="s">
        <v>259</v>
      </c>
      <c r="C65" s="51">
        <f>MIN(C36/(C9*C34),0.02)</f>
        <v>1.7331968738771891E-3</v>
      </c>
      <c r="D65" s="48" t="s">
        <v>575</v>
      </c>
      <c r="E65" t="s">
        <v>260</v>
      </c>
    </row>
    <row r="66" spans="1:6" x14ac:dyDescent="0.3">
      <c r="A66" t="s">
        <v>661</v>
      </c>
      <c r="B66" t="s">
        <v>263</v>
      </c>
      <c r="C66" s="55">
        <f>MIN(1+SQRT(200/C34),2)</f>
        <v>1.6142951168339512</v>
      </c>
      <c r="D66" s="48" t="s">
        <v>575</v>
      </c>
      <c r="E66" t="s">
        <v>260</v>
      </c>
      <c r="F66" t="s">
        <v>662</v>
      </c>
    </row>
    <row r="67" spans="1:6" x14ac:dyDescent="0.3">
      <c r="A67" t="s">
        <v>264</v>
      </c>
      <c r="B67" t="s">
        <v>265</v>
      </c>
      <c r="C67" s="55">
        <f>0.15/C18</f>
        <v>9.9999999999999992E-2</v>
      </c>
      <c r="D67" s="48" t="s">
        <v>575</v>
      </c>
      <c r="E67" t="s">
        <v>663</v>
      </c>
    </row>
    <row r="68" spans="1:6" x14ac:dyDescent="0.3">
      <c r="A68" t="s">
        <v>664</v>
      </c>
      <c r="B68" t="s">
        <v>275</v>
      </c>
      <c r="C68" s="55">
        <f>IF(C34&lt;=600,0.0525,0.0375)*C66^1.5*SQRT(C16)</f>
        <v>0.58978582485675635</v>
      </c>
      <c r="D68" s="48" t="s">
        <v>43</v>
      </c>
      <c r="E68" t="s">
        <v>550</v>
      </c>
      <c r="F68" t="s">
        <v>665</v>
      </c>
    </row>
    <row r="69" spans="1:6" x14ac:dyDescent="0.3">
      <c r="A69" t="s">
        <v>666</v>
      </c>
      <c r="B69" t="s">
        <v>277</v>
      </c>
      <c r="C69" s="60">
        <f>MAX(C67*C66*(100*C65*C16)^(1/3),C68)*C9*C34/1000</f>
        <v>1069.0457861353566</v>
      </c>
      <c r="D69" s="48" t="s">
        <v>11</v>
      </c>
      <c r="E69" t="s">
        <v>667</v>
      </c>
    </row>
    <row r="70" spans="1:6" x14ac:dyDescent="0.3">
      <c r="A70" t="s">
        <v>668</v>
      </c>
      <c r="B70" t="s">
        <v>575</v>
      </c>
      <c r="C70" s="57" t="str">
        <f>IF(C7&gt;C69,"SÍ (V_Ed &gt; V_Rd,c)","NO (V_Ed ≤ V_Rd,c)")</f>
        <v>NO (V_Ed ≤ V_Rd,c)</v>
      </c>
      <c r="D70" s="48" t="s">
        <v>575</v>
      </c>
      <c r="E70" t="s">
        <v>280</v>
      </c>
    </row>
    <row r="71" spans="1:6" x14ac:dyDescent="0.3">
      <c r="A71" t="s">
        <v>669</v>
      </c>
      <c r="B71" t="s">
        <v>286</v>
      </c>
      <c r="C71" s="60">
        <f>0.5*0.48*C16^(1/3)*C9*C41/1000</f>
        <v>1216.5486423030643</v>
      </c>
      <c r="D71" s="48" t="s">
        <v>11</v>
      </c>
      <c r="E71" t="s">
        <v>670</v>
      </c>
      <c r="F71" t="s">
        <v>671</v>
      </c>
    </row>
    <row r="72" spans="1:6" x14ac:dyDescent="0.3">
      <c r="A72" t="s">
        <v>672</v>
      </c>
      <c r="B72" t="s">
        <v>673</v>
      </c>
      <c r="C72" s="49">
        <f>IF(C7=0,1,MIN(MAX(1.2/(1-C71/C7),1),3))</f>
        <v>1</v>
      </c>
      <c r="D72" s="48" t="s">
        <v>575</v>
      </c>
      <c r="E72" t="s">
        <v>553</v>
      </c>
    </row>
    <row r="73" spans="1:6" x14ac:dyDescent="0.3">
      <c r="A73" t="s">
        <v>674</v>
      </c>
      <c r="B73" t="s">
        <v>60</v>
      </c>
      <c r="C73" s="49">
        <f>IF(C21&gt;0,C21,C72)</f>
        <v>1</v>
      </c>
      <c r="D73" s="48" t="s">
        <v>575</v>
      </c>
      <c r="E73" t="s">
        <v>283</v>
      </c>
      <c r="F73" t="s">
        <v>675</v>
      </c>
    </row>
    <row r="74" spans="1:6" x14ac:dyDescent="0.3">
      <c r="A74" t="s">
        <v>676</v>
      </c>
      <c r="B74" t="s">
        <v>677</v>
      </c>
      <c r="C74" s="56">
        <v>0.75</v>
      </c>
      <c r="D74" s="48" t="s">
        <v>575</v>
      </c>
      <c r="E74" t="s">
        <v>678</v>
      </c>
    </row>
    <row r="75" spans="1:6" x14ac:dyDescent="0.3">
      <c r="A75" t="s">
        <v>679</v>
      </c>
      <c r="B75" t="s">
        <v>296</v>
      </c>
      <c r="C75" s="60">
        <f>C9*C41*C74*C25/(C73+1/C73)/1000</f>
        <v>10399.7925</v>
      </c>
      <c r="D75" s="48" t="s">
        <v>11</v>
      </c>
      <c r="E75" t="s">
        <v>554</v>
      </c>
      <c r="F75" t="s">
        <v>680</v>
      </c>
    </row>
    <row r="76" spans="1:6" x14ac:dyDescent="0.3">
      <c r="A76" t="s">
        <v>681</v>
      </c>
      <c r="B76" t="s">
        <v>575</v>
      </c>
      <c r="C76" s="57" t="str">
        <f>IF(C7&lt;=C75,"OK","NO CUMPLE – aumentar b o f_ck")</f>
        <v>OK</v>
      </c>
      <c r="D76" s="48" t="s">
        <v>575</v>
      </c>
      <c r="E76" t="s">
        <v>299</v>
      </c>
    </row>
    <row r="77" spans="1:6" x14ac:dyDescent="0.3">
      <c r="A77" t="s">
        <v>682</v>
      </c>
      <c r="B77" t="s">
        <v>683</v>
      </c>
      <c r="C77" s="54">
        <f>C7*1000000/(C41*C28*C73)</f>
        <v>964.36058700209651</v>
      </c>
      <c r="D77" s="48" t="s">
        <v>684</v>
      </c>
      <c r="E77" t="s">
        <v>555</v>
      </c>
      <c r="F77" t="s">
        <v>685</v>
      </c>
    </row>
    <row r="78" spans="1:6" x14ac:dyDescent="0.3">
      <c r="A78" t="s">
        <v>686</v>
      </c>
      <c r="B78" t="s">
        <v>306</v>
      </c>
      <c r="C78" s="51">
        <f>0.16*C26/C17</f>
        <v>9.2686980922140449E-4</v>
      </c>
      <c r="D78" s="48" t="s">
        <v>575</v>
      </c>
      <c r="E78" t="s">
        <v>556</v>
      </c>
      <c r="F78" t="s">
        <v>308</v>
      </c>
    </row>
    <row r="79" spans="1:6" x14ac:dyDescent="0.3">
      <c r="A79" t="s">
        <v>687</v>
      </c>
      <c r="B79" t="s">
        <v>688</v>
      </c>
      <c r="C79" s="54">
        <f>C78*C9*1000</f>
        <v>3169.8947475372033</v>
      </c>
      <c r="D79" s="48" t="s">
        <v>684</v>
      </c>
      <c r="E79" t="s">
        <v>311</v>
      </c>
      <c r="F79" t="s">
        <v>689</v>
      </c>
    </row>
    <row r="80" spans="1:6" x14ac:dyDescent="0.3">
      <c r="A80" s="2" t="s">
        <v>690</v>
      </c>
      <c r="B80" s="2" t="s">
        <v>683</v>
      </c>
      <c r="C80" s="59">
        <f>MAX(C77,C79)</f>
        <v>3169.8947475372033</v>
      </c>
      <c r="D80" s="58" t="s">
        <v>684</v>
      </c>
      <c r="E80" s="9" t="s">
        <v>582</v>
      </c>
      <c r="F80" s="9" t="s">
        <v>691</v>
      </c>
    </row>
    <row r="82" spans="1:6" x14ac:dyDescent="0.3">
      <c r="A82" s="4" t="s">
        <v>692</v>
      </c>
      <c r="B82" s="3"/>
      <c r="C82" s="3"/>
      <c r="D82" s="3"/>
      <c r="E82" s="3"/>
      <c r="F82" s="3"/>
    </row>
    <row r="83" spans="1:6" x14ac:dyDescent="0.3">
      <c r="A83" t="s">
        <v>693</v>
      </c>
      <c r="B83" t="s">
        <v>694</v>
      </c>
      <c r="C83" s="49">
        <f>C8*1000000/(2*C39*C38)</f>
        <v>4.4885755067051551E-2</v>
      </c>
      <c r="D83" s="48" t="s">
        <v>43</v>
      </c>
      <c r="E83" t="s">
        <v>695</v>
      </c>
      <c r="F83" t="s">
        <v>696</v>
      </c>
    </row>
    <row r="84" spans="1:6" x14ac:dyDescent="0.3">
      <c r="A84" t="s">
        <v>697</v>
      </c>
      <c r="B84" t="s">
        <v>698</v>
      </c>
      <c r="C84" s="50">
        <f>2*C39*C38*C27/1000000</f>
        <v>639.92037449542352</v>
      </c>
      <c r="D84" s="48" t="s">
        <v>18</v>
      </c>
      <c r="E84" t="s">
        <v>699</v>
      </c>
      <c r="F84" t="s">
        <v>700</v>
      </c>
    </row>
    <row r="85" spans="1:6" x14ac:dyDescent="0.3">
      <c r="A85" t="s">
        <v>701</v>
      </c>
      <c r="B85" t="s">
        <v>575</v>
      </c>
      <c r="C85" s="57" t="str">
        <f>IF(C8/C84+C7/C69&lt;=1,"NO (arm. mínima)","SÍ")</f>
        <v>NO (arm. mínima)</v>
      </c>
      <c r="D85" t="s">
        <v>575</v>
      </c>
      <c r="E85" t="s">
        <v>702</v>
      </c>
      <c r="F85" t="s">
        <v>703</v>
      </c>
    </row>
    <row r="86" spans="1:6" x14ac:dyDescent="0.3">
      <c r="A86" t="s">
        <v>704</v>
      </c>
      <c r="B86" t="s">
        <v>705</v>
      </c>
      <c r="C86" s="50">
        <f>2*C22*C25*C39*C38/(C73+1/C73)/1000000</f>
        <v>2485.4767360679339</v>
      </c>
      <c r="D86" s="48" t="s">
        <v>18</v>
      </c>
      <c r="E86" t="s">
        <v>706</v>
      </c>
      <c r="F86" t="s">
        <v>707</v>
      </c>
    </row>
    <row r="87" spans="1:6" x14ac:dyDescent="0.3">
      <c r="A87" t="s">
        <v>708</v>
      </c>
      <c r="B87" t="s">
        <v>575</v>
      </c>
      <c r="C87" s="57" t="str">
        <f>IF(C8&lt;=C86,"OK","NO CUMPLE – aumentar sección o f_ck")</f>
        <v>OK</v>
      </c>
      <c r="D87" s="48" t="s">
        <v>575</v>
      </c>
      <c r="E87" t="s">
        <v>709</v>
      </c>
    </row>
    <row r="88" spans="1:6" x14ac:dyDescent="0.3">
      <c r="A88" t="s">
        <v>710</v>
      </c>
      <c r="B88" t="s">
        <v>711</v>
      </c>
      <c r="C88" s="54">
        <f>C8*1000000000/(2*C39*C28*C73)</f>
        <v>26.348608161002048</v>
      </c>
      <c r="D88" s="48" t="s">
        <v>684</v>
      </c>
      <c r="E88" t="s">
        <v>712</v>
      </c>
      <c r="F88" t="s">
        <v>713</v>
      </c>
    </row>
    <row r="89" spans="1:6" x14ac:dyDescent="0.3">
      <c r="A89" t="s">
        <v>714</v>
      </c>
      <c r="B89" t="s">
        <v>715</v>
      </c>
      <c r="C89" s="54">
        <f>C8*1000000*C73*C40/(2*C39*C28)</f>
        <v>184.94363352173198</v>
      </c>
      <c r="D89" s="48" t="s">
        <v>93</v>
      </c>
      <c r="E89" t="s">
        <v>716</v>
      </c>
      <c r="F89" t="s">
        <v>717</v>
      </c>
    </row>
    <row r="91" spans="1:6" x14ac:dyDescent="0.3">
      <c r="A91" s="4" t="s">
        <v>718</v>
      </c>
      <c r="B91" s="3"/>
      <c r="C91" s="3"/>
      <c r="D91" s="3"/>
      <c r="E91" s="3"/>
      <c r="F91" s="3"/>
    </row>
    <row r="92" spans="1:6" x14ac:dyDescent="0.3">
      <c r="A92" t="s">
        <v>719</v>
      </c>
      <c r="B92" t="s">
        <v>575</v>
      </c>
      <c r="C92" s="55">
        <f>C8/C86+C7/C75</f>
        <v>2.928958543727591E-2</v>
      </c>
      <c r="D92" s="48" t="s">
        <v>575</v>
      </c>
      <c r="E92" t="s">
        <v>720</v>
      </c>
      <c r="F92" t="s">
        <v>721</v>
      </c>
    </row>
    <row r="93" spans="1:6" x14ac:dyDescent="0.3">
      <c r="A93" t="s">
        <v>722</v>
      </c>
      <c r="B93" t="s">
        <v>575</v>
      </c>
      <c r="C93" s="57" t="str">
        <f>IF(C92&lt;=1,"OK","NO CUMPLE – reducir cotθ o aumentar sección")</f>
        <v>OK</v>
      </c>
      <c r="D93" s="48" t="s">
        <v>575</v>
      </c>
      <c r="E93" t="s">
        <v>709</v>
      </c>
    </row>
    <row r="94" spans="1:6" x14ac:dyDescent="0.3">
      <c r="A94" t="s">
        <v>723</v>
      </c>
      <c r="B94" t="s">
        <v>724</v>
      </c>
      <c r="C94" s="52">
        <f>PI()*C14^2/4</f>
        <v>78.539816339744831</v>
      </c>
      <c r="D94" s="48" t="s">
        <v>93</v>
      </c>
      <c r="E94" t="s">
        <v>575</v>
      </c>
      <c r="F94" t="s">
        <v>725</v>
      </c>
    </row>
    <row r="95" spans="1:6" x14ac:dyDescent="0.3">
      <c r="A95" t="s">
        <v>726</v>
      </c>
      <c r="B95" t="s">
        <v>727</v>
      </c>
      <c r="C95" s="54">
        <f>C80/C15+C88</f>
        <v>1611.2959819296036</v>
      </c>
      <c r="D95" s="48" t="s">
        <v>684</v>
      </c>
      <c r="E95" t="s">
        <v>728</v>
      </c>
      <c r="F95" t="s">
        <v>729</v>
      </c>
    </row>
    <row r="96" spans="1:6" x14ac:dyDescent="0.3">
      <c r="A96" t="s">
        <v>730</v>
      </c>
      <c r="B96" t="s">
        <v>323</v>
      </c>
      <c r="C96" s="52">
        <f>C94*1000/C95</f>
        <v>48.743258358833408</v>
      </c>
      <c r="D96" s="48" t="s">
        <v>21</v>
      </c>
      <c r="E96" t="s">
        <v>575</v>
      </c>
      <c r="F96" t="s">
        <v>731</v>
      </c>
    </row>
    <row r="97" spans="1:6" x14ac:dyDescent="0.3">
      <c r="A97" t="s">
        <v>319</v>
      </c>
      <c r="B97" t="s">
        <v>320</v>
      </c>
      <c r="C97" s="52">
        <f>MIN(0.75*C34,300,C40/8)</f>
        <v>300</v>
      </c>
      <c r="D97" s="48" t="s">
        <v>21</v>
      </c>
      <c r="E97" t="s">
        <v>732</v>
      </c>
      <c r="F97" t="s">
        <v>733</v>
      </c>
    </row>
    <row r="98" spans="1:6" x14ac:dyDescent="0.3">
      <c r="A98" s="2" t="s">
        <v>734</v>
      </c>
      <c r="B98" s="2" t="s">
        <v>735</v>
      </c>
      <c r="C98" s="61">
        <f>MIN(C96,C97)</f>
        <v>48.743258358833408</v>
      </c>
      <c r="D98" s="58" t="s">
        <v>21</v>
      </c>
      <c r="E98" s="9"/>
      <c r="F98" s="9" t="str">
        <f>"Estribo cerrado Ø"&amp;C14&amp;" c/"&amp;FLOOR(C98,10)&amp;" mm"</f>
        <v>Estribo cerrado Ø10 c/40 mm</v>
      </c>
    </row>
    <row r="99" spans="1:6" x14ac:dyDescent="0.3">
      <c r="A99" t="s">
        <v>736</v>
      </c>
      <c r="B99" t="s">
        <v>737</v>
      </c>
      <c r="C99" s="54">
        <f>C89*(C9-C38)/C40</f>
        <v>83.387445887445878</v>
      </c>
      <c r="D99" s="48" t="s">
        <v>93</v>
      </c>
      <c r="E99" t="s">
        <v>738</v>
      </c>
      <c r="F99" t="s">
        <v>739</v>
      </c>
    </row>
    <row r="100" spans="1:6" x14ac:dyDescent="0.3">
      <c r="A100" s="2" t="s">
        <v>740</v>
      </c>
      <c r="B100" s="2" t="s">
        <v>741</v>
      </c>
      <c r="C100" s="59">
        <f>C52+C99</f>
        <v>2813.4592972038622</v>
      </c>
      <c r="D100" s="58" t="s">
        <v>93</v>
      </c>
      <c r="E100" s="9" t="s">
        <v>742</v>
      </c>
      <c r="F100" s="9" t="s">
        <v>743</v>
      </c>
    </row>
    <row r="102" spans="1:6" x14ac:dyDescent="0.3">
      <c r="A102" s="4" t="s">
        <v>744</v>
      </c>
      <c r="B102" s="3"/>
      <c r="C102" s="3"/>
      <c r="D102" s="3"/>
      <c r="E102" s="3"/>
      <c r="F102" s="3"/>
    </row>
    <row r="103" spans="1:6" x14ac:dyDescent="0.3">
      <c r="A103" t="s">
        <v>745</v>
      </c>
      <c r="C103" s="62" t="str">
        <f>"M_Ed = "&amp;C6&amp;" kNm  /  V_Ed = "&amp;C7&amp;" kN  /  T_Ed = "&amp;C8&amp;" kNm"</f>
        <v>M_Ed = 250 kNm  /  V_Ed = 200 kN  /  T_Ed = 25 kNm</v>
      </c>
    </row>
    <row r="104" spans="1:6" x14ac:dyDescent="0.3">
      <c r="A104" t="s">
        <v>746</v>
      </c>
      <c r="C104" s="62" t="str">
        <f>"b/h = "&amp;C9&amp;"/"&amp;C10&amp;" mm  ·  C"&amp;C16&amp;"  ·  B"&amp;C17&amp;"  ·  c_nom = "&amp;C11&amp;" mm"</f>
        <v>b/h = 3420/600 mm  ·  C30  ·  B500  ·  c_nom = 50 mm</v>
      </c>
    </row>
    <row r="105" spans="1:6" x14ac:dyDescent="0.3">
      <c r="A105" t="s">
        <v>747</v>
      </c>
      <c r="C105" s="62" t="str">
        <f>"necesaria "&amp;ROUND(C100,0)&amp;" mm²  →  dispuesta "&amp;C13&amp;"Ø"&amp;C12&amp;" = "&amp;ROUND(C36,0)&amp;" mm²"</f>
        <v>necesaria 2813 mm²  →  dispuesta 10Ø20 = 3142 mm²</v>
      </c>
    </row>
    <row r="106" spans="1:6" x14ac:dyDescent="0.3">
      <c r="A106" t="s">
        <v>748</v>
      </c>
      <c r="C106" s="62" t="str">
        <f>F98</f>
        <v>Estribo cerrado Ø10 c/40 mm</v>
      </c>
    </row>
    <row r="107" spans="1:6" x14ac:dyDescent="0.3">
      <c r="A107" t="s">
        <v>749</v>
      </c>
      <c r="C107" s="62" t="str">
        <f>ROUND(C89,0)&amp;" mm² distribuida en el perímetro (mín. 1 barra por esquina)"</f>
        <v>185 mm² distribuida en el perímetro (mín. 1 barra por esquina)</v>
      </c>
    </row>
    <row r="108" spans="1:6" x14ac:dyDescent="0.3">
      <c r="A108" t="s">
        <v>750</v>
      </c>
      <c r="C108" s="57" t="str">
        <f>C47</f>
        <v>OK</v>
      </c>
    </row>
    <row r="109" spans="1:6" x14ac:dyDescent="0.3">
      <c r="A109" t="s">
        <v>751</v>
      </c>
      <c r="C109" s="57" t="str">
        <f>C76</f>
        <v>OK</v>
      </c>
    </row>
    <row r="110" spans="1:6" x14ac:dyDescent="0.3">
      <c r="A110" t="s">
        <v>752</v>
      </c>
      <c r="C110" s="57" t="str">
        <f>C87</f>
        <v>OK</v>
      </c>
    </row>
    <row r="111" spans="1:6" x14ac:dyDescent="0.3">
      <c r="A111" t="s">
        <v>753</v>
      </c>
      <c r="C111" s="57" t="str">
        <f>C93</f>
        <v>OK</v>
      </c>
    </row>
    <row r="112" spans="1:6" x14ac:dyDescent="0.3">
      <c r="A112" t="s">
        <v>754</v>
      </c>
      <c r="C112" s="57" t="str">
        <f>IF(C36&gt;=C100,"OK","NO CUMPLE – aumentar nº o Ø de barras")</f>
        <v>OK</v>
      </c>
    </row>
    <row r="113" spans="1:6" x14ac:dyDescent="0.3">
      <c r="A113" t="s">
        <v>755</v>
      </c>
      <c r="C113" s="57" t="str">
        <f>IF(C36&lt;=C51,"OK","NO CUMPLE – excede 0,04·A_c")</f>
        <v>OK</v>
      </c>
    </row>
    <row r="114" spans="1:6" x14ac:dyDescent="0.3">
      <c r="A114" s="2" t="s">
        <v>340</v>
      </c>
      <c r="B114" s="9"/>
      <c r="C114" s="58" t="str">
        <f>IF(COUNTIF(C108:C113,"*OK*")=6,"TODAS LAS VERIFICACIONES CUMPLEN","REVISAR: hay verificaciones no cumplidas")</f>
        <v>TODAS LAS VERIFICACIONES CUMPLEN</v>
      </c>
      <c r="D114" s="9"/>
      <c r="E114" s="9"/>
      <c r="F114" s="9"/>
    </row>
    <row r="116" spans="1:6" x14ac:dyDescent="0.3">
      <c r="A116" s="4" t="s">
        <v>756</v>
      </c>
      <c r="B116" s="3"/>
      <c r="C116" s="3"/>
      <c r="D116" s="3"/>
      <c r="E116" s="3"/>
      <c r="F116" s="3"/>
    </row>
    <row r="117" spans="1:6" x14ac:dyDescent="0.3">
      <c r="A117" t="s">
        <v>757</v>
      </c>
    </row>
    <row r="118" spans="1:6" x14ac:dyDescent="0.3">
      <c r="A118" t="s">
        <v>758</v>
      </c>
    </row>
    <row r="119" spans="1:6" x14ac:dyDescent="0.3">
      <c r="A119" t="s">
        <v>759</v>
      </c>
    </row>
    <row r="120" spans="1:6" x14ac:dyDescent="0.3">
      <c r="A120" t="s">
        <v>760</v>
      </c>
    </row>
    <row r="121" spans="1:6" x14ac:dyDescent="0.3">
      <c r="A121" t="s">
        <v>761</v>
      </c>
    </row>
    <row r="122" spans="1:6" x14ac:dyDescent="0.3">
      <c r="A122" t="s">
        <v>762</v>
      </c>
    </row>
    <row r="123" spans="1:6" x14ac:dyDescent="0.3">
      <c r="A123" t="s">
        <v>763</v>
      </c>
    </row>
    <row r="124" spans="1:6" x14ac:dyDescent="0.3">
      <c r="A124" t="s">
        <v>764</v>
      </c>
    </row>
    <row r="125" spans="1:6" x14ac:dyDescent="0.3">
      <c r="A125" t="s">
        <v>765</v>
      </c>
    </row>
    <row r="126" spans="1:6" x14ac:dyDescent="0.3">
      <c r="A126" t="s">
        <v>766</v>
      </c>
    </row>
    <row r="127" spans="1:6" x14ac:dyDescent="0.3">
      <c r="A127" t="s">
        <v>767</v>
      </c>
    </row>
    <row r="128" spans="1:6" x14ac:dyDescent="0.3">
      <c r="A128" t="s">
        <v>768</v>
      </c>
    </row>
    <row r="130" spans="1:1" x14ac:dyDescent="0.3">
      <c r="A130" s="63" t="s">
        <v>769</v>
      </c>
    </row>
  </sheetData>
  <conditionalFormatting sqref="C47">
    <cfRule type="containsText" dxfId="167" priority="1" operator="containsText" text="NO CUMPLE">
      <formula>NOT(ISERROR(SEARCH("NO CUMPLE",C47)))</formula>
    </cfRule>
    <cfRule type="containsText" dxfId="166" priority="2" operator="containsText" text="REVISAR">
      <formula>NOT(ISERROR(SEARCH("REVISAR",C47)))</formula>
    </cfRule>
    <cfRule type="containsText" dxfId="165" priority="3" operator="containsText" text="OK">
      <formula>NOT(ISERROR(SEARCH("OK",C47)))</formula>
    </cfRule>
    <cfRule type="containsText" dxfId="164" priority="4" operator="containsText" text="TODAS">
      <formula>NOT(ISERROR(SEARCH("TODAS",C47)))</formula>
    </cfRule>
  </conditionalFormatting>
  <conditionalFormatting sqref="C76">
    <cfRule type="containsText" dxfId="163" priority="5" operator="containsText" text="NO CUMPLE">
      <formula>NOT(ISERROR(SEARCH("NO CUMPLE",C76)))</formula>
    </cfRule>
    <cfRule type="containsText" dxfId="162" priority="6" operator="containsText" text="REVISAR">
      <formula>NOT(ISERROR(SEARCH("REVISAR",C76)))</formula>
    </cfRule>
    <cfRule type="containsText" dxfId="161" priority="7" operator="containsText" text="OK">
      <formula>NOT(ISERROR(SEARCH("OK",C76)))</formula>
    </cfRule>
    <cfRule type="containsText" dxfId="160" priority="8" operator="containsText" text="TODAS">
      <formula>NOT(ISERROR(SEARCH("TODAS",C76)))</formula>
    </cfRule>
  </conditionalFormatting>
  <conditionalFormatting sqref="C87">
    <cfRule type="containsText" dxfId="159" priority="9" operator="containsText" text="NO CUMPLE">
      <formula>NOT(ISERROR(SEARCH("NO CUMPLE",C87)))</formula>
    </cfRule>
    <cfRule type="containsText" dxfId="158" priority="10" operator="containsText" text="REVISAR">
      <formula>NOT(ISERROR(SEARCH("REVISAR",C87)))</formula>
    </cfRule>
    <cfRule type="containsText" dxfId="157" priority="11" operator="containsText" text="OK">
      <formula>NOT(ISERROR(SEARCH("OK",C87)))</formula>
    </cfRule>
    <cfRule type="containsText" dxfId="156" priority="12" operator="containsText" text="TODAS">
      <formula>NOT(ISERROR(SEARCH("TODAS",C87)))</formula>
    </cfRule>
  </conditionalFormatting>
  <conditionalFormatting sqref="C93">
    <cfRule type="containsText" dxfId="155" priority="13" operator="containsText" text="NO CUMPLE">
      <formula>NOT(ISERROR(SEARCH("NO CUMPLE",C93)))</formula>
    </cfRule>
    <cfRule type="containsText" dxfId="154" priority="14" operator="containsText" text="REVISAR">
      <formula>NOT(ISERROR(SEARCH("REVISAR",C93)))</formula>
    </cfRule>
    <cfRule type="containsText" dxfId="153" priority="15" operator="containsText" text="OK">
      <formula>NOT(ISERROR(SEARCH("OK",C93)))</formula>
    </cfRule>
    <cfRule type="containsText" dxfId="152" priority="16" operator="containsText" text="TODAS">
      <formula>NOT(ISERROR(SEARCH("TODAS",C93)))</formula>
    </cfRule>
  </conditionalFormatting>
  <conditionalFormatting sqref="C108:C114">
    <cfRule type="containsText" dxfId="151" priority="17" operator="containsText" text="NO CUMPLE">
      <formula>NOT(ISERROR(SEARCH("NO CUMPLE",C108)))</formula>
    </cfRule>
    <cfRule type="containsText" dxfId="150" priority="18" operator="containsText" text="REVISAR">
      <formula>NOT(ISERROR(SEARCH("REVISAR",C108)))</formula>
    </cfRule>
    <cfRule type="containsText" dxfId="149" priority="19" operator="containsText" text="OK">
      <formula>NOT(ISERROR(SEARCH("OK",C108)))</formula>
    </cfRule>
    <cfRule type="containsText" dxfId="148" priority="20" operator="containsText" text="TODAS">
      <formula>NOT(ISERROR(SEARCH("TODAS",C108)))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90DED20-0781-4CB7-AD92-788F8EC26688}">
          <x14:formula1>
            <xm:f>Aceros_DIN!$A$35:$A$43</xm:f>
          </x14:formula1>
          <xm:sqref>F16</xm:sqref>
        </x14:dataValidation>
        <x14:dataValidation type="list" allowBlank="1" showInputMessage="1" showErrorMessage="1" xr:uid="{86094E68-6B05-434B-9954-8AF77F57E120}">
          <x14:formula1>
            <xm:f>Aceros_DIN!$A$47:$A$49</xm:f>
          </x14:formula1>
          <xm:sqref>F17</xm:sqref>
        </x14:dataValidation>
        <x14:dataValidation type="list" allowBlank="1" showInputMessage="1" showErrorMessage="1" xr:uid="{D028F321-E02E-4598-B78A-087DF5859B40}">
          <x14:formula1>
            <xm:f>Aceros_DIN!$B$6:$B$16</xm:f>
          </x14:formula1>
          <xm:sqref>C12 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4F14-79DF-4604-9148-43CAFEFF51E0}">
  <sheetPr>
    <tabColor rgb="FFC00000"/>
  </sheetPr>
  <dimension ref="A1:Y130"/>
  <sheetViews>
    <sheetView topLeftCell="A65" zoomScale="85" zoomScaleNormal="85" workbookViewId="0">
      <selection activeCell="C85" sqref="C85"/>
    </sheetView>
  </sheetViews>
  <sheetFormatPr defaultRowHeight="14.4" x14ac:dyDescent="0.3"/>
  <cols>
    <col min="1" max="1" width="57.109375" customWidth="1"/>
    <col min="2" max="2" width="13.33203125" customWidth="1"/>
    <col min="3" max="3" width="41.5546875" customWidth="1"/>
    <col min="4" max="4" width="10.44140625" customWidth="1"/>
    <col min="5" max="5" width="28.5546875" customWidth="1"/>
    <col min="6" max="6" width="64.6640625" customWidth="1"/>
    <col min="8" max="8" width="18.109375" customWidth="1"/>
    <col min="9" max="9" width="13.33203125" customWidth="1"/>
    <col min="10" max="10" width="15.33203125" customWidth="1"/>
    <col min="11" max="11" width="14.33203125" customWidth="1"/>
    <col min="12" max="12" width="17.109375" customWidth="1"/>
  </cols>
  <sheetData>
    <row r="1" spans="1:25" ht="18" x14ac:dyDescent="0.35">
      <c r="A1" s="44" t="s">
        <v>563</v>
      </c>
      <c r="B1" s="43"/>
      <c r="C1" s="43"/>
      <c r="D1" s="43"/>
      <c r="E1" s="43"/>
      <c r="F1" s="43"/>
    </row>
    <row r="2" spans="1:25" x14ac:dyDescent="0.3">
      <c r="A2" s="45" t="s">
        <v>1035</v>
      </c>
      <c r="R2" t="s">
        <v>918</v>
      </c>
      <c r="S2" t="s">
        <v>919</v>
      </c>
      <c r="T2" t="s">
        <v>920</v>
      </c>
      <c r="U2" t="s">
        <v>921</v>
      </c>
      <c r="V2" t="s">
        <v>922</v>
      </c>
      <c r="W2" t="s">
        <v>923</v>
      </c>
      <c r="X2" t="s">
        <v>924</v>
      </c>
      <c r="Y2" t="s">
        <v>925</v>
      </c>
    </row>
    <row r="3" spans="1:25" x14ac:dyDescent="0.3">
      <c r="R3">
        <f>0</f>
        <v>0</v>
      </c>
      <c r="S3">
        <f>0</f>
        <v>0</v>
      </c>
      <c r="T3">
        <f>C11</f>
        <v>50</v>
      </c>
      <c r="U3">
        <f>C11</f>
        <v>50</v>
      </c>
      <c r="V3">
        <f>IF(1&lt;=$C$13,$C$33+(1-1)*($C$9-2*$C$33)/MAX($C$13-1,1),NA())</f>
        <v>70</v>
      </c>
      <c r="W3">
        <f>IF(1&lt;=$C$13,$C$33,NA())</f>
        <v>70</v>
      </c>
      <c r="X3">
        <f>$C$33</f>
        <v>70</v>
      </c>
      <c r="Y3" s="53">
        <f>$C$10-$C$33</f>
        <v>530</v>
      </c>
    </row>
    <row r="4" spans="1:25" x14ac:dyDescent="0.3">
      <c r="A4" s="4" t="s">
        <v>565</v>
      </c>
      <c r="B4" s="3"/>
      <c r="C4" s="3"/>
      <c r="D4" s="3"/>
      <c r="E4" s="3"/>
      <c r="F4" s="3"/>
      <c r="R4">
        <f>C9</f>
        <v>3420</v>
      </c>
      <c r="S4">
        <f>0</f>
        <v>0</v>
      </c>
      <c r="T4">
        <f>C9-C11</f>
        <v>3370</v>
      </c>
      <c r="U4">
        <f>C11</f>
        <v>50</v>
      </c>
      <c r="V4">
        <f>IF(2&lt;=$C$13,$C$33+(2-1)*($C$9-2*$C$33)/MAX($C$13-1,1),NA())</f>
        <v>434.44444444444446</v>
      </c>
      <c r="W4">
        <f>IF(2&lt;=$C$13,$C$33,NA())</f>
        <v>70</v>
      </c>
      <c r="X4" s="53">
        <f>$C$9-$C$33</f>
        <v>3350</v>
      </c>
      <c r="Y4" s="53">
        <f>$C$10-$C$33</f>
        <v>530</v>
      </c>
    </row>
    <row r="5" spans="1:25" x14ac:dyDescent="0.3">
      <c r="A5" s="5" t="s">
        <v>3</v>
      </c>
      <c r="B5" s="5" t="s">
        <v>4</v>
      </c>
      <c r="C5" s="46" t="s">
        <v>5</v>
      </c>
      <c r="D5" s="46" t="s">
        <v>6</v>
      </c>
      <c r="E5" s="5" t="s">
        <v>7</v>
      </c>
      <c r="F5" s="5" t="s">
        <v>566</v>
      </c>
      <c r="R5">
        <f>C9</f>
        <v>3420</v>
      </c>
      <c r="S5">
        <f>C10</f>
        <v>600</v>
      </c>
      <c r="T5">
        <f>C9-C11</f>
        <v>3370</v>
      </c>
      <c r="U5">
        <f>C10-C11</f>
        <v>550</v>
      </c>
      <c r="V5">
        <f>IF(3&lt;=$C$13,$C$33+(3-1)*($C$9-2*$C$33)/MAX($C$13-1,1),NA())</f>
        <v>798.88888888888891</v>
      </c>
      <c r="W5">
        <f>IF(3&lt;=$C$13,$C$33,NA())</f>
        <v>70</v>
      </c>
    </row>
    <row r="6" spans="1:25" x14ac:dyDescent="0.3">
      <c r="A6" t="s">
        <v>567</v>
      </c>
      <c r="B6" t="s">
        <v>17</v>
      </c>
      <c r="C6" s="47">
        <v>250</v>
      </c>
      <c r="D6" s="48" t="s">
        <v>18</v>
      </c>
      <c r="E6">
        <v>6.1</v>
      </c>
      <c r="F6" t="s">
        <v>568</v>
      </c>
      <c r="R6">
        <f>0</f>
        <v>0</v>
      </c>
      <c r="S6">
        <f>C10</f>
        <v>600</v>
      </c>
      <c r="T6">
        <f>C11</f>
        <v>50</v>
      </c>
      <c r="U6">
        <f>C10-C11</f>
        <v>550</v>
      </c>
      <c r="V6">
        <f>IF(4&lt;=$C$13,$C$33+(4-1)*($C$9-2*$C$33)/MAX($C$13-1,1),NA())</f>
        <v>1163.3333333333333</v>
      </c>
      <c r="W6">
        <f>IF(4&lt;=$C$13,$C$33,NA())</f>
        <v>70</v>
      </c>
    </row>
    <row r="7" spans="1:25" x14ac:dyDescent="0.3">
      <c r="A7" t="s">
        <v>569</v>
      </c>
      <c r="B7" t="s">
        <v>14</v>
      </c>
      <c r="C7" s="47">
        <v>200</v>
      </c>
      <c r="D7" s="48" t="s">
        <v>11</v>
      </c>
      <c r="E7" t="s">
        <v>15</v>
      </c>
      <c r="R7">
        <f>0</f>
        <v>0</v>
      </c>
      <c r="S7">
        <f>0</f>
        <v>0</v>
      </c>
      <c r="T7">
        <f>C11</f>
        <v>50</v>
      </c>
      <c r="U7">
        <f>C11</f>
        <v>50</v>
      </c>
      <c r="V7">
        <f>IF(5&lt;=$C$13,$C$33+(5-1)*($C$9-2*$C$33)/MAX($C$13-1,1),NA())</f>
        <v>1527.7777777777778</v>
      </c>
      <c r="W7">
        <f>IF(5&lt;=$C$13,$C$33,NA())</f>
        <v>70</v>
      </c>
    </row>
    <row r="8" spans="1:25" x14ac:dyDescent="0.3">
      <c r="A8" t="s">
        <v>570</v>
      </c>
      <c r="B8" t="s">
        <v>571</v>
      </c>
      <c r="C8" s="47">
        <v>25</v>
      </c>
      <c r="D8" s="48" t="s">
        <v>18</v>
      </c>
      <c r="E8" t="s">
        <v>572</v>
      </c>
      <c r="V8">
        <f>IF(6&lt;=$C$13,$C$33+(6-1)*($C$9-2*$C$33)/MAX($C$13-1,1),NA())</f>
        <v>1892.2222222222222</v>
      </c>
      <c r="W8">
        <f>IF(6&lt;=$C$13,$C$33,NA())</f>
        <v>70</v>
      </c>
    </row>
    <row r="9" spans="1:25" x14ac:dyDescent="0.3">
      <c r="A9" t="s">
        <v>573</v>
      </c>
      <c r="B9" t="s">
        <v>574</v>
      </c>
      <c r="C9" s="47">
        <v>3420</v>
      </c>
      <c r="D9" s="48" t="s">
        <v>21</v>
      </c>
      <c r="E9" t="s">
        <v>575</v>
      </c>
      <c r="V9">
        <f>IF(7&lt;=$C$13,$C$33+(7-1)*($C$9-2*$C$33)/MAX($C$13-1,1),NA())</f>
        <v>2256.6666666666665</v>
      </c>
      <c r="W9">
        <f>IF(7&lt;=$C$13,$C$33,NA())</f>
        <v>70</v>
      </c>
    </row>
    <row r="10" spans="1:25" x14ac:dyDescent="0.3">
      <c r="A10" t="s">
        <v>576</v>
      </c>
      <c r="B10" t="s">
        <v>577</v>
      </c>
      <c r="C10" s="47">
        <v>600</v>
      </c>
      <c r="D10" s="48" t="s">
        <v>21</v>
      </c>
      <c r="E10" t="s">
        <v>575</v>
      </c>
      <c r="V10">
        <f>IF(8&lt;=$C$13,$C$33+(8-1)*($C$9-2*$C$33)/MAX($C$13-1,1),NA())</f>
        <v>2621.1111111111113</v>
      </c>
      <c r="W10">
        <f>IF(8&lt;=$C$13,$C$33,NA())</f>
        <v>70</v>
      </c>
    </row>
    <row r="11" spans="1:25" x14ac:dyDescent="0.3">
      <c r="A11" t="s">
        <v>23</v>
      </c>
      <c r="B11" t="s">
        <v>24</v>
      </c>
      <c r="C11" s="47">
        <v>50</v>
      </c>
      <c r="D11" s="48" t="s">
        <v>21</v>
      </c>
      <c r="E11" t="s">
        <v>578</v>
      </c>
      <c r="V11">
        <f>IF(9&lt;=$C$13,$C$33+(9-1)*($C$9-2*$C$33)/MAX($C$13-1,1),NA())</f>
        <v>2985.5555555555557</v>
      </c>
      <c r="W11">
        <f>IF(9&lt;=$C$13,$C$33,NA())</f>
        <v>70</v>
      </c>
    </row>
    <row r="12" spans="1:25" x14ac:dyDescent="0.3">
      <c r="A12" t="s">
        <v>579</v>
      </c>
      <c r="B12" t="s">
        <v>32</v>
      </c>
      <c r="C12" s="100">
        <v>20</v>
      </c>
      <c r="D12" s="48" t="s">
        <v>21</v>
      </c>
      <c r="E12" t="s">
        <v>575</v>
      </c>
      <c r="V12">
        <f>IF(10&lt;=$C$13,$C$33+(10-1)*($C$9-2*$C$33)/MAX($C$13-1,1),NA())</f>
        <v>3350</v>
      </c>
      <c r="W12">
        <f>IF(10&lt;=$C$13,$C$33,NA())</f>
        <v>70</v>
      </c>
    </row>
    <row r="13" spans="1:25" x14ac:dyDescent="0.3">
      <c r="A13" t="s">
        <v>580</v>
      </c>
      <c r="B13" t="s">
        <v>27</v>
      </c>
      <c r="C13" s="47">
        <v>10</v>
      </c>
      <c r="D13" s="48" t="s">
        <v>575</v>
      </c>
      <c r="E13" t="s">
        <v>575</v>
      </c>
      <c r="V13" t="e">
        <f>IF(11&lt;=$C$13,$C$33+(11-1)*($C$9-2*$C$33)/MAX($C$13-1,1),NA())</f>
        <v>#N/A</v>
      </c>
      <c r="W13" t="e">
        <f>IF(11&lt;=$C$13,$C$33,NA())</f>
        <v>#N/A</v>
      </c>
    </row>
    <row r="14" spans="1:25" x14ac:dyDescent="0.3">
      <c r="A14" t="s">
        <v>581</v>
      </c>
      <c r="B14" t="s">
        <v>35</v>
      </c>
      <c r="C14" s="100">
        <v>10</v>
      </c>
      <c r="D14" s="48" t="s">
        <v>21</v>
      </c>
      <c r="E14" t="s">
        <v>582</v>
      </c>
      <c r="V14" t="e">
        <f>IF(12&lt;=$C$13,$C$33+(12-1)*($C$9-2*$C$33)/MAX($C$13-1,1),NA())</f>
        <v>#N/A</v>
      </c>
      <c r="W14" t="e">
        <f>IF(12&lt;=$C$13,$C$33,NA())</f>
        <v>#N/A</v>
      </c>
    </row>
    <row r="15" spans="1:25" x14ac:dyDescent="0.3">
      <c r="A15" t="s">
        <v>583</v>
      </c>
      <c r="B15" t="s">
        <v>584</v>
      </c>
      <c r="C15" s="47">
        <v>2</v>
      </c>
      <c r="D15" s="48" t="s">
        <v>575</v>
      </c>
      <c r="E15" t="s">
        <v>582</v>
      </c>
    </row>
    <row r="16" spans="1:25" x14ac:dyDescent="0.3">
      <c r="A16" t="s">
        <v>41</v>
      </c>
      <c r="B16" t="s">
        <v>42</v>
      </c>
      <c r="C16" s="90">
        <f>_xlfn.XLOOKUP(F16,Aceros_DIN!$A$35:$A$43,Aceros_DIN!$B$35:$B$43)</f>
        <v>30</v>
      </c>
      <c r="D16" s="48" t="s">
        <v>43</v>
      </c>
      <c r="E16" t="s">
        <v>44</v>
      </c>
      <c r="F16" s="89" t="s">
        <v>953</v>
      </c>
    </row>
    <row r="17" spans="1:6" x14ac:dyDescent="0.3">
      <c r="A17" t="s">
        <v>585</v>
      </c>
      <c r="B17" t="s">
        <v>46</v>
      </c>
      <c r="C17" s="90">
        <f>_xlfn.XLOOKUP(F17,Aceros_DIN!$A$47:$A$49,Aceros_DIN!$B$47:$B$49)</f>
        <v>500</v>
      </c>
      <c r="D17" s="48" t="s">
        <v>43</v>
      </c>
      <c r="E17" t="s">
        <v>47</v>
      </c>
      <c r="F17" s="89" t="s">
        <v>966</v>
      </c>
    </row>
    <row r="18" spans="1:6" x14ac:dyDescent="0.3">
      <c r="A18" t="s">
        <v>586</v>
      </c>
      <c r="B18" t="s">
        <v>49</v>
      </c>
      <c r="C18" s="47">
        <v>1.5</v>
      </c>
      <c r="D18" s="48" t="s">
        <v>575</v>
      </c>
      <c r="E18" t="s">
        <v>50</v>
      </c>
    </row>
    <row r="19" spans="1:6" x14ac:dyDescent="0.3">
      <c r="A19" t="s">
        <v>587</v>
      </c>
      <c r="B19" t="s">
        <v>52</v>
      </c>
      <c r="C19" s="47">
        <v>1.1499999999999999</v>
      </c>
      <c r="D19" s="48" t="s">
        <v>575</v>
      </c>
      <c r="E19" t="s">
        <v>50</v>
      </c>
    </row>
    <row r="20" spans="1:6" x14ac:dyDescent="0.3">
      <c r="A20" t="s">
        <v>1036</v>
      </c>
      <c r="B20" t="s">
        <v>1037</v>
      </c>
      <c r="C20" s="47">
        <v>1</v>
      </c>
      <c r="D20" s="48" t="s">
        <v>575</v>
      </c>
      <c r="E20" t="s">
        <v>1038</v>
      </c>
      <c r="F20" t="s">
        <v>1039</v>
      </c>
    </row>
    <row r="21" spans="1:6" x14ac:dyDescent="0.3">
      <c r="A21" t="s">
        <v>59</v>
      </c>
      <c r="B21" t="s">
        <v>60</v>
      </c>
      <c r="C21" s="47">
        <v>0</v>
      </c>
      <c r="D21" s="48" t="s">
        <v>575</v>
      </c>
      <c r="E21" t="s">
        <v>553</v>
      </c>
    </row>
    <row r="22" spans="1:6" x14ac:dyDescent="0.3">
      <c r="A22" t="s">
        <v>1040</v>
      </c>
      <c r="B22" t="s">
        <v>590</v>
      </c>
      <c r="C22" s="47">
        <v>0.6</v>
      </c>
      <c r="D22" s="48" t="s">
        <v>575</v>
      </c>
      <c r="E22" t="s">
        <v>1041</v>
      </c>
      <c r="F22" t="s">
        <v>1042</v>
      </c>
    </row>
    <row r="24" spans="1:6" x14ac:dyDescent="0.3">
      <c r="A24" s="4" t="s">
        <v>62</v>
      </c>
      <c r="B24" s="3"/>
      <c r="C24" s="3"/>
      <c r="D24" s="3"/>
      <c r="E24" s="3"/>
      <c r="F24" s="3"/>
    </row>
    <row r="25" spans="1:6" x14ac:dyDescent="0.3">
      <c r="A25" t="s">
        <v>593</v>
      </c>
      <c r="B25" t="s">
        <v>64</v>
      </c>
      <c r="C25" s="49">
        <f>MIN((40/C16)^(1/3),1)*C20*C16/C18</f>
        <v>20</v>
      </c>
      <c r="D25" s="48" t="s">
        <v>43</v>
      </c>
      <c r="E25" t="s">
        <v>1043</v>
      </c>
      <c r="F25" t="s">
        <v>1044</v>
      </c>
    </row>
    <row r="26" spans="1:6" x14ac:dyDescent="0.3">
      <c r="A26" t="s">
        <v>67</v>
      </c>
      <c r="B26" t="s">
        <v>68</v>
      </c>
      <c r="C26" s="49">
        <f>0.3*C16^(2/3)</f>
        <v>2.896468153816889</v>
      </c>
      <c r="D26" s="48" t="s">
        <v>43</v>
      </c>
      <c r="E26" t="s">
        <v>1045</v>
      </c>
      <c r="F26" t="s">
        <v>595</v>
      </c>
    </row>
    <row r="27" spans="1:6" x14ac:dyDescent="0.3">
      <c r="A27" t="s">
        <v>596</v>
      </c>
      <c r="B27" t="s">
        <v>597</v>
      </c>
      <c r="C27" s="49">
        <f>C20*0.7*C26/C18</f>
        <v>1.3516851384478814</v>
      </c>
      <c r="D27" s="48" t="s">
        <v>43</v>
      </c>
      <c r="E27" t="s">
        <v>1038</v>
      </c>
      <c r="F27" t="s">
        <v>1046</v>
      </c>
    </row>
    <row r="28" spans="1:6" x14ac:dyDescent="0.3">
      <c r="A28" t="s">
        <v>600</v>
      </c>
      <c r="B28" t="s">
        <v>70</v>
      </c>
      <c r="C28" s="50">
        <f>C17/C19</f>
        <v>434.78260869565219</v>
      </c>
      <c r="D28" s="48" t="s">
        <v>43</v>
      </c>
      <c r="E28" t="s">
        <v>1047</v>
      </c>
      <c r="F28" t="s">
        <v>601</v>
      </c>
    </row>
    <row r="29" spans="1:6" x14ac:dyDescent="0.3">
      <c r="A29" t="s">
        <v>602</v>
      </c>
      <c r="B29" t="s">
        <v>79</v>
      </c>
      <c r="C29" s="51">
        <v>3.5000000000000001E-3</v>
      </c>
      <c r="D29" s="48" t="s">
        <v>575</v>
      </c>
      <c r="E29" t="s">
        <v>1048</v>
      </c>
    </row>
    <row r="30" spans="1:6" x14ac:dyDescent="0.3">
      <c r="A30" t="s">
        <v>603</v>
      </c>
      <c r="B30" t="s">
        <v>76</v>
      </c>
      <c r="C30" s="51">
        <f>C28/200000</f>
        <v>2.1739130434782609E-3</v>
      </c>
      <c r="D30" s="48" t="s">
        <v>575</v>
      </c>
      <c r="E30" t="s">
        <v>1049</v>
      </c>
      <c r="F30" t="s">
        <v>604</v>
      </c>
    </row>
    <row r="32" spans="1:6" x14ac:dyDescent="0.3">
      <c r="A32" s="4" t="s">
        <v>605</v>
      </c>
      <c r="B32" s="3"/>
      <c r="C32" s="3"/>
      <c r="D32" s="3"/>
      <c r="E32" s="3"/>
      <c r="F32" s="3"/>
    </row>
    <row r="33" spans="1:6" x14ac:dyDescent="0.3">
      <c r="A33" t="s">
        <v>606</v>
      </c>
      <c r="B33" t="s">
        <v>607</v>
      </c>
      <c r="C33" s="52">
        <f>C11+C14+C12/2</f>
        <v>70</v>
      </c>
      <c r="D33" s="48" t="s">
        <v>21</v>
      </c>
      <c r="E33" t="s">
        <v>96</v>
      </c>
      <c r="F33" t="s">
        <v>608</v>
      </c>
    </row>
    <row r="34" spans="1:6" x14ac:dyDescent="0.3">
      <c r="A34" t="s">
        <v>609</v>
      </c>
      <c r="B34" t="s">
        <v>100</v>
      </c>
      <c r="C34" s="52">
        <f>C10-C33</f>
        <v>530</v>
      </c>
      <c r="D34" s="48" t="s">
        <v>21</v>
      </c>
      <c r="E34">
        <v>6.1</v>
      </c>
      <c r="F34" t="s">
        <v>610</v>
      </c>
    </row>
    <row r="35" spans="1:6" x14ac:dyDescent="0.3">
      <c r="A35" t="s">
        <v>611</v>
      </c>
      <c r="B35" t="s">
        <v>92</v>
      </c>
      <c r="C35" s="54">
        <f>C9*C10</f>
        <v>2052000</v>
      </c>
      <c r="D35" s="48" t="s">
        <v>93</v>
      </c>
      <c r="E35" t="s">
        <v>575</v>
      </c>
      <c r="F35" t="s">
        <v>612</v>
      </c>
    </row>
    <row r="36" spans="1:6" x14ac:dyDescent="0.3">
      <c r="A36" t="s">
        <v>613</v>
      </c>
      <c r="B36" t="s">
        <v>614</v>
      </c>
      <c r="C36" s="54">
        <f>C13*PI()*C12^2/4</f>
        <v>3141.5926535897929</v>
      </c>
      <c r="D36" s="48" t="s">
        <v>93</v>
      </c>
      <c r="E36" t="s">
        <v>575</v>
      </c>
      <c r="F36" t="s">
        <v>615</v>
      </c>
    </row>
    <row r="37" spans="1:6" x14ac:dyDescent="0.3">
      <c r="A37" t="s">
        <v>616</v>
      </c>
      <c r="B37" t="s">
        <v>617</v>
      </c>
      <c r="C37" s="54">
        <f>2*(C9+C10)</f>
        <v>8040</v>
      </c>
      <c r="D37" s="48" t="s">
        <v>21</v>
      </c>
      <c r="E37" t="s">
        <v>618</v>
      </c>
      <c r="F37" t="s">
        <v>619</v>
      </c>
    </row>
    <row r="38" spans="1:6" x14ac:dyDescent="0.3">
      <c r="A38" t="s">
        <v>620</v>
      </c>
      <c r="B38" t="s">
        <v>621</v>
      </c>
      <c r="C38" s="52">
        <f>MAX(C35/C37,2*C33)</f>
        <v>255.22388059701493</v>
      </c>
      <c r="D38" s="48" t="s">
        <v>21</v>
      </c>
      <c r="E38" t="s">
        <v>618</v>
      </c>
      <c r="F38" t="s">
        <v>622</v>
      </c>
    </row>
    <row r="39" spans="1:6" x14ac:dyDescent="0.3">
      <c r="A39" t="s">
        <v>623</v>
      </c>
      <c r="B39" t="s">
        <v>624</v>
      </c>
      <c r="C39" s="54">
        <f>(C9-C38)*(C10-C38)</f>
        <v>1091139.2292269992</v>
      </c>
      <c r="D39" s="48" t="s">
        <v>93</v>
      </c>
      <c r="E39" t="s">
        <v>618</v>
      </c>
      <c r="F39" t="s">
        <v>625</v>
      </c>
    </row>
    <row r="40" spans="1:6" x14ac:dyDescent="0.3">
      <c r="A40" t="s">
        <v>626</v>
      </c>
      <c r="B40" t="s">
        <v>627</v>
      </c>
      <c r="C40" s="54">
        <f>2*((C9-C38)+(C10-C38))</f>
        <v>7019.1044776119397</v>
      </c>
      <c r="D40" s="48" t="s">
        <v>21</v>
      </c>
      <c r="E40" t="s">
        <v>618</v>
      </c>
      <c r="F40" t="s">
        <v>628</v>
      </c>
    </row>
    <row r="41" spans="1:6" x14ac:dyDescent="0.3">
      <c r="A41" t="s">
        <v>629</v>
      </c>
      <c r="B41" t="s">
        <v>103</v>
      </c>
      <c r="C41" s="52">
        <f>0.9*C34</f>
        <v>477</v>
      </c>
      <c r="D41" s="48" t="s">
        <v>21</v>
      </c>
      <c r="E41" t="s">
        <v>104</v>
      </c>
      <c r="F41" t="s">
        <v>630</v>
      </c>
    </row>
    <row r="43" spans="1:6" x14ac:dyDescent="0.3">
      <c r="A43" s="4" t="s">
        <v>631</v>
      </c>
      <c r="B43" s="3"/>
      <c r="C43" s="3"/>
      <c r="D43" s="3"/>
      <c r="E43" s="3"/>
      <c r="F43" s="3"/>
    </row>
    <row r="44" spans="1:6" x14ac:dyDescent="0.3">
      <c r="A44" t="s">
        <v>632</v>
      </c>
      <c r="B44" t="s">
        <v>633</v>
      </c>
      <c r="C44" s="55">
        <f>C6*1000000/(C9*C34^2*C25)</f>
        <v>1.3011643859857308E-2</v>
      </c>
      <c r="D44" s="48" t="s">
        <v>575</v>
      </c>
      <c r="E44" t="s">
        <v>1117</v>
      </c>
      <c r="F44" t="s">
        <v>635</v>
      </c>
    </row>
    <row r="45" spans="1:6" x14ac:dyDescent="0.3">
      <c r="A45" t="s">
        <v>636</v>
      </c>
      <c r="B45" t="s">
        <v>637</v>
      </c>
      <c r="C45" s="55">
        <f>1.25*(1-SQRT(1-2*C44))</f>
        <v>1.6371768749618015E-2</v>
      </c>
      <c r="D45" s="48" t="s">
        <v>575</v>
      </c>
      <c r="E45" t="s">
        <v>1118</v>
      </c>
      <c r="F45" t="s">
        <v>639</v>
      </c>
    </row>
    <row r="46" spans="1:6" x14ac:dyDescent="0.3">
      <c r="A46" t="s">
        <v>640</v>
      </c>
      <c r="B46" t="s">
        <v>641</v>
      </c>
      <c r="C46" s="56">
        <v>0.45</v>
      </c>
      <c r="D46" s="48" t="s">
        <v>575</v>
      </c>
      <c r="E46" t="s">
        <v>1119</v>
      </c>
      <c r="F46" t="s">
        <v>643</v>
      </c>
    </row>
    <row r="47" spans="1:6" x14ac:dyDescent="0.3">
      <c r="A47" t="s">
        <v>644</v>
      </c>
      <c r="B47" t="s">
        <v>575</v>
      </c>
      <c r="C47" s="57" t="str">
        <f>IF(C45&lt;=C46,"OK","REVISAR – requiere armadura de compresión")</f>
        <v>OK</v>
      </c>
      <c r="D47" s="48" t="s">
        <v>575</v>
      </c>
      <c r="E47" t="s">
        <v>1120</v>
      </c>
    </row>
    <row r="48" spans="1:6" x14ac:dyDescent="0.3">
      <c r="A48" t="s">
        <v>646</v>
      </c>
      <c r="B48" t="s">
        <v>647</v>
      </c>
      <c r="C48" s="52">
        <f>C34*(1-0.4*C45)</f>
        <v>526.52918502508101</v>
      </c>
      <c r="D48" s="48" t="s">
        <v>21</v>
      </c>
      <c r="E48" t="s">
        <v>1120</v>
      </c>
      <c r="F48" t="s">
        <v>648</v>
      </c>
    </row>
    <row r="49" spans="1:6" x14ac:dyDescent="0.3">
      <c r="A49" t="s">
        <v>649</v>
      </c>
      <c r="B49" t="s">
        <v>650</v>
      </c>
      <c r="C49" s="54">
        <f>C6*1000000/(C48*C28)</f>
        <v>1092.0572237085207</v>
      </c>
      <c r="D49" s="48" t="s">
        <v>93</v>
      </c>
      <c r="E49" t="s">
        <v>1120</v>
      </c>
      <c r="F49" t="s">
        <v>651</v>
      </c>
    </row>
    <row r="50" spans="1:6" x14ac:dyDescent="0.3">
      <c r="A50" t="s">
        <v>652</v>
      </c>
      <c r="B50" t="s">
        <v>237</v>
      </c>
      <c r="C50" s="54">
        <f>C26*C9*C10^2/6/(C17*0.9*C34)</f>
        <v>2492.0556191330215</v>
      </c>
      <c r="D50" s="48" t="s">
        <v>93</v>
      </c>
      <c r="E50" t="s">
        <v>1296</v>
      </c>
      <c r="F50" t="s">
        <v>1297</v>
      </c>
    </row>
    <row r="51" spans="1:6" x14ac:dyDescent="0.3">
      <c r="A51" t="s">
        <v>239</v>
      </c>
      <c r="B51" t="s">
        <v>240</v>
      </c>
      <c r="C51" s="54">
        <f>0.04*C35</f>
        <v>82080</v>
      </c>
      <c r="D51" s="48" t="s">
        <v>93</v>
      </c>
      <c r="E51" t="s">
        <v>1121</v>
      </c>
      <c r="F51" t="s">
        <v>656</v>
      </c>
    </row>
    <row r="52" spans="1:6" x14ac:dyDescent="0.3">
      <c r="A52" s="2" t="s">
        <v>657</v>
      </c>
      <c r="B52" s="2" t="s">
        <v>650</v>
      </c>
      <c r="C52" s="59">
        <f>MAX(C49,C50)</f>
        <v>2492.0556191330215</v>
      </c>
      <c r="D52" s="58" t="s">
        <v>93</v>
      </c>
      <c r="E52" s="9" t="s">
        <v>1122</v>
      </c>
      <c r="F52" s="9" t="s">
        <v>658</v>
      </c>
    </row>
    <row r="53" spans="1:6" x14ac:dyDescent="0.3">
      <c r="A53" s="5" t="s">
        <v>876</v>
      </c>
      <c r="B53" s="5"/>
      <c r="C53" s="5"/>
      <c r="D53" s="5"/>
      <c r="E53" s="5"/>
      <c r="F53" s="5"/>
    </row>
    <row r="54" spans="1:6" x14ac:dyDescent="0.3">
      <c r="A54" t="s">
        <v>877</v>
      </c>
      <c r="B54" t="s">
        <v>878</v>
      </c>
      <c r="C54" s="64">
        <f>(C34/10)/SQRT(C6*1000/C9)</f>
        <v>6.1989612032985004</v>
      </c>
      <c r="D54" s="48" t="s">
        <v>575</v>
      </c>
      <c r="E54" t="s">
        <v>879</v>
      </c>
      <c r="F54" t="s">
        <v>880</v>
      </c>
    </row>
    <row r="55" spans="1:6" x14ac:dyDescent="0.3">
      <c r="A55" t="s">
        <v>881</v>
      </c>
      <c r="B55" t="s">
        <v>193</v>
      </c>
      <c r="C55" s="64">
        <f>1000/(C56*C28)</f>
        <v>2.3151613142620637</v>
      </c>
      <c r="D55" s="48" t="s">
        <v>575</v>
      </c>
      <c r="E55" t="s">
        <v>882</v>
      </c>
      <c r="F55" t="s">
        <v>883</v>
      </c>
    </row>
    <row r="56" spans="1:6" x14ac:dyDescent="0.3">
      <c r="A56" t="s">
        <v>884</v>
      </c>
      <c r="B56" t="s">
        <v>885</v>
      </c>
      <c r="C56" s="64">
        <f>1-0.4*C45</f>
        <v>0.99345129250015285</v>
      </c>
      <c r="D56" s="48" t="s">
        <v>575</v>
      </c>
      <c r="E56" t="s">
        <v>1120</v>
      </c>
      <c r="F56" t="s">
        <v>886</v>
      </c>
    </row>
    <row r="57" spans="1:6" x14ac:dyDescent="0.3">
      <c r="A57" t="s">
        <v>636</v>
      </c>
      <c r="B57" t="s">
        <v>637</v>
      </c>
      <c r="C57" s="64">
        <f>C45</f>
        <v>1.6371768749618015E-2</v>
      </c>
      <c r="D57" s="48" t="s">
        <v>575</v>
      </c>
      <c r="E57" t="s">
        <v>1123</v>
      </c>
      <c r="F57" t="s">
        <v>888</v>
      </c>
    </row>
    <row r="58" spans="1:6" x14ac:dyDescent="0.3">
      <c r="A58" t="s">
        <v>889</v>
      </c>
      <c r="B58" t="s">
        <v>83</v>
      </c>
      <c r="C58" s="65">
        <f>-MIN(C29*1000,25*C45/(1-C45))</f>
        <v>-0.41610662009991123</v>
      </c>
      <c r="D58" s="48" t="s">
        <v>80</v>
      </c>
      <c r="E58" t="s">
        <v>1048</v>
      </c>
      <c r="F58" t="s">
        <v>891</v>
      </c>
    </row>
    <row r="59" spans="1:6" x14ac:dyDescent="0.3">
      <c r="A59" t="s">
        <v>892</v>
      </c>
      <c r="B59" t="s">
        <v>893</v>
      </c>
      <c r="C59" s="65">
        <f>MIN(25,C29*1000*(1-C45)/C45)</f>
        <v>25</v>
      </c>
      <c r="D59" s="48" t="s">
        <v>80</v>
      </c>
      <c r="E59" t="s">
        <v>1124</v>
      </c>
      <c r="F59" t="s">
        <v>895</v>
      </c>
    </row>
    <row r="60" spans="1:6" x14ac:dyDescent="0.3">
      <c r="A60" t="s">
        <v>896</v>
      </c>
      <c r="B60" t="s">
        <v>203</v>
      </c>
      <c r="C60" s="66">
        <f>C45*C34</f>
        <v>8.6770374372975478</v>
      </c>
      <c r="D60" s="48" t="s">
        <v>21</v>
      </c>
      <c r="E60" t="s">
        <v>1120</v>
      </c>
      <c r="F60" t="s">
        <v>897</v>
      </c>
    </row>
    <row r="61" spans="1:6" x14ac:dyDescent="0.3">
      <c r="A61" t="s">
        <v>898</v>
      </c>
      <c r="B61" t="s">
        <v>103</v>
      </c>
      <c r="C61" s="66">
        <f>C48</f>
        <v>526.52918502508101</v>
      </c>
      <c r="D61" s="48" t="s">
        <v>21</v>
      </c>
      <c r="E61" t="s">
        <v>1120</v>
      </c>
      <c r="F61" t="s">
        <v>899</v>
      </c>
    </row>
    <row r="62" spans="1:6" x14ac:dyDescent="0.3">
      <c r="A62" s="9" t="s">
        <v>900</v>
      </c>
      <c r="B62" s="9" t="s">
        <v>244</v>
      </c>
      <c r="C62" s="67">
        <f>C55*C6/(C34/10)</f>
        <v>10.920572237085205</v>
      </c>
      <c r="D62" s="68" t="s">
        <v>901</v>
      </c>
      <c r="E62" s="9" t="s">
        <v>882</v>
      </c>
      <c r="F62" s="9" t="s">
        <v>902</v>
      </c>
    </row>
    <row r="64" spans="1:6" x14ac:dyDescent="0.3">
      <c r="A64" s="4" t="s">
        <v>1050</v>
      </c>
      <c r="B64" s="3"/>
      <c r="C64" s="3"/>
      <c r="D64" s="3"/>
      <c r="E64" s="3"/>
      <c r="F64" s="3"/>
    </row>
    <row r="65" spans="1:6" x14ac:dyDescent="0.3">
      <c r="A65" t="s">
        <v>1051</v>
      </c>
      <c r="B65" t="s">
        <v>259</v>
      </c>
      <c r="C65" s="51">
        <f>C36/(C9*C34)</f>
        <v>1.7331968738771891E-3</v>
      </c>
      <c r="D65" s="48" t="s">
        <v>575</v>
      </c>
      <c r="E65" t="s">
        <v>1052</v>
      </c>
      <c r="F65" t="s">
        <v>1053</v>
      </c>
    </row>
    <row r="66" spans="1:6" x14ac:dyDescent="0.3">
      <c r="A66" t="s">
        <v>1054</v>
      </c>
      <c r="B66" t="s">
        <v>1055</v>
      </c>
      <c r="C66" s="55">
        <v>32</v>
      </c>
      <c r="D66" s="48" t="s">
        <v>21</v>
      </c>
      <c r="E66" t="s">
        <v>1056</v>
      </c>
      <c r="F66" t="s">
        <v>1057</v>
      </c>
    </row>
    <row r="67" spans="1:6" x14ac:dyDescent="0.3">
      <c r="A67" t="s">
        <v>1058</v>
      </c>
      <c r="B67" t="s">
        <v>1059</v>
      </c>
      <c r="C67" s="55">
        <v>1.4</v>
      </c>
      <c r="D67" s="48" t="s">
        <v>575</v>
      </c>
      <c r="E67" t="s">
        <v>1060</v>
      </c>
      <c r="F67" t="s">
        <v>1061</v>
      </c>
    </row>
    <row r="68" spans="1:6" x14ac:dyDescent="0.3">
      <c r="A68" t="s">
        <v>1062</v>
      </c>
      <c r="B68" t="s">
        <v>1063</v>
      </c>
      <c r="C68" s="55">
        <f>C7*1000/(C9*C41)</f>
        <v>0.12259859992398887</v>
      </c>
      <c r="D68" s="48" t="s">
        <v>43</v>
      </c>
      <c r="E68" t="s">
        <v>1064</v>
      </c>
      <c r="F68" t="s">
        <v>1065</v>
      </c>
    </row>
    <row r="69" spans="1:6" x14ac:dyDescent="0.3">
      <c r="A69" t="s">
        <v>1066</v>
      </c>
      <c r="B69" t="s">
        <v>1067</v>
      </c>
      <c r="C69" s="60">
        <f>(11/C67)*SQRT(C16/C28*C66/C34)</f>
        <v>0.50713811166679956</v>
      </c>
      <c r="D69" s="48" t="s">
        <v>43</v>
      </c>
      <c r="E69" t="s">
        <v>1068</v>
      </c>
      <c r="F69" t="s">
        <v>1069</v>
      </c>
    </row>
    <row r="70" spans="1:6" x14ac:dyDescent="0.3">
      <c r="A70" t="s">
        <v>1070</v>
      </c>
      <c r="B70" t="s">
        <v>1071</v>
      </c>
      <c r="C70" s="57">
        <f>MAX((0.66/C67)*(100*C65*C16*C66/C34)^(1/3),C69)</f>
        <v>0.50713811166679956</v>
      </c>
      <c r="D70" s="48" t="s">
        <v>43</v>
      </c>
      <c r="E70" t="s">
        <v>1072</v>
      </c>
      <c r="F70" t="s">
        <v>1073</v>
      </c>
    </row>
    <row r="71" spans="1:6" x14ac:dyDescent="0.3">
      <c r="A71" t="s">
        <v>668</v>
      </c>
      <c r="B71" t="s">
        <v>575</v>
      </c>
      <c r="C71" s="60" t="str">
        <f>IF(C68&gt;C70,"SÍ (τ_Ed &gt; τ_Rd,c)","NO (τ_Ed ≤ τ_Rd,c)")</f>
        <v>NO (τ_Ed ≤ τ_Rd,c)</v>
      </c>
      <c r="D71" s="48" t="s">
        <v>575</v>
      </c>
      <c r="E71" t="s">
        <v>1074</v>
      </c>
      <c r="F71" t="s">
        <v>1075</v>
      </c>
    </row>
    <row r="72" spans="1:6" x14ac:dyDescent="0.3">
      <c r="A72" t="s">
        <v>1076</v>
      </c>
      <c r="B72" t="s">
        <v>1077</v>
      </c>
      <c r="C72" s="49">
        <v>2.5</v>
      </c>
      <c r="D72" s="48" t="s">
        <v>575</v>
      </c>
      <c r="E72" t="s">
        <v>1078</v>
      </c>
      <c r="F72" t="s">
        <v>1079</v>
      </c>
    </row>
    <row r="73" spans="1:6" x14ac:dyDescent="0.3">
      <c r="A73" t="s">
        <v>674</v>
      </c>
      <c r="B73" t="s">
        <v>60</v>
      </c>
      <c r="C73" s="49">
        <f>IF(C21&gt;0,MIN(C21,C72),C72)</f>
        <v>2.5</v>
      </c>
      <c r="D73" s="48" t="s">
        <v>575</v>
      </c>
      <c r="E73" t="s">
        <v>1080</v>
      </c>
      <c r="F73" t="s">
        <v>1081</v>
      </c>
    </row>
    <row r="74" spans="1:6" x14ac:dyDescent="0.3">
      <c r="A74" t="s">
        <v>1082</v>
      </c>
      <c r="B74" t="s">
        <v>1083</v>
      </c>
      <c r="C74" s="56">
        <v>0.5</v>
      </c>
      <c r="D74" s="48" t="s">
        <v>575</v>
      </c>
      <c r="E74" t="s">
        <v>1084</v>
      </c>
      <c r="F74" t="s">
        <v>1085</v>
      </c>
    </row>
    <row r="75" spans="1:6" x14ac:dyDescent="0.3">
      <c r="A75" t="s">
        <v>1086</v>
      </c>
      <c r="B75" t="s">
        <v>1087</v>
      </c>
      <c r="C75" s="60">
        <f>C74*C25/(C73+1/C73)</f>
        <v>3.4482758620689657</v>
      </c>
      <c r="D75" s="48" t="s">
        <v>43</v>
      </c>
      <c r="E75" t="s">
        <v>1088</v>
      </c>
      <c r="F75" t="s">
        <v>1089</v>
      </c>
    </row>
    <row r="76" spans="1:6" x14ac:dyDescent="0.3">
      <c r="A76" t="s">
        <v>1090</v>
      </c>
      <c r="B76" t="s">
        <v>575</v>
      </c>
      <c r="C76" s="57" t="str">
        <f>IF(C68&lt;=C75,"OK","NO CUMPLE – aumentar b o f_ck")</f>
        <v>OK</v>
      </c>
      <c r="D76" s="48" t="s">
        <v>575</v>
      </c>
      <c r="E76" t="s">
        <v>1091</v>
      </c>
    </row>
    <row r="77" spans="1:6" x14ac:dyDescent="0.3">
      <c r="A77" t="s">
        <v>682</v>
      </c>
      <c r="B77" t="s">
        <v>683</v>
      </c>
      <c r="C77" s="54">
        <f>C68*C9*1000/(C28*C73)</f>
        <v>385.74423480083851</v>
      </c>
      <c r="D77" s="48" t="s">
        <v>684</v>
      </c>
      <c r="E77" t="s">
        <v>1092</v>
      </c>
      <c r="F77" t="s">
        <v>1093</v>
      </c>
    </row>
    <row r="78" spans="1:6" x14ac:dyDescent="0.3">
      <c r="A78" t="s">
        <v>686</v>
      </c>
      <c r="B78" t="s">
        <v>306</v>
      </c>
      <c r="C78" s="51">
        <f>0.08*SQRT(C16)/C17</f>
        <v>8.7635609200826582E-4</v>
      </c>
      <c r="D78" s="48" t="s">
        <v>575</v>
      </c>
      <c r="E78" t="s">
        <v>1291</v>
      </c>
      <c r="F78" t="s">
        <v>1292</v>
      </c>
    </row>
    <row r="79" spans="1:6" x14ac:dyDescent="0.3">
      <c r="A79" t="s">
        <v>687</v>
      </c>
      <c r="B79" t="s">
        <v>688</v>
      </c>
      <c r="C79" s="54">
        <f>C78*C9*1000</f>
        <v>2997.1378346682691</v>
      </c>
      <c r="D79" s="48" t="s">
        <v>684</v>
      </c>
      <c r="E79" t="s">
        <v>311</v>
      </c>
      <c r="F79" t="s">
        <v>1094</v>
      </c>
    </row>
    <row r="80" spans="1:6" x14ac:dyDescent="0.3">
      <c r="A80" s="2" t="s">
        <v>690</v>
      </c>
      <c r="B80" s="2" t="s">
        <v>683</v>
      </c>
      <c r="C80" s="59">
        <f>MAX(C77,C79)</f>
        <v>2997.1378346682691</v>
      </c>
      <c r="D80" s="58" t="s">
        <v>684</v>
      </c>
      <c r="E80" s="9" t="s">
        <v>582</v>
      </c>
      <c r="F80" s="9" t="s">
        <v>691</v>
      </c>
    </row>
    <row r="82" spans="1:6" x14ac:dyDescent="0.3">
      <c r="A82" s="4" t="s">
        <v>1095</v>
      </c>
      <c r="B82" s="3"/>
      <c r="C82" s="3"/>
      <c r="D82" s="3"/>
      <c r="E82" s="3"/>
      <c r="F82" s="3"/>
    </row>
    <row r="83" spans="1:6" x14ac:dyDescent="0.3">
      <c r="A83" t="s">
        <v>693</v>
      </c>
      <c r="B83" t="s">
        <v>1096</v>
      </c>
      <c r="C83" s="49">
        <f>C8*1000000/(2*C39*C38)</f>
        <v>4.4885755067051551E-2</v>
      </c>
      <c r="D83" s="48" t="s">
        <v>43</v>
      </c>
      <c r="E83" t="s">
        <v>1097</v>
      </c>
      <c r="F83" t="s">
        <v>1098</v>
      </c>
    </row>
    <row r="84" spans="1:6" x14ac:dyDescent="0.3">
      <c r="A84" t="s">
        <v>697</v>
      </c>
      <c r="B84" t="s">
        <v>1099</v>
      </c>
      <c r="C84" s="50">
        <f>2*C39*C38*C27/1000000</f>
        <v>752.84749940638051</v>
      </c>
      <c r="D84" s="48" t="s">
        <v>18</v>
      </c>
      <c r="E84" t="s">
        <v>1100</v>
      </c>
      <c r="F84" t="s">
        <v>1101</v>
      </c>
    </row>
    <row r="85" spans="1:6" x14ac:dyDescent="0.3">
      <c r="A85" t="s">
        <v>701</v>
      </c>
      <c r="B85" t="s">
        <v>575</v>
      </c>
      <c r="C85" s="57" t="str">
        <f>IF(C8&lt;=C84,"NO (arm. mínima)","SÍ")</f>
        <v>NO (arm. mínima)</v>
      </c>
      <c r="D85" t="s">
        <v>575</v>
      </c>
      <c r="E85" t="s">
        <v>1102</v>
      </c>
      <c r="F85" t="s">
        <v>1103</v>
      </c>
    </row>
    <row r="86" spans="1:6" x14ac:dyDescent="0.3">
      <c r="A86" t="s">
        <v>704</v>
      </c>
      <c r="B86" t="s">
        <v>705</v>
      </c>
      <c r="C86" s="50">
        <f>C22*C25/(C73+1/C73)*2*C39*C38/1000000</f>
        <v>2304.7016967306258</v>
      </c>
      <c r="D86" s="48" t="s">
        <v>18</v>
      </c>
      <c r="E86" t="s">
        <v>1041</v>
      </c>
      <c r="F86" t="s">
        <v>1104</v>
      </c>
    </row>
    <row r="87" spans="1:6" x14ac:dyDescent="0.3">
      <c r="A87" t="s">
        <v>708</v>
      </c>
      <c r="B87" t="s">
        <v>575</v>
      </c>
      <c r="C87" s="57" t="str">
        <f>IF(C8&lt;=C86,"OK","NO CUMPLE – aumentar sección o f_ck")</f>
        <v>OK</v>
      </c>
      <c r="D87" s="48" t="s">
        <v>575</v>
      </c>
      <c r="E87" t="s">
        <v>1105</v>
      </c>
    </row>
    <row r="88" spans="1:6" x14ac:dyDescent="0.3">
      <c r="A88" t="s">
        <v>710</v>
      </c>
      <c r="B88" t="s">
        <v>711</v>
      </c>
      <c r="C88" s="54">
        <f>C83*C38*1000/(C73*C28)</f>
        <v>10.53944326440082</v>
      </c>
      <c r="D88" s="48" t="s">
        <v>684</v>
      </c>
      <c r="E88" t="s">
        <v>1106</v>
      </c>
      <c r="F88" t="s">
        <v>1107</v>
      </c>
    </row>
    <row r="89" spans="1:6" x14ac:dyDescent="0.3">
      <c r="A89" t="s">
        <v>714</v>
      </c>
      <c r="B89" t="s">
        <v>715</v>
      </c>
      <c r="C89" s="54">
        <f>C83*C38*C40*C73/C28</f>
        <v>462.35908380432994</v>
      </c>
      <c r="D89" s="48" t="s">
        <v>93</v>
      </c>
      <c r="E89" t="s">
        <v>1108</v>
      </c>
      <c r="F89" t="s">
        <v>1109</v>
      </c>
    </row>
    <row r="91" spans="1:6" x14ac:dyDescent="0.3">
      <c r="A91" s="4" t="s">
        <v>1110</v>
      </c>
      <c r="B91" s="3"/>
      <c r="C91" s="3"/>
      <c r="D91" s="3"/>
      <c r="E91" s="3"/>
      <c r="F91" s="3"/>
    </row>
    <row r="92" spans="1:6" x14ac:dyDescent="0.3">
      <c r="A92" t="s">
        <v>719</v>
      </c>
      <c r="B92" t="s">
        <v>575</v>
      </c>
      <c r="C92" s="55">
        <f>C8/C86+C68/C75</f>
        <v>4.6400984785827562E-2</v>
      </c>
      <c r="D92" s="48" t="s">
        <v>575</v>
      </c>
      <c r="E92" t="s">
        <v>1111</v>
      </c>
      <c r="F92" t="s">
        <v>1112</v>
      </c>
    </row>
    <row r="93" spans="1:6" x14ac:dyDescent="0.3">
      <c r="A93" t="s">
        <v>722</v>
      </c>
      <c r="B93" t="s">
        <v>575</v>
      </c>
      <c r="C93" s="57" t="str">
        <f>IF(C92&lt;=1,"OK","NO CUMPLE – reducir cotθ o aumentar sección")</f>
        <v>OK</v>
      </c>
      <c r="D93" s="48" t="s">
        <v>575</v>
      </c>
      <c r="E93" t="s">
        <v>1113</v>
      </c>
    </row>
    <row r="94" spans="1:6" x14ac:dyDescent="0.3">
      <c r="A94" t="s">
        <v>723</v>
      </c>
      <c r="B94" t="s">
        <v>724</v>
      </c>
      <c r="C94" s="52">
        <f>PI()*C14^2/4</f>
        <v>78.539816339744831</v>
      </c>
      <c r="D94" s="48" t="s">
        <v>93</v>
      </c>
      <c r="E94" t="s">
        <v>575</v>
      </c>
      <c r="F94" t="s">
        <v>725</v>
      </c>
    </row>
    <row r="95" spans="1:6" x14ac:dyDescent="0.3">
      <c r="A95" t="s">
        <v>726</v>
      </c>
      <c r="B95" t="s">
        <v>727</v>
      </c>
      <c r="C95" s="54">
        <f>C80/C15+C88</f>
        <v>1509.1083605985355</v>
      </c>
      <c r="D95" s="48" t="s">
        <v>684</v>
      </c>
      <c r="E95" t="s">
        <v>1114</v>
      </c>
      <c r="F95" t="s">
        <v>729</v>
      </c>
    </row>
    <row r="96" spans="1:6" x14ac:dyDescent="0.3">
      <c r="A96" t="s">
        <v>730</v>
      </c>
      <c r="B96" t="s">
        <v>323</v>
      </c>
      <c r="C96" s="52">
        <f>C94*1000/C95</f>
        <v>52.043854762420601</v>
      </c>
      <c r="D96" s="48" t="s">
        <v>21</v>
      </c>
      <c r="E96" t="s">
        <v>575</v>
      </c>
      <c r="F96" t="s">
        <v>731</v>
      </c>
    </row>
    <row r="97" spans="1:6" x14ac:dyDescent="0.3">
      <c r="A97" t="s">
        <v>319</v>
      </c>
      <c r="B97" t="s">
        <v>320</v>
      </c>
      <c r="C97" s="52">
        <f>MIN(0.75*C34,C40/8,MIN(C9,C10))</f>
        <v>397.5</v>
      </c>
      <c r="D97" s="48" t="s">
        <v>21</v>
      </c>
      <c r="E97" t="s">
        <v>1300</v>
      </c>
      <c r="F97" t="s">
        <v>1301</v>
      </c>
    </row>
    <row r="98" spans="1:6" x14ac:dyDescent="0.3">
      <c r="A98" s="2" t="s">
        <v>734</v>
      </c>
      <c r="B98" s="2" t="s">
        <v>735</v>
      </c>
      <c r="C98" s="61">
        <f>MIN(C96,C97)</f>
        <v>52.043854762420601</v>
      </c>
      <c r="D98" s="58" t="s">
        <v>21</v>
      </c>
      <c r="E98" s="9"/>
      <c r="F98" s="9" t="str">
        <f>"Estribo cerrado Ø"&amp;C14&amp;" c/"&amp;FLOOR(C98,10)&amp;" mm"</f>
        <v>Estribo cerrado Ø10 c/50 mm</v>
      </c>
    </row>
    <row r="99" spans="1:6" x14ac:dyDescent="0.3">
      <c r="A99" t="s">
        <v>736</v>
      </c>
      <c r="B99" t="s">
        <v>737</v>
      </c>
      <c r="C99" s="54">
        <f>C89*(C9-C38)/C40</f>
        <v>208.4686147186147</v>
      </c>
      <c r="D99" s="48" t="s">
        <v>93</v>
      </c>
      <c r="E99" t="s">
        <v>1115</v>
      </c>
      <c r="F99" t="s">
        <v>739</v>
      </c>
    </row>
    <row r="100" spans="1:6" x14ac:dyDescent="0.3">
      <c r="A100" s="2" t="s">
        <v>740</v>
      </c>
      <c r="B100" s="2" t="s">
        <v>741</v>
      </c>
      <c r="C100" s="59">
        <f>C52+C99</f>
        <v>2700.5242338516364</v>
      </c>
      <c r="D100" s="58" t="s">
        <v>93</v>
      </c>
      <c r="E100" s="9" t="s">
        <v>1116</v>
      </c>
      <c r="F100" s="9" t="s">
        <v>743</v>
      </c>
    </row>
    <row r="102" spans="1:6" x14ac:dyDescent="0.3">
      <c r="A102" s="4" t="s">
        <v>744</v>
      </c>
      <c r="B102" s="3"/>
      <c r="C102" s="3"/>
      <c r="D102" s="3"/>
      <c r="E102" s="3"/>
      <c r="F102" s="3"/>
    </row>
    <row r="103" spans="1:6" x14ac:dyDescent="0.3">
      <c r="A103" t="s">
        <v>745</v>
      </c>
      <c r="C103" s="62" t="str">
        <f>"M_Ed = "&amp;C6&amp;" kNm  /  V_Ed = "&amp;C7&amp;" kN  /  T_Ed = "&amp;C8&amp;" kNm"</f>
        <v>M_Ed = 250 kNm  /  V_Ed = 200 kN  /  T_Ed = 25 kNm</v>
      </c>
    </row>
    <row r="104" spans="1:6" x14ac:dyDescent="0.3">
      <c r="A104" t="s">
        <v>746</v>
      </c>
      <c r="C104" s="62" t="str">
        <f>"b/h = "&amp;C9&amp;"/"&amp;C10&amp;" mm  ·  C"&amp;C16&amp;"  ·  B"&amp;C17&amp;"  ·  c_nom = "&amp;C11&amp;" mm"</f>
        <v>b/h = 3420/600 mm  ·  C30  ·  B500  ·  c_nom = 50 mm</v>
      </c>
    </row>
    <row r="105" spans="1:6" x14ac:dyDescent="0.3">
      <c r="A105" t="s">
        <v>747</v>
      </c>
      <c r="C105" s="62" t="str">
        <f>"necesaria "&amp;ROUND(C100,0)&amp;" mm²  →  dispuesta "&amp;C13&amp;"Ø"&amp;C12&amp;" = "&amp;ROUND(C36,0)&amp;" mm²"</f>
        <v>necesaria 2701 mm²  →  dispuesta 10Ø20 = 3142 mm²</v>
      </c>
    </row>
    <row r="106" spans="1:6" x14ac:dyDescent="0.3">
      <c r="A106" t="s">
        <v>748</v>
      </c>
      <c r="C106" s="62" t="str">
        <f>F98</f>
        <v>Estribo cerrado Ø10 c/50 mm</v>
      </c>
    </row>
    <row r="107" spans="1:6" x14ac:dyDescent="0.3">
      <c r="A107" t="s">
        <v>749</v>
      </c>
      <c r="C107" s="62" t="str">
        <f>ROUND(C89,0)&amp;" mm² distribuida en el perímetro (mín. 1 barra por esquina)"</f>
        <v>462 mm² distribuida en el perímetro (mín. 1 barra por esquina)</v>
      </c>
    </row>
    <row r="108" spans="1:6" x14ac:dyDescent="0.3">
      <c r="A108" t="s">
        <v>750</v>
      </c>
      <c r="C108" s="57" t="str">
        <f>C47</f>
        <v>OK</v>
      </c>
    </row>
    <row r="109" spans="1:6" x14ac:dyDescent="0.3">
      <c r="A109" t="s">
        <v>751</v>
      </c>
      <c r="C109" s="57" t="str">
        <f>C76</f>
        <v>OK</v>
      </c>
    </row>
    <row r="110" spans="1:6" x14ac:dyDescent="0.3">
      <c r="A110" t="s">
        <v>752</v>
      </c>
      <c r="C110" s="57" t="str">
        <f>C87</f>
        <v>OK</v>
      </c>
    </row>
    <row r="111" spans="1:6" x14ac:dyDescent="0.3">
      <c r="A111" t="s">
        <v>753</v>
      </c>
      <c r="C111" s="57" t="str">
        <f>C93</f>
        <v>OK</v>
      </c>
    </row>
    <row r="112" spans="1:6" x14ac:dyDescent="0.3">
      <c r="A112" t="s">
        <v>754</v>
      </c>
      <c r="C112" s="57" t="str">
        <f>IF(C36&gt;=C100,"OK","NO CUMPLE – aumentar nº o Ø de barras")</f>
        <v>OK</v>
      </c>
    </row>
    <row r="113" spans="1:6" x14ac:dyDescent="0.3">
      <c r="A113" t="s">
        <v>755</v>
      </c>
      <c r="C113" s="57" t="str">
        <f>IF(C36&lt;=C51,"OK","NO CUMPLE – excede 0,04·A_c")</f>
        <v>OK</v>
      </c>
    </row>
    <row r="114" spans="1:6" x14ac:dyDescent="0.3">
      <c r="A114" s="2" t="s">
        <v>340</v>
      </c>
      <c r="B114" s="9"/>
      <c r="C114" s="58" t="str">
        <f>IF(COUNTIF(C108:C113,"*OK*")=6,"TODAS LAS VERIFICACIONES CUMPLEN","REVISAR: hay verificaciones no cumplidas")</f>
        <v>TODAS LAS VERIFICACIONES CUMPLEN</v>
      </c>
      <c r="D114" s="9"/>
      <c r="E114" s="9"/>
      <c r="F114" s="9"/>
    </row>
    <row r="116" spans="1:6" x14ac:dyDescent="0.3">
      <c r="A116" s="4" t="s">
        <v>756</v>
      </c>
      <c r="B116" s="3"/>
      <c r="C116" s="3"/>
      <c r="D116" s="3"/>
      <c r="E116" s="3"/>
      <c r="F116" s="3"/>
    </row>
    <row r="117" spans="1:6" x14ac:dyDescent="0.3">
      <c r="A117" t="s">
        <v>1125</v>
      </c>
    </row>
    <row r="118" spans="1:6" x14ac:dyDescent="0.3">
      <c r="A118" t="s">
        <v>1126</v>
      </c>
    </row>
    <row r="119" spans="1:6" x14ac:dyDescent="0.3">
      <c r="A119" t="s">
        <v>1127</v>
      </c>
    </row>
    <row r="120" spans="1:6" x14ac:dyDescent="0.3">
      <c r="A120" t="s">
        <v>1128</v>
      </c>
    </row>
    <row r="121" spans="1:6" x14ac:dyDescent="0.3">
      <c r="A121" t="s">
        <v>1129</v>
      </c>
    </row>
    <row r="122" spans="1:6" x14ac:dyDescent="0.3">
      <c r="A122" t="s">
        <v>1130</v>
      </c>
    </row>
    <row r="123" spans="1:6" x14ac:dyDescent="0.3">
      <c r="A123" t="s">
        <v>1131</v>
      </c>
    </row>
    <row r="124" spans="1:6" x14ac:dyDescent="0.3">
      <c r="A124" t="s">
        <v>1132</v>
      </c>
    </row>
    <row r="125" spans="1:6" x14ac:dyDescent="0.3">
      <c r="A125" t="s">
        <v>1133</v>
      </c>
    </row>
    <row r="126" spans="1:6" x14ac:dyDescent="0.3">
      <c r="A126" t="s">
        <v>1134</v>
      </c>
    </row>
    <row r="127" spans="1:6" x14ac:dyDescent="0.3">
      <c r="A127" t="s">
        <v>767</v>
      </c>
    </row>
    <row r="128" spans="1:6" x14ac:dyDescent="0.3">
      <c r="A128" t="s">
        <v>768</v>
      </c>
    </row>
    <row r="130" spans="1:1" x14ac:dyDescent="0.3">
      <c r="A130" s="63" t="s">
        <v>769</v>
      </c>
    </row>
  </sheetData>
  <conditionalFormatting sqref="C47">
    <cfRule type="containsText" dxfId="99" priority="1" operator="containsText" text="NO CUMPLE">
      <formula>NOT(ISERROR(SEARCH("NO CUMPLE",C47)))</formula>
    </cfRule>
    <cfRule type="containsText" dxfId="98" priority="2" operator="containsText" text="REVISAR">
      <formula>NOT(ISERROR(SEARCH("REVISAR",C47)))</formula>
    </cfRule>
    <cfRule type="containsText" dxfId="97" priority="3" operator="containsText" text="OK">
      <formula>NOT(ISERROR(SEARCH("OK",C47)))</formula>
    </cfRule>
    <cfRule type="containsText" dxfId="96" priority="4" operator="containsText" text="TODAS">
      <formula>NOT(ISERROR(SEARCH("TODAS",C47)))</formula>
    </cfRule>
  </conditionalFormatting>
  <conditionalFormatting sqref="C76">
    <cfRule type="containsText" dxfId="95" priority="5" operator="containsText" text="NO CUMPLE">
      <formula>NOT(ISERROR(SEARCH("NO CUMPLE",C76)))</formula>
    </cfRule>
    <cfRule type="containsText" dxfId="94" priority="6" operator="containsText" text="REVISAR">
      <formula>NOT(ISERROR(SEARCH("REVISAR",C76)))</formula>
    </cfRule>
    <cfRule type="containsText" dxfId="93" priority="7" operator="containsText" text="OK">
      <formula>NOT(ISERROR(SEARCH("OK",C76)))</formula>
    </cfRule>
    <cfRule type="containsText" dxfId="92" priority="8" operator="containsText" text="TODAS">
      <formula>NOT(ISERROR(SEARCH("TODAS",C76)))</formula>
    </cfRule>
  </conditionalFormatting>
  <conditionalFormatting sqref="C87">
    <cfRule type="containsText" dxfId="91" priority="9" operator="containsText" text="NO CUMPLE">
      <formula>NOT(ISERROR(SEARCH("NO CUMPLE",C87)))</formula>
    </cfRule>
    <cfRule type="containsText" dxfId="90" priority="10" operator="containsText" text="REVISAR">
      <formula>NOT(ISERROR(SEARCH("REVISAR",C87)))</formula>
    </cfRule>
    <cfRule type="containsText" dxfId="89" priority="11" operator="containsText" text="OK">
      <formula>NOT(ISERROR(SEARCH("OK",C87)))</formula>
    </cfRule>
    <cfRule type="containsText" dxfId="88" priority="12" operator="containsText" text="TODAS">
      <formula>NOT(ISERROR(SEARCH("TODAS",C87)))</formula>
    </cfRule>
  </conditionalFormatting>
  <conditionalFormatting sqref="C93">
    <cfRule type="containsText" dxfId="87" priority="13" operator="containsText" text="NO CUMPLE">
      <formula>NOT(ISERROR(SEARCH("NO CUMPLE",C93)))</formula>
    </cfRule>
    <cfRule type="containsText" dxfId="86" priority="14" operator="containsText" text="REVISAR">
      <formula>NOT(ISERROR(SEARCH("REVISAR",C93)))</formula>
    </cfRule>
    <cfRule type="containsText" dxfId="85" priority="15" operator="containsText" text="OK">
      <formula>NOT(ISERROR(SEARCH("OK",C93)))</formula>
    </cfRule>
    <cfRule type="containsText" dxfId="84" priority="16" operator="containsText" text="TODAS">
      <formula>NOT(ISERROR(SEARCH("TODAS",C93)))</formula>
    </cfRule>
  </conditionalFormatting>
  <conditionalFormatting sqref="C108:C114">
    <cfRule type="containsText" dxfId="83" priority="17" operator="containsText" text="NO CUMPLE">
      <formula>NOT(ISERROR(SEARCH("NO CUMPLE",C108)))</formula>
    </cfRule>
    <cfRule type="containsText" dxfId="82" priority="18" operator="containsText" text="REVISAR">
      <formula>NOT(ISERROR(SEARCH("REVISAR",C108)))</formula>
    </cfRule>
    <cfRule type="containsText" dxfId="81" priority="19" operator="containsText" text="OK">
      <formula>NOT(ISERROR(SEARCH("OK",C108)))</formula>
    </cfRule>
    <cfRule type="containsText" dxfId="80" priority="20" operator="containsText" text="TODAS">
      <formula>NOT(ISERROR(SEARCH("TODAS",C108)))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0E16E67-D17C-4CE0-9322-2FB1D2B01E21}">
          <x14:formula1>
            <xm:f>Aceros_DIN!$B$6:$B$16</xm:f>
          </x14:formula1>
          <xm:sqref>C12 C14</xm:sqref>
        </x14:dataValidation>
        <x14:dataValidation type="list" allowBlank="1" showInputMessage="1" showErrorMessage="1" xr:uid="{F7B3B3A4-DAD1-4FDC-B153-FC9BB05B0702}">
          <x14:formula1>
            <xm:f>Aceros_DIN!$A$47:$A$49</xm:f>
          </x14:formula1>
          <xm:sqref>F17</xm:sqref>
        </x14:dataValidation>
        <x14:dataValidation type="list" allowBlank="1" showInputMessage="1" showErrorMessage="1" xr:uid="{DEE27387-44E9-43B4-88DB-84EE1AE7F986}">
          <x14:formula1>
            <xm:f>Aceros_DIN!$A$35:$A$43</xm:f>
          </x14:formula1>
          <xm:sqref>F16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5BE6-3C0E-4A3A-BA18-3162C77830A4}">
  <dimension ref="A1:W141"/>
  <sheetViews>
    <sheetView workbookViewId="0">
      <pane ySplit="5" topLeftCell="A6" activePane="bottomLeft" state="frozen"/>
      <selection pane="bottomLeft" activeCell="E11" sqref="E11"/>
    </sheetView>
  </sheetViews>
  <sheetFormatPr defaultRowHeight="14.4" x14ac:dyDescent="0.3"/>
  <cols>
    <col min="1" max="1" width="57.109375" customWidth="1"/>
    <col min="2" max="2" width="15.33203125" customWidth="1"/>
    <col min="3" max="3" width="42.44140625" customWidth="1"/>
    <col min="4" max="4" width="10.44140625" customWidth="1"/>
    <col min="5" max="5" width="43.88671875" customWidth="1"/>
    <col min="6" max="6" width="72.44140625" customWidth="1"/>
  </cols>
  <sheetData>
    <row r="1" spans="1:23" ht="18" x14ac:dyDescent="0.35">
      <c r="A1" s="32" t="s">
        <v>0</v>
      </c>
      <c r="B1" s="33"/>
      <c r="C1" s="33"/>
      <c r="D1" s="33"/>
      <c r="E1" s="33"/>
      <c r="F1" s="33"/>
    </row>
    <row r="2" spans="1:23" x14ac:dyDescent="0.3">
      <c r="A2" s="34" t="s">
        <v>1</v>
      </c>
      <c r="B2" s="33"/>
      <c r="C2" s="33"/>
      <c r="D2" s="33"/>
      <c r="E2" s="33"/>
      <c r="F2" s="33"/>
      <c r="Q2" t="s">
        <v>926</v>
      </c>
      <c r="R2" t="s">
        <v>918</v>
      </c>
      <c r="S2" t="s">
        <v>919</v>
      </c>
      <c r="T2" t="s">
        <v>927</v>
      </c>
      <c r="U2" t="s">
        <v>928</v>
      </c>
      <c r="V2" t="s">
        <v>929</v>
      </c>
      <c r="W2" t="s">
        <v>930</v>
      </c>
    </row>
    <row r="3" spans="1:23" x14ac:dyDescent="0.3">
      <c r="Q3">
        <f>(ROW()-3)*10</f>
        <v>0</v>
      </c>
      <c r="R3">
        <f>$C$34+$C$34*COS(RADIANS(Q3))</f>
        <v>750</v>
      </c>
      <c r="S3">
        <f>$C$34+$C$34*SIN(RADIANS(Q3))</f>
        <v>375</v>
      </c>
      <c r="T3">
        <f>$C$34+($C$34-$C$10)*COS(RADIANS(Q3))</f>
        <v>675</v>
      </c>
      <c r="U3">
        <f>$C$34+($C$34-$C$10)*SIN(RADIANS(Q3))</f>
        <v>375</v>
      </c>
      <c r="V3">
        <f>IF(ROW()-2&lt;=$C$11,$C$34+$C$37*COS(RADIANS((ROW()-3)*360/$C$11)),NA())</f>
        <v>655</v>
      </c>
      <c r="W3">
        <f>IF(ROW()-2&lt;=$C$11,$C$34+$C$37*SIN(RADIANS((ROW()-3)*360/$C$11)),NA())</f>
        <v>375</v>
      </c>
    </row>
    <row r="4" spans="1:23" x14ac:dyDescent="0.3">
      <c r="A4" s="4" t="s">
        <v>2</v>
      </c>
      <c r="B4" s="4"/>
      <c r="C4" s="4"/>
      <c r="D4" s="4"/>
      <c r="E4" s="4"/>
      <c r="F4" s="4"/>
      <c r="Q4">
        <f t="shared" ref="Q4:Q39" si="0">(ROW()-3)*10</f>
        <v>10</v>
      </c>
      <c r="R4">
        <f t="shared" ref="R4:R39" si="1">$C$34+$C$34*COS(RADIANS(Q4))</f>
        <v>744.30290737957807</v>
      </c>
      <c r="S4">
        <f t="shared" ref="S4:S39" si="2">$C$34+$C$34*SIN(RADIANS(Q4))</f>
        <v>440.11806662509889</v>
      </c>
      <c r="T4">
        <f t="shared" ref="T4:T39" si="3">$C$34+($C$34-$C$10)*COS(RADIANS(Q4))</f>
        <v>670.44232590366232</v>
      </c>
      <c r="U4">
        <f t="shared" ref="U4:U39" si="4">$C$34+($C$34-$C$10)*SIN(RADIANS(Q4))</f>
        <v>427.09445330007912</v>
      </c>
      <c r="V4">
        <f t="shared" ref="V4:V26" si="5">IF(ROW()-2&lt;=$C$11,$C$34+$C$37*COS(RADIANS((ROW()-3)*360/$C$11)),NA())</f>
        <v>572.98989873223331</v>
      </c>
      <c r="W4">
        <f t="shared" ref="W4:W26" si="6">IF(ROW()-2&lt;=$C$11,$C$34+$C$37*SIN(RADIANS((ROW()-3)*360/$C$11)),NA())</f>
        <v>572.98989873223331</v>
      </c>
    </row>
    <row r="5" spans="1:23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Q5">
        <f t="shared" si="0"/>
        <v>20</v>
      </c>
      <c r="R5">
        <f t="shared" si="1"/>
        <v>727.38473279471566</v>
      </c>
      <c r="S5">
        <f t="shared" si="2"/>
        <v>503.25755374712577</v>
      </c>
      <c r="T5">
        <f t="shared" si="3"/>
        <v>656.90778623577251</v>
      </c>
      <c r="U5">
        <f t="shared" si="4"/>
        <v>477.60604299770063</v>
      </c>
      <c r="V5">
        <f t="shared" si="5"/>
        <v>375</v>
      </c>
      <c r="W5">
        <f t="shared" si="6"/>
        <v>655</v>
      </c>
    </row>
    <row r="6" spans="1:23" x14ac:dyDescent="0.3">
      <c r="A6" t="s">
        <v>9</v>
      </c>
      <c r="B6" t="s">
        <v>10</v>
      </c>
      <c r="C6" s="14">
        <v>1000</v>
      </c>
      <c r="D6" t="s">
        <v>11</v>
      </c>
      <c r="E6" s="40" t="s">
        <v>361</v>
      </c>
      <c r="F6" s="11" t="s">
        <v>12</v>
      </c>
      <c r="Q6">
        <f t="shared" si="0"/>
        <v>30</v>
      </c>
      <c r="R6">
        <f t="shared" si="1"/>
        <v>699.75952641916456</v>
      </c>
      <c r="S6">
        <f t="shared" si="2"/>
        <v>562.5</v>
      </c>
      <c r="T6">
        <f t="shared" si="3"/>
        <v>634.8076211353316</v>
      </c>
      <c r="U6">
        <f t="shared" si="4"/>
        <v>525</v>
      </c>
      <c r="V6">
        <f t="shared" si="5"/>
        <v>177.01010126776671</v>
      </c>
      <c r="W6">
        <f t="shared" si="6"/>
        <v>572.98989873223331</v>
      </c>
    </row>
    <row r="7" spans="1:23" x14ac:dyDescent="0.3">
      <c r="A7" t="s">
        <v>13</v>
      </c>
      <c r="B7" t="s">
        <v>14</v>
      </c>
      <c r="C7" s="14">
        <v>300</v>
      </c>
      <c r="D7" t="s">
        <v>11</v>
      </c>
      <c r="E7" s="40" t="s">
        <v>15</v>
      </c>
      <c r="F7" s="11"/>
      <c r="Q7">
        <f t="shared" si="0"/>
        <v>40</v>
      </c>
      <c r="R7">
        <f t="shared" si="1"/>
        <v>662.26666616961677</v>
      </c>
      <c r="S7">
        <f t="shared" si="2"/>
        <v>616.04535363245225</v>
      </c>
      <c r="T7">
        <f t="shared" si="3"/>
        <v>604.81333293569344</v>
      </c>
      <c r="U7">
        <f t="shared" si="4"/>
        <v>567.83628290596175</v>
      </c>
      <c r="V7">
        <f t="shared" si="5"/>
        <v>95</v>
      </c>
      <c r="W7">
        <f t="shared" si="6"/>
        <v>375.00000000000006</v>
      </c>
    </row>
    <row r="8" spans="1:23" x14ac:dyDescent="0.3">
      <c r="A8" t="s">
        <v>16</v>
      </c>
      <c r="B8" t="s">
        <v>17</v>
      </c>
      <c r="C8" s="14">
        <v>300</v>
      </c>
      <c r="D8" t="s">
        <v>18</v>
      </c>
      <c r="E8" s="40" t="s">
        <v>361</v>
      </c>
      <c r="F8" s="11"/>
      <c r="Q8">
        <f t="shared" si="0"/>
        <v>50</v>
      </c>
      <c r="R8">
        <f t="shared" si="1"/>
        <v>616.04535363245225</v>
      </c>
      <c r="S8">
        <f t="shared" si="2"/>
        <v>662.26666616961677</v>
      </c>
      <c r="T8">
        <f t="shared" si="3"/>
        <v>567.83628290596175</v>
      </c>
      <c r="U8">
        <f t="shared" si="4"/>
        <v>604.81333293569344</v>
      </c>
      <c r="V8">
        <f t="shared" si="5"/>
        <v>177.01010126776666</v>
      </c>
      <c r="W8">
        <f t="shared" si="6"/>
        <v>177.01010126776671</v>
      </c>
    </row>
    <row r="9" spans="1:23" x14ac:dyDescent="0.3">
      <c r="A9" t="s">
        <v>19</v>
      </c>
      <c r="B9" t="s">
        <v>20</v>
      </c>
      <c r="C9" s="14">
        <v>750</v>
      </c>
      <c r="D9" t="s">
        <v>21</v>
      </c>
      <c r="E9" s="40" t="s">
        <v>22</v>
      </c>
      <c r="F9" s="11"/>
      <c r="Q9">
        <f t="shared" si="0"/>
        <v>60</v>
      </c>
      <c r="R9">
        <f t="shared" si="1"/>
        <v>562.5</v>
      </c>
      <c r="S9">
        <f t="shared" si="2"/>
        <v>699.75952641916456</v>
      </c>
      <c r="T9">
        <f t="shared" si="3"/>
        <v>525</v>
      </c>
      <c r="U9">
        <f t="shared" si="4"/>
        <v>634.8076211353316</v>
      </c>
      <c r="V9">
        <f t="shared" si="5"/>
        <v>374.99999999999994</v>
      </c>
      <c r="W9">
        <f t="shared" si="6"/>
        <v>95</v>
      </c>
    </row>
    <row r="10" spans="1:23" x14ac:dyDescent="0.3">
      <c r="A10" t="s">
        <v>23</v>
      </c>
      <c r="B10" t="s">
        <v>24</v>
      </c>
      <c r="C10" s="14">
        <v>75</v>
      </c>
      <c r="D10" t="s">
        <v>21</v>
      </c>
      <c r="E10" s="40" t="s">
        <v>25</v>
      </c>
      <c r="F10" s="11"/>
      <c r="Q10">
        <f t="shared" si="0"/>
        <v>70</v>
      </c>
      <c r="R10">
        <f t="shared" si="1"/>
        <v>503.25755374712583</v>
      </c>
      <c r="S10">
        <f t="shared" si="2"/>
        <v>727.38473279471555</v>
      </c>
      <c r="T10">
        <f t="shared" si="3"/>
        <v>477.60604299770063</v>
      </c>
      <c r="U10">
        <f t="shared" si="4"/>
        <v>656.90778623577251</v>
      </c>
      <c r="V10">
        <f t="shared" si="5"/>
        <v>572.98989873223331</v>
      </c>
      <c r="W10">
        <f t="shared" si="6"/>
        <v>177.01010126776666</v>
      </c>
    </row>
    <row r="11" spans="1:23" x14ac:dyDescent="0.3">
      <c r="A11" t="s">
        <v>26</v>
      </c>
      <c r="B11" t="s">
        <v>27</v>
      </c>
      <c r="C11" s="14">
        <v>8</v>
      </c>
      <c r="D11" t="s">
        <v>28</v>
      </c>
      <c r="E11" s="40" t="s">
        <v>29</v>
      </c>
      <c r="F11" s="11" t="s">
        <v>30</v>
      </c>
      <c r="Q11">
        <f t="shared" si="0"/>
        <v>80</v>
      </c>
      <c r="R11">
        <f t="shared" si="1"/>
        <v>440.11806662509889</v>
      </c>
      <c r="S11">
        <f t="shared" si="2"/>
        <v>744.30290737957807</v>
      </c>
      <c r="T11">
        <f t="shared" si="3"/>
        <v>427.09445330007912</v>
      </c>
      <c r="U11">
        <f t="shared" si="4"/>
        <v>670.44232590366232</v>
      </c>
      <c r="V11" t="e">
        <f t="shared" si="5"/>
        <v>#N/A</v>
      </c>
      <c r="W11" t="e">
        <f t="shared" si="6"/>
        <v>#N/A</v>
      </c>
    </row>
    <row r="12" spans="1:23" x14ac:dyDescent="0.3">
      <c r="A12" t="s">
        <v>31</v>
      </c>
      <c r="B12" t="s">
        <v>32</v>
      </c>
      <c r="C12" s="101">
        <v>20</v>
      </c>
      <c r="D12" t="s">
        <v>21</v>
      </c>
      <c r="E12" s="40" t="s">
        <v>29</v>
      </c>
      <c r="F12" s="11" t="s">
        <v>33</v>
      </c>
      <c r="Q12">
        <f t="shared" si="0"/>
        <v>90</v>
      </c>
      <c r="R12">
        <f t="shared" si="1"/>
        <v>375</v>
      </c>
      <c r="S12">
        <f t="shared" si="2"/>
        <v>750</v>
      </c>
      <c r="T12">
        <f t="shared" si="3"/>
        <v>375</v>
      </c>
      <c r="U12">
        <f t="shared" si="4"/>
        <v>675</v>
      </c>
      <c r="V12" t="e">
        <f t="shared" si="5"/>
        <v>#N/A</v>
      </c>
      <c r="W12" t="e">
        <f t="shared" si="6"/>
        <v>#N/A</v>
      </c>
    </row>
    <row r="13" spans="1:23" x14ac:dyDescent="0.3">
      <c r="A13" t="s">
        <v>34</v>
      </c>
      <c r="B13" t="s">
        <v>35</v>
      </c>
      <c r="C13" s="101">
        <v>10</v>
      </c>
      <c r="D13" t="s">
        <v>21</v>
      </c>
      <c r="E13" s="40" t="s">
        <v>36</v>
      </c>
      <c r="F13" s="11" t="s">
        <v>37</v>
      </c>
      <c r="Q13">
        <f t="shared" si="0"/>
        <v>100</v>
      </c>
      <c r="R13">
        <f t="shared" si="1"/>
        <v>309.88193337490111</v>
      </c>
      <c r="S13">
        <f t="shared" si="2"/>
        <v>744.30290737957807</v>
      </c>
      <c r="T13">
        <f t="shared" si="3"/>
        <v>322.90554669992093</v>
      </c>
      <c r="U13">
        <f t="shared" si="4"/>
        <v>670.44232590366232</v>
      </c>
      <c r="V13" t="e">
        <f t="shared" si="5"/>
        <v>#N/A</v>
      </c>
      <c r="W13" t="e">
        <f t="shared" si="6"/>
        <v>#N/A</v>
      </c>
    </row>
    <row r="14" spans="1:23" x14ac:dyDescent="0.3">
      <c r="A14" t="s">
        <v>38</v>
      </c>
      <c r="B14" t="s">
        <v>39</v>
      </c>
      <c r="C14" s="14">
        <v>150</v>
      </c>
      <c r="D14" t="s">
        <v>21</v>
      </c>
      <c r="E14" s="40" t="s">
        <v>40</v>
      </c>
      <c r="F14" s="11"/>
      <c r="Q14">
        <f t="shared" si="0"/>
        <v>110</v>
      </c>
      <c r="R14">
        <f t="shared" si="1"/>
        <v>246.74244625287423</v>
      </c>
      <c r="S14">
        <f t="shared" si="2"/>
        <v>727.38473279471566</v>
      </c>
      <c r="T14">
        <f t="shared" si="3"/>
        <v>272.39395700229937</v>
      </c>
      <c r="U14">
        <f t="shared" si="4"/>
        <v>656.90778623577251</v>
      </c>
      <c r="V14" t="e">
        <f t="shared" si="5"/>
        <v>#N/A</v>
      </c>
      <c r="W14" t="e">
        <f t="shared" si="6"/>
        <v>#N/A</v>
      </c>
    </row>
    <row r="15" spans="1:23" x14ac:dyDescent="0.3">
      <c r="A15" t="s">
        <v>41</v>
      </c>
      <c r="B15" t="s">
        <v>42</v>
      </c>
      <c r="C15" s="91">
        <f>_xlfn.XLOOKUP(F15,Aceros_DIN!$A$35:$A$43,Aceros_DIN!$B$35:$B$43)</f>
        <v>25</v>
      </c>
      <c r="D15" t="s">
        <v>43</v>
      </c>
      <c r="E15" s="40" t="s">
        <v>44</v>
      </c>
      <c r="F15" s="89" t="s">
        <v>952</v>
      </c>
      <c r="Q15">
        <f t="shared" si="0"/>
        <v>120</v>
      </c>
      <c r="R15">
        <f t="shared" si="1"/>
        <v>187.50000000000009</v>
      </c>
      <c r="S15">
        <f t="shared" si="2"/>
        <v>699.75952641916456</v>
      </c>
      <c r="T15">
        <f t="shared" si="3"/>
        <v>225.00000000000006</v>
      </c>
      <c r="U15">
        <f t="shared" si="4"/>
        <v>634.8076211353316</v>
      </c>
      <c r="V15" t="e">
        <f t="shared" si="5"/>
        <v>#N/A</v>
      </c>
      <c r="W15" t="e">
        <f t="shared" si="6"/>
        <v>#N/A</v>
      </c>
    </row>
    <row r="16" spans="1:23" x14ac:dyDescent="0.3">
      <c r="A16" t="s">
        <v>45</v>
      </c>
      <c r="B16" t="s">
        <v>46</v>
      </c>
      <c r="C16" s="91">
        <f>_xlfn.XLOOKUP(F16,Aceros_DIN!$A$47:$A$49,Aceros_DIN!$B$47:$B$49)</f>
        <v>500</v>
      </c>
      <c r="D16" t="s">
        <v>43</v>
      </c>
      <c r="E16" s="40" t="s">
        <v>47</v>
      </c>
      <c r="F16" s="89" t="s">
        <v>966</v>
      </c>
      <c r="Q16">
        <f t="shared" si="0"/>
        <v>130</v>
      </c>
      <c r="R16">
        <f t="shared" si="1"/>
        <v>133.95464636754775</v>
      </c>
      <c r="S16">
        <f t="shared" si="2"/>
        <v>662.26666616961677</v>
      </c>
      <c r="T16">
        <f t="shared" si="3"/>
        <v>182.16371709403819</v>
      </c>
      <c r="U16">
        <f t="shared" si="4"/>
        <v>604.81333293569344</v>
      </c>
      <c r="V16" t="e">
        <f t="shared" si="5"/>
        <v>#N/A</v>
      </c>
      <c r="W16" t="e">
        <f t="shared" si="6"/>
        <v>#N/A</v>
      </c>
    </row>
    <row r="17" spans="1:23" x14ac:dyDescent="0.3">
      <c r="A17" t="s">
        <v>48</v>
      </c>
      <c r="B17" t="s">
        <v>49</v>
      </c>
      <c r="C17" s="15">
        <v>1.5</v>
      </c>
      <c r="D17" t="s">
        <v>28</v>
      </c>
      <c r="E17" s="40" t="s">
        <v>50</v>
      </c>
      <c r="F17" s="11"/>
      <c r="Q17">
        <f t="shared" si="0"/>
        <v>140</v>
      </c>
      <c r="R17">
        <f t="shared" si="1"/>
        <v>87.733333830383287</v>
      </c>
      <c r="S17">
        <f t="shared" si="2"/>
        <v>616.04535363245236</v>
      </c>
      <c r="T17">
        <f t="shared" si="3"/>
        <v>145.18666706430662</v>
      </c>
      <c r="U17">
        <f t="shared" si="4"/>
        <v>567.83628290596187</v>
      </c>
      <c r="V17" t="e">
        <f t="shared" si="5"/>
        <v>#N/A</v>
      </c>
      <c r="W17" t="e">
        <f t="shared" si="6"/>
        <v>#N/A</v>
      </c>
    </row>
    <row r="18" spans="1:23" x14ac:dyDescent="0.3">
      <c r="A18" t="s">
        <v>51</v>
      </c>
      <c r="B18" t="s">
        <v>52</v>
      </c>
      <c r="C18" s="15">
        <v>1.1499999999999999</v>
      </c>
      <c r="D18" t="s">
        <v>28</v>
      </c>
      <c r="E18" s="40" t="s">
        <v>50</v>
      </c>
      <c r="F18" s="11"/>
      <c r="Q18">
        <f t="shared" si="0"/>
        <v>150</v>
      </c>
      <c r="R18">
        <f t="shared" si="1"/>
        <v>50.240473580835499</v>
      </c>
      <c r="S18">
        <f t="shared" si="2"/>
        <v>562.5</v>
      </c>
      <c r="T18">
        <f t="shared" si="3"/>
        <v>115.1923788646684</v>
      </c>
      <c r="U18">
        <f t="shared" si="4"/>
        <v>525</v>
      </c>
      <c r="V18" t="e">
        <f t="shared" si="5"/>
        <v>#N/A</v>
      </c>
      <c r="W18" t="e">
        <f t="shared" si="6"/>
        <v>#N/A</v>
      </c>
    </row>
    <row r="19" spans="1:23" x14ac:dyDescent="0.3">
      <c r="A19" t="s">
        <v>53</v>
      </c>
      <c r="B19" t="s">
        <v>54</v>
      </c>
      <c r="C19" s="15">
        <v>0.85</v>
      </c>
      <c r="D19" t="s">
        <v>28</v>
      </c>
      <c r="E19" s="40" t="s">
        <v>55</v>
      </c>
      <c r="F19" s="11"/>
      <c r="Q19">
        <f t="shared" si="0"/>
        <v>160</v>
      </c>
      <c r="R19">
        <f t="shared" si="1"/>
        <v>22.615267205284397</v>
      </c>
      <c r="S19">
        <f t="shared" si="2"/>
        <v>503.25755374712583</v>
      </c>
      <c r="T19">
        <f t="shared" si="3"/>
        <v>93.092213764227495</v>
      </c>
      <c r="U19">
        <f t="shared" si="4"/>
        <v>477.60604299770068</v>
      </c>
      <c r="V19" t="e">
        <f t="shared" si="5"/>
        <v>#N/A</v>
      </c>
      <c r="W19" t="e">
        <f t="shared" si="6"/>
        <v>#N/A</v>
      </c>
    </row>
    <row r="20" spans="1:23" x14ac:dyDescent="0.3">
      <c r="A20" t="s">
        <v>56</v>
      </c>
      <c r="B20" t="s">
        <v>57</v>
      </c>
      <c r="C20" s="14">
        <v>3000</v>
      </c>
      <c r="D20" t="s">
        <v>21</v>
      </c>
      <c r="E20" s="40" t="s">
        <v>58</v>
      </c>
      <c r="F20" s="11"/>
      <c r="Q20">
        <f t="shared" si="0"/>
        <v>170</v>
      </c>
      <c r="R20">
        <f t="shared" si="1"/>
        <v>5.6970926204219836</v>
      </c>
      <c r="S20">
        <f t="shared" si="2"/>
        <v>440.11806662509883</v>
      </c>
      <c r="T20">
        <f t="shared" si="3"/>
        <v>79.557674096337621</v>
      </c>
      <c r="U20">
        <f t="shared" si="4"/>
        <v>427.09445330007907</v>
      </c>
      <c r="V20" t="e">
        <f t="shared" si="5"/>
        <v>#N/A</v>
      </c>
      <c r="W20" t="e">
        <f t="shared" si="6"/>
        <v>#N/A</v>
      </c>
    </row>
    <row r="21" spans="1:23" x14ac:dyDescent="0.3">
      <c r="A21" t="s">
        <v>59</v>
      </c>
      <c r="B21" t="s">
        <v>60</v>
      </c>
      <c r="C21" s="15">
        <v>0</v>
      </c>
      <c r="D21" t="s">
        <v>28</v>
      </c>
      <c r="E21" s="40" t="s">
        <v>61</v>
      </c>
      <c r="F21" s="11"/>
      <c r="Q21">
        <f t="shared" si="0"/>
        <v>180</v>
      </c>
      <c r="R21">
        <f t="shared" si="1"/>
        <v>0</v>
      </c>
      <c r="S21">
        <f t="shared" si="2"/>
        <v>375.00000000000006</v>
      </c>
      <c r="T21">
        <f t="shared" si="3"/>
        <v>75</v>
      </c>
      <c r="U21">
        <f t="shared" si="4"/>
        <v>375.00000000000006</v>
      </c>
      <c r="V21" t="e">
        <f t="shared" si="5"/>
        <v>#N/A</v>
      </c>
      <c r="W21" t="e">
        <f t="shared" si="6"/>
        <v>#N/A</v>
      </c>
    </row>
    <row r="22" spans="1:23" x14ac:dyDescent="0.3">
      <c r="E22" s="40"/>
      <c r="F22" s="11"/>
      <c r="Q22">
        <f t="shared" si="0"/>
        <v>190</v>
      </c>
      <c r="R22">
        <f t="shared" si="1"/>
        <v>5.6970926204219836</v>
      </c>
      <c r="S22">
        <f t="shared" si="2"/>
        <v>309.88193337490105</v>
      </c>
      <c r="T22">
        <f t="shared" si="3"/>
        <v>79.557674096337621</v>
      </c>
      <c r="U22">
        <f t="shared" si="4"/>
        <v>322.90554669992088</v>
      </c>
      <c r="V22" t="e">
        <f t="shared" si="5"/>
        <v>#N/A</v>
      </c>
      <c r="W22" t="e">
        <f t="shared" si="6"/>
        <v>#N/A</v>
      </c>
    </row>
    <row r="23" spans="1:23" x14ac:dyDescent="0.3">
      <c r="A23" s="4" t="s">
        <v>62</v>
      </c>
      <c r="B23" s="4"/>
      <c r="C23" s="4"/>
      <c r="D23" s="4"/>
      <c r="E23" s="41"/>
      <c r="F23" s="12"/>
      <c r="Q23">
        <f t="shared" si="0"/>
        <v>200</v>
      </c>
      <c r="R23">
        <f t="shared" si="1"/>
        <v>22.61526720528434</v>
      </c>
      <c r="S23">
        <f t="shared" si="2"/>
        <v>246.74244625287426</v>
      </c>
      <c r="T23">
        <f t="shared" si="3"/>
        <v>93.092213764227495</v>
      </c>
      <c r="U23">
        <f t="shared" si="4"/>
        <v>272.39395700229943</v>
      </c>
      <c r="V23" t="e">
        <f t="shared" si="5"/>
        <v>#N/A</v>
      </c>
      <c r="W23" t="e">
        <f t="shared" si="6"/>
        <v>#N/A</v>
      </c>
    </row>
    <row r="24" spans="1:23" x14ac:dyDescent="0.3">
      <c r="A24" t="s">
        <v>63</v>
      </c>
      <c r="B24" t="s">
        <v>64</v>
      </c>
      <c r="C24" s="16">
        <f>C19*C15/C17</f>
        <v>14.166666666666666</v>
      </c>
      <c r="D24" t="s">
        <v>43</v>
      </c>
      <c r="E24" s="40" t="s">
        <v>65</v>
      </c>
      <c r="F24" s="11" t="s">
        <v>66</v>
      </c>
      <c r="Q24">
        <f t="shared" si="0"/>
        <v>210</v>
      </c>
      <c r="R24">
        <f t="shared" si="1"/>
        <v>50.240473580835499</v>
      </c>
      <c r="S24">
        <f t="shared" si="2"/>
        <v>187.49999999999997</v>
      </c>
      <c r="T24">
        <f t="shared" si="3"/>
        <v>115.1923788646684</v>
      </c>
      <c r="U24">
        <f t="shared" si="4"/>
        <v>224.99999999999997</v>
      </c>
      <c r="V24" t="e">
        <f t="shared" si="5"/>
        <v>#N/A</v>
      </c>
      <c r="W24" t="e">
        <f t="shared" si="6"/>
        <v>#N/A</v>
      </c>
    </row>
    <row r="25" spans="1:23" x14ac:dyDescent="0.3">
      <c r="A25" t="s">
        <v>67</v>
      </c>
      <c r="B25" t="s">
        <v>68</v>
      </c>
      <c r="C25" s="16">
        <f>IF(C15&lt;=50,0.3*C15^(2/3),2.12*LN(1+(C15+8)/10))</f>
        <v>2.5649639200150443</v>
      </c>
      <c r="D25" t="s">
        <v>43</v>
      </c>
      <c r="E25" s="40" t="s">
        <v>44</v>
      </c>
      <c r="F25" s="11"/>
      <c r="Q25">
        <f t="shared" si="0"/>
        <v>220</v>
      </c>
      <c r="R25">
        <f t="shared" si="1"/>
        <v>87.733333830383231</v>
      </c>
      <c r="S25">
        <f t="shared" si="2"/>
        <v>133.95464636754778</v>
      </c>
      <c r="T25">
        <f t="shared" si="3"/>
        <v>145.18666706430659</v>
      </c>
      <c r="U25">
        <f t="shared" si="4"/>
        <v>182.16371709403822</v>
      </c>
      <c r="V25" t="e">
        <f t="shared" si="5"/>
        <v>#N/A</v>
      </c>
      <c r="W25" t="e">
        <f t="shared" si="6"/>
        <v>#N/A</v>
      </c>
    </row>
    <row r="26" spans="1:23" x14ac:dyDescent="0.3">
      <c r="A26" t="s">
        <v>69</v>
      </c>
      <c r="B26" t="s">
        <v>70</v>
      </c>
      <c r="C26" s="16">
        <f>C16/C18</f>
        <v>434.78260869565219</v>
      </c>
      <c r="D26" t="s">
        <v>43</v>
      </c>
      <c r="E26" s="40" t="s">
        <v>71</v>
      </c>
      <c r="F26" s="11"/>
      <c r="Q26">
        <f t="shared" si="0"/>
        <v>230</v>
      </c>
      <c r="R26">
        <f t="shared" si="1"/>
        <v>133.9546463675477</v>
      </c>
      <c r="S26">
        <f t="shared" si="2"/>
        <v>87.733333830383287</v>
      </c>
      <c r="T26">
        <f t="shared" si="3"/>
        <v>182.16371709403816</v>
      </c>
      <c r="U26">
        <f t="shared" si="4"/>
        <v>145.18666706430662</v>
      </c>
      <c r="V26" t="e">
        <f t="shared" si="5"/>
        <v>#N/A</v>
      </c>
      <c r="W26" t="e">
        <f t="shared" si="6"/>
        <v>#N/A</v>
      </c>
    </row>
    <row r="27" spans="1:23" x14ac:dyDescent="0.3">
      <c r="A27" t="s">
        <v>72</v>
      </c>
      <c r="B27" t="s">
        <v>73</v>
      </c>
      <c r="C27" s="17">
        <v>200000</v>
      </c>
      <c r="D27" t="s">
        <v>43</v>
      </c>
      <c r="E27" s="40" t="s">
        <v>74</v>
      </c>
      <c r="F27" s="11"/>
      <c r="Q27">
        <f t="shared" si="0"/>
        <v>240</v>
      </c>
      <c r="R27">
        <f t="shared" si="1"/>
        <v>187.49999999999983</v>
      </c>
      <c r="S27">
        <f t="shared" si="2"/>
        <v>50.240473580835612</v>
      </c>
      <c r="T27">
        <f t="shared" si="3"/>
        <v>224.99999999999986</v>
      </c>
      <c r="U27">
        <f t="shared" si="4"/>
        <v>115.19237886466851</v>
      </c>
    </row>
    <row r="28" spans="1:23" x14ac:dyDescent="0.3">
      <c r="A28" t="s">
        <v>75</v>
      </c>
      <c r="B28" t="s">
        <v>76</v>
      </c>
      <c r="C28" s="18">
        <f>C26/C27</f>
        <v>2.1739130434782609E-3</v>
      </c>
      <c r="D28" t="s">
        <v>28</v>
      </c>
      <c r="E28" s="40" t="s">
        <v>77</v>
      </c>
      <c r="F28" s="11"/>
      <c r="Q28">
        <f t="shared" si="0"/>
        <v>250</v>
      </c>
      <c r="R28">
        <f t="shared" si="1"/>
        <v>246.74244625287429</v>
      </c>
      <c r="S28">
        <f t="shared" si="2"/>
        <v>22.61526720528434</v>
      </c>
      <c r="T28">
        <f t="shared" si="3"/>
        <v>272.39395700229943</v>
      </c>
      <c r="U28">
        <f t="shared" si="4"/>
        <v>93.092213764227495</v>
      </c>
    </row>
    <row r="29" spans="1:23" x14ac:dyDescent="0.3">
      <c r="A29" t="s">
        <v>78</v>
      </c>
      <c r="B29" t="s">
        <v>79</v>
      </c>
      <c r="C29" s="19">
        <v>3.5</v>
      </c>
      <c r="D29" t="s">
        <v>80</v>
      </c>
      <c r="E29" s="40" t="s">
        <v>81</v>
      </c>
      <c r="F29" s="11"/>
      <c r="Q29">
        <f t="shared" si="0"/>
        <v>260</v>
      </c>
      <c r="R29">
        <f t="shared" si="1"/>
        <v>309.88193337490111</v>
      </c>
      <c r="S29">
        <f t="shared" si="2"/>
        <v>5.6970926204219836</v>
      </c>
      <c r="T29">
        <f t="shared" si="3"/>
        <v>322.90554669992088</v>
      </c>
      <c r="U29">
        <f t="shared" si="4"/>
        <v>79.557674096337621</v>
      </c>
    </row>
    <row r="30" spans="1:23" x14ac:dyDescent="0.3">
      <c r="A30" t="s">
        <v>82</v>
      </c>
      <c r="B30" t="s">
        <v>83</v>
      </c>
      <c r="C30" s="19">
        <v>2</v>
      </c>
      <c r="D30" t="s">
        <v>80</v>
      </c>
      <c r="E30" s="40" t="s">
        <v>84</v>
      </c>
      <c r="F30" s="11"/>
      <c r="Q30">
        <f t="shared" si="0"/>
        <v>270</v>
      </c>
      <c r="R30">
        <f t="shared" si="1"/>
        <v>374.99999999999994</v>
      </c>
      <c r="S30">
        <f t="shared" si="2"/>
        <v>0</v>
      </c>
      <c r="T30">
        <f t="shared" si="3"/>
        <v>374.99999999999994</v>
      </c>
      <c r="U30">
        <f t="shared" si="4"/>
        <v>75</v>
      </c>
    </row>
    <row r="31" spans="1:23" x14ac:dyDescent="0.3">
      <c r="A31" t="s">
        <v>85</v>
      </c>
      <c r="B31" t="s">
        <v>86</v>
      </c>
      <c r="C31" s="19">
        <v>25</v>
      </c>
      <c r="D31" t="s">
        <v>80</v>
      </c>
      <c r="E31" s="40" t="s">
        <v>87</v>
      </c>
      <c r="F31" s="11"/>
      <c r="Q31">
        <f t="shared" si="0"/>
        <v>280</v>
      </c>
      <c r="R31">
        <f t="shared" si="1"/>
        <v>440.11806662509872</v>
      </c>
      <c r="S31">
        <f t="shared" si="2"/>
        <v>5.6970926204219268</v>
      </c>
      <c r="T31">
        <f t="shared" si="3"/>
        <v>427.09445330007901</v>
      </c>
      <c r="U31">
        <f t="shared" si="4"/>
        <v>79.557674096337564</v>
      </c>
    </row>
    <row r="32" spans="1:23" x14ac:dyDescent="0.3">
      <c r="E32" s="40"/>
      <c r="F32" s="11"/>
      <c r="Q32">
        <f t="shared" si="0"/>
        <v>290</v>
      </c>
      <c r="R32">
        <f t="shared" si="1"/>
        <v>503.25755374712588</v>
      </c>
      <c r="S32">
        <f t="shared" si="2"/>
        <v>22.615267205284397</v>
      </c>
      <c r="T32">
        <f t="shared" si="3"/>
        <v>477.60604299770068</v>
      </c>
      <c r="U32">
        <f t="shared" si="4"/>
        <v>93.092213764227495</v>
      </c>
    </row>
    <row r="33" spans="1:21" x14ac:dyDescent="0.3">
      <c r="A33" s="4" t="s">
        <v>88</v>
      </c>
      <c r="B33" s="4"/>
      <c r="C33" s="4"/>
      <c r="D33" s="4"/>
      <c r="E33" s="41"/>
      <c r="F33" s="12"/>
      <c r="Q33">
        <f t="shared" si="0"/>
        <v>300</v>
      </c>
      <c r="R33">
        <f t="shared" si="1"/>
        <v>562.5</v>
      </c>
      <c r="S33">
        <f t="shared" si="2"/>
        <v>50.240473580835499</v>
      </c>
      <c r="T33">
        <f t="shared" si="3"/>
        <v>525</v>
      </c>
      <c r="U33">
        <f t="shared" si="4"/>
        <v>115.1923788646684</v>
      </c>
    </row>
    <row r="34" spans="1:21" x14ac:dyDescent="0.3">
      <c r="A34" t="s">
        <v>89</v>
      </c>
      <c r="B34" t="s">
        <v>90</v>
      </c>
      <c r="C34" s="20">
        <f>C9/2</f>
        <v>375</v>
      </c>
      <c r="D34" t="s">
        <v>21</v>
      </c>
      <c r="E34" s="40"/>
      <c r="F34" s="11"/>
      <c r="Q34">
        <f t="shared" si="0"/>
        <v>310</v>
      </c>
      <c r="R34">
        <f t="shared" si="1"/>
        <v>616.04535363245225</v>
      </c>
      <c r="S34">
        <f t="shared" si="2"/>
        <v>87.733333830383231</v>
      </c>
      <c r="T34">
        <f t="shared" si="3"/>
        <v>567.83628290596175</v>
      </c>
      <c r="U34">
        <f t="shared" si="4"/>
        <v>145.18666706430656</v>
      </c>
    </row>
    <row r="35" spans="1:21" x14ac:dyDescent="0.3">
      <c r="A35" t="s">
        <v>91</v>
      </c>
      <c r="B35" t="s">
        <v>92</v>
      </c>
      <c r="C35" s="20">
        <f>PI()*C9^2/4</f>
        <v>441786.46691106464</v>
      </c>
      <c r="D35" t="s">
        <v>93</v>
      </c>
      <c r="E35" s="40"/>
      <c r="F35" s="11"/>
      <c r="Q35">
        <f t="shared" si="0"/>
        <v>320</v>
      </c>
      <c r="R35">
        <f t="shared" si="1"/>
        <v>662.26666616961666</v>
      </c>
      <c r="S35">
        <f t="shared" si="2"/>
        <v>133.95464636754767</v>
      </c>
      <c r="T35">
        <f t="shared" si="3"/>
        <v>604.81333293569332</v>
      </c>
      <c r="U35">
        <f t="shared" si="4"/>
        <v>182.16371709403813</v>
      </c>
    </row>
    <row r="36" spans="1:21" x14ac:dyDescent="0.3">
      <c r="A36" t="s">
        <v>94</v>
      </c>
      <c r="B36" t="s">
        <v>95</v>
      </c>
      <c r="C36" s="16">
        <f>C10+C13+C12/2</f>
        <v>95</v>
      </c>
      <c r="D36" t="s">
        <v>21</v>
      </c>
      <c r="E36" s="40" t="s">
        <v>96</v>
      </c>
      <c r="F36" s="11"/>
      <c r="Q36">
        <f t="shared" si="0"/>
        <v>330</v>
      </c>
      <c r="R36">
        <f t="shared" si="1"/>
        <v>699.75952641916433</v>
      </c>
      <c r="S36">
        <f t="shared" si="2"/>
        <v>187.49999999999983</v>
      </c>
      <c r="T36">
        <f t="shared" si="3"/>
        <v>634.80762113533149</v>
      </c>
      <c r="U36">
        <f t="shared" si="4"/>
        <v>224.99999999999986</v>
      </c>
    </row>
    <row r="37" spans="1:21" x14ac:dyDescent="0.3">
      <c r="A37" t="s">
        <v>97</v>
      </c>
      <c r="B37" t="s">
        <v>98</v>
      </c>
      <c r="C37" s="16">
        <f>C34-C36</f>
        <v>280</v>
      </c>
      <c r="D37" t="s">
        <v>21</v>
      </c>
      <c r="E37" s="40"/>
      <c r="F37" s="11"/>
      <c r="Q37">
        <f t="shared" si="0"/>
        <v>340</v>
      </c>
      <c r="R37">
        <f t="shared" si="1"/>
        <v>727.38473279471566</v>
      </c>
      <c r="S37">
        <f t="shared" si="2"/>
        <v>246.74244625287429</v>
      </c>
      <c r="T37">
        <f t="shared" si="3"/>
        <v>656.90778623577251</v>
      </c>
      <c r="U37">
        <f t="shared" si="4"/>
        <v>272.39395700229943</v>
      </c>
    </row>
    <row r="38" spans="1:21" x14ac:dyDescent="0.3">
      <c r="A38" t="s">
        <v>99</v>
      </c>
      <c r="B38" t="s">
        <v>100</v>
      </c>
      <c r="C38" s="16">
        <f>C34+2*C37/PI()</f>
        <v>553.25353626292281</v>
      </c>
      <c r="D38" t="s">
        <v>21</v>
      </c>
      <c r="E38" s="40" t="s">
        <v>101</v>
      </c>
      <c r="F38" s="11"/>
      <c r="Q38">
        <f t="shared" si="0"/>
        <v>350</v>
      </c>
      <c r="R38">
        <f t="shared" si="1"/>
        <v>744.30290737957807</v>
      </c>
      <c r="S38">
        <f t="shared" si="2"/>
        <v>309.88193337490111</v>
      </c>
      <c r="T38">
        <f t="shared" si="3"/>
        <v>670.44232590366232</v>
      </c>
      <c r="U38">
        <f t="shared" si="4"/>
        <v>322.90554669992088</v>
      </c>
    </row>
    <row r="39" spans="1:21" x14ac:dyDescent="0.3">
      <c r="A39" t="s">
        <v>102</v>
      </c>
      <c r="B39" t="s">
        <v>103</v>
      </c>
      <c r="C39" s="16">
        <f>0.9*C38</f>
        <v>497.92818263663054</v>
      </c>
      <c r="D39" t="s">
        <v>21</v>
      </c>
      <c r="E39" s="40" t="s">
        <v>104</v>
      </c>
      <c r="F39" s="11"/>
      <c r="Q39">
        <f t="shared" si="0"/>
        <v>360</v>
      </c>
      <c r="R39">
        <f t="shared" si="1"/>
        <v>750</v>
      </c>
      <c r="S39">
        <f t="shared" si="2"/>
        <v>374.99999999999989</v>
      </c>
      <c r="T39">
        <f t="shared" si="3"/>
        <v>675</v>
      </c>
      <c r="U39">
        <f t="shared" si="4"/>
        <v>374.99999999999994</v>
      </c>
    </row>
    <row r="40" spans="1:21" x14ac:dyDescent="0.3">
      <c r="A40" t="s">
        <v>105</v>
      </c>
      <c r="B40" t="s">
        <v>106</v>
      </c>
      <c r="C40" s="16">
        <f>C11*PI()*C12^2/4</f>
        <v>2513.2741228718346</v>
      </c>
      <c r="D40" t="s">
        <v>93</v>
      </c>
      <c r="E40" s="40"/>
      <c r="F40" s="11"/>
    </row>
    <row r="41" spans="1:21" x14ac:dyDescent="0.3">
      <c r="A41" t="s">
        <v>107</v>
      </c>
      <c r="B41" t="s">
        <v>108</v>
      </c>
      <c r="C41" s="16">
        <f>PI()*2*C37/C11-C12</f>
        <v>199.91148575128551</v>
      </c>
      <c r="D41" t="s">
        <v>21</v>
      </c>
      <c r="E41" s="40" t="s">
        <v>109</v>
      </c>
      <c r="F41" s="11" t="s">
        <v>110</v>
      </c>
    </row>
    <row r="42" spans="1:21" x14ac:dyDescent="0.3">
      <c r="E42" s="40"/>
      <c r="F42" s="11"/>
    </row>
    <row r="43" spans="1:21" x14ac:dyDescent="0.3">
      <c r="A43" s="4" t="s">
        <v>111</v>
      </c>
      <c r="B43" s="4"/>
      <c r="C43" s="4"/>
      <c r="D43" s="4"/>
      <c r="E43" s="41"/>
      <c r="F43" s="12"/>
    </row>
    <row r="44" spans="1:21" x14ac:dyDescent="0.3">
      <c r="A44" t="s">
        <v>112</v>
      </c>
      <c r="B44" t="s">
        <v>113</v>
      </c>
      <c r="C44" s="16">
        <f>C9/4</f>
        <v>187.5</v>
      </c>
      <c r="D44" t="s">
        <v>21</v>
      </c>
      <c r="E44" s="40" t="s">
        <v>114</v>
      </c>
      <c r="F44" s="11" t="s">
        <v>115</v>
      </c>
    </row>
    <row r="45" spans="1:21" x14ac:dyDescent="0.3">
      <c r="A45" t="s">
        <v>116</v>
      </c>
      <c r="B45" t="s">
        <v>117</v>
      </c>
      <c r="C45" s="16">
        <f>IF(C20&gt;0,C20/C44,0)</f>
        <v>16</v>
      </c>
      <c r="D45" t="s">
        <v>28</v>
      </c>
      <c r="E45" s="40" t="s">
        <v>118</v>
      </c>
      <c r="F45" s="11"/>
    </row>
    <row r="46" spans="1:21" x14ac:dyDescent="0.3">
      <c r="A46" t="s">
        <v>119</v>
      </c>
      <c r="B46" t="s">
        <v>120</v>
      </c>
      <c r="C46" s="21">
        <f>C6*1000/(C35*C24)</f>
        <v>0.15977908012362829</v>
      </c>
      <c r="D46" t="s">
        <v>28</v>
      </c>
      <c r="E46" s="40" t="s">
        <v>121</v>
      </c>
      <c r="F46" s="11"/>
    </row>
    <row r="47" spans="1:21" x14ac:dyDescent="0.3">
      <c r="A47" t="s">
        <v>122</v>
      </c>
      <c r="B47" t="s">
        <v>123</v>
      </c>
      <c r="C47" s="22">
        <f>IF(ABS(C46)&lt;=0.41,25,16/SQRT(ABS(C46)))</f>
        <v>25</v>
      </c>
      <c r="D47" t="s">
        <v>28</v>
      </c>
      <c r="E47" s="40" t="s">
        <v>124</v>
      </c>
      <c r="F47" s="11" t="s">
        <v>125</v>
      </c>
    </row>
    <row r="48" spans="1:21" x14ac:dyDescent="0.3">
      <c r="A48" t="s">
        <v>126</v>
      </c>
      <c r="B48" t="s">
        <v>28</v>
      </c>
      <c r="C48" t="str">
        <f>IF(C45&gt;C47,"SÍ (λ &gt; λ_lim)","NO (λ ≤ λ_lim)")</f>
        <v>NO (λ ≤ λ_lim)</v>
      </c>
      <c r="E48" s="40" t="s">
        <v>127</v>
      </c>
      <c r="F48" s="11"/>
    </row>
    <row r="49" spans="1:6" x14ac:dyDescent="0.3">
      <c r="A49" t="s">
        <v>128</v>
      </c>
      <c r="B49" t="s">
        <v>129</v>
      </c>
      <c r="C49" s="16">
        <f>C20/400</f>
        <v>7.5</v>
      </c>
      <c r="D49" t="s">
        <v>21</v>
      </c>
      <c r="E49" s="40" t="s">
        <v>130</v>
      </c>
      <c r="F49" s="11"/>
    </row>
    <row r="50" spans="1:6" x14ac:dyDescent="0.3">
      <c r="A50" t="s">
        <v>131</v>
      </c>
      <c r="B50" t="s">
        <v>132</v>
      </c>
      <c r="C50" s="6">
        <v>1</v>
      </c>
      <c r="D50" t="s">
        <v>28</v>
      </c>
      <c r="E50" s="40" t="s">
        <v>133</v>
      </c>
      <c r="F50" s="11" t="s">
        <v>134</v>
      </c>
    </row>
    <row r="51" spans="1:6" x14ac:dyDescent="0.3">
      <c r="A51" t="s">
        <v>135</v>
      </c>
      <c r="B51" t="s">
        <v>136</v>
      </c>
      <c r="C51" s="6">
        <v>1</v>
      </c>
      <c r="D51" t="s">
        <v>28</v>
      </c>
      <c r="E51" s="40" t="s">
        <v>137</v>
      </c>
      <c r="F51" s="11" t="s">
        <v>138</v>
      </c>
    </row>
    <row r="52" spans="1:6" x14ac:dyDescent="0.3">
      <c r="A52" t="s">
        <v>139</v>
      </c>
      <c r="B52" t="s">
        <v>140</v>
      </c>
      <c r="C52" s="20">
        <f>C34+C37</f>
        <v>655</v>
      </c>
      <c r="D52" t="s">
        <v>21</v>
      </c>
      <c r="E52" s="40" t="s">
        <v>141</v>
      </c>
      <c r="F52" s="11"/>
    </row>
    <row r="53" spans="1:6" x14ac:dyDescent="0.3">
      <c r="A53" t="s">
        <v>142</v>
      </c>
      <c r="B53" t="s">
        <v>143</v>
      </c>
      <c r="C53" s="23">
        <f>C50*C51*C28/(0.45*C52)</f>
        <v>7.3754471364826491E-6</v>
      </c>
      <c r="D53" t="s">
        <v>144</v>
      </c>
      <c r="E53" s="40" t="s">
        <v>145</v>
      </c>
      <c r="F53" s="11"/>
    </row>
    <row r="54" spans="1:6" x14ac:dyDescent="0.3">
      <c r="A54" t="s">
        <v>146</v>
      </c>
      <c r="B54" t="s">
        <v>147</v>
      </c>
      <c r="C54" s="16">
        <f>IF(C45&gt;C47,C53*C20^2/10,0)</f>
        <v>0</v>
      </c>
      <c r="D54" t="s">
        <v>21</v>
      </c>
      <c r="E54" s="40" t="s">
        <v>148</v>
      </c>
      <c r="F54" s="11"/>
    </row>
    <row r="55" spans="1:6" x14ac:dyDescent="0.3">
      <c r="A55" t="s">
        <v>149</v>
      </c>
      <c r="B55" t="s">
        <v>150</v>
      </c>
      <c r="C55" s="16">
        <f>MAX(C9/30,20)</f>
        <v>25</v>
      </c>
      <c r="D55" t="s">
        <v>21</v>
      </c>
      <c r="E55" s="40" t="s">
        <v>151</v>
      </c>
      <c r="F55" s="11"/>
    </row>
    <row r="56" spans="1:6" x14ac:dyDescent="0.3">
      <c r="A56" t="s">
        <v>152</v>
      </c>
      <c r="B56" t="s">
        <v>153</v>
      </c>
      <c r="C56" s="16">
        <f>MAX(C8+C6*(C49+C54)/1000,C6*C55/1000)</f>
        <v>307.5</v>
      </c>
      <c r="D56" t="s">
        <v>18</v>
      </c>
      <c r="E56" s="40" t="s">
        <v>154</v>
      </c>
      <c r="F56" s="11" t="s">
        <v>155</v>
      </c>
    </row>
    <row r="57" spans="1:6" x14ac:dyDescent="0.3">
      <c r="E57" s="40"/>
      <c r="F57" s="11"/>
    </row>
    <row r="58" spans="1:6" x14ac:dyDescent="0.3">
      <c r="A58" s="4" t="s">
        <v>156</v>
      </c>
      <c r="B58" s="4"/>
      <c r="C58" s="4"/>
      <c r="D58" s="4"/>
      <c r="E58" s="41"/>
      <c r="F58" s="12"/>
    </row>
    <row r="59" spans="1:6" x14ac:dyDescent="0.3">
      <c r="A59" t="s">
        <v>157</v>
      </c>
      <c r="B59" t="s">
        <v>158</v>
      </c>
      <c r="C59" s="24">
        <f>C6*1000/(C35*C24)</f>
        <v>0.15977908012362829</v>
      </c>
      <c r="D59" t="s">
        <v>28</v>
      </c>
      <c r="E59" s="40" t="s">
        <v>159</v>
      </c>
      <c r="F59" s="11" t="s">
        <v>160</v>
      </c>
    </row>
    <row r="60" spans="1:6" x14ac:dyDescent="0.3">
      <c r="A60" t="s">
        <v>161</v>
      </c>
      <c r="B60" t="s">
        <v>162</v>
      </c>
      <c r="C60" s="24">
        <f>C56*1000000/(C35*C9*C24)</f>
        <v>6.5509422850687601E-2</v>
      </c>
      <c r="D60" t="s">
        <v>28</v>
      </c>
      <c r="E60" s="40" t="s">
        <v>163</v>
      </c>
      <c r="F60" s="11" t="s">
        <v>164</v>
      </c>
    </row>
    <row r="61" spans="1:6" x14ac:dyDescent="0.3">
      <c r="A61" t="s">
        <v>220</v>
      </c>
      <c r="B61" t="s">
        <v>218</v>
      </c>
      <c r="C61" s="25">
        <f>Nomograma!C28</f>
        <v>2.0955956682373499E-2</v>
      </c>
      <c r="D61" t="s">
        <v>28</v>
      </c>
      <c r="E61" s="40" t="s">
        <v>221</v>
      </c>
      <c r="F61" s="11" t="s">
        <v>222</v>
      </c>
    </row>
    <row r="62" spans="1:6" x14ac:dyDescent="0.3">
      <c r="A62" t="s">
        <v>201</v>
      </c>
      <c r="B62" t="s">
        <v>185</v>
      </c>
      <c r="C62" s="25">
        <f>Nomograma!C22</f>
        <v>0.28000000000000008</v>
      </c>
      <c r="D62" t="s">
        <v>28</v>
      </c>
      <c r="E62" s="40" t="s">
        <v>223</v>
      </c>
      <c r="F62" s="11"/>
    </row>
    <row r="63" spans="1:6" x14ac:dyDescent="0.3">
      <c r="A63" t="s">
        <v>202</v>
      </c>
      <c r="B63" t="s">
        <v>203</v>
      </c>
      <c r="C63" s="26">
        <f>Nomograma!C23</f>
        <v>210.00000000000006</v>
      </c>
      <c r="D63" t="s">
        <v>21</v>
      </c>
      <c r="E63" s="40"/>
      <c r="F63" s="11"/>
    </row>
    <row r="64" spans="1:6" x14ac:dyDescent="0.3">
      <c r="A64" t="s">
        <v>216</v>
      </c>
      <c r="C64" s="7" t="str">
        <f>Nomograma!C27</f>
        <v>OK — solución obtenida por interpolación</v>
      </c>
      <c r="E64" s="40"/>
      <c r="F64" s="11"/>
    </row>
    <row r="65" spans="1:6" x14ac:dyDescent="0.3">
      <c r="A65" t="s">
        <v>224</v>
      </c>
      <c r="B65" t="s">
        <v>225</v>
      </c>
      <c r="C65" s="20">
        <f>IFERROR(C61*C35*C24/C26,NA())</f>
        <v>301.65839190065151</v>
      </c>
      <c r="D65" t="s">
        <v>93</v>
      </c>
      <c r="E65" s="40" t="s">
        <v>361</v>
      </c>
      <c r="F65" s="11" t="s">
        <v>226</v>
      </c>
    </row>
    <row r="66" spans="1:6" x14ac:dyDescent="0.3">
      <c r="E66" s="40"/>
      <c r="F66" s="11"/>
    </row>
    <row r="67" spans="1:6" x14ac:dyDescent="0.3">
      <c r="A67" s="4" t="s">
        <v>227</v>
      </c>
      <c r="B67" s="4"/>
      <c r="C67" s="4"/>
      <c r="D67" s="4"/>
      <c r="E67" s="41"/>
      <c r="F67" s="12"/>
    </row>
    <row r="68" spans="1:6" x14ac:dyDescent="0.3">
      <c r="A68" t="s">
        <v>228</v>
      </c>
      <c r="B68" t="s">
        <v>229</v>
      </c>
      <c r="C68" s="20">
        <f>IF(C35&lt;=500000,0.005*C35,IF(C35&lt;=1000000,2500,0.0025*C35))</f>
        <v>2208.9323345553235</v>
      </c>
      <c r="D68" t="s">
        <v>93</v>
      </c>
      <c r="E68" s="40" t="s">
        <v>230</v>
      </c>
      <c r="F68" s="11" t="s">
        <v>231</v>
      </c>
    </row>
    <row r="69" spans="1:6" x14ac:dyDescent="0.3">
      <c r="A69" t="s">
        <v>232</v>
      </c>
      <c r="B69" t="s">
        <v>233</v>
      </c>
      <c r="C69" s="20">
        <f>0.15*ABS(C6)*1000/C26</f>
        <v>345</v>
      </c>
      <c r="D69" t="s">
        <v>93</v>
      </c>
      <c r="E69" s="40" t="s">
        <v>234</v>
      </c>
      <c r="F69" s="11" t="s">
        <v>235</v>
      </c>
    </row>
    <row r="70" spans="1:6" x14ac:dyDescent="0.3">
      <c r="A70" t="s">
        <v>236</v>
      </c>
      <c r="B70" t="s">
        <v>237</v>
      </c>
      <c r="C70" s="20">
        <f>MAX(C68,C69)</f>
        <v>2208.9323345553235</v>
      </c>
      <c r="D70" t="s">
        <v>93</v>
      </c>
      <c r="E70" s="40" t="s">
        <v>238</v>
      </c>
      <c r="F70" s="11"/>
    </row>
    <row r="71" spans="1:6" x14ac:dyDescent="0.3">
      <c r="A71" t="s">
        <v>239</v>
      </c>
      <c r="B71" t="s">
        <v>240</v>
      </c>
      <c r="C71" s="20">
        <f>0.09*C35</f>
        <v>39760.782021995816</v>
      </c>
      <c r="D71" t="s">
        <v>93</v>
      </c>
      <c r="E71" s="40" t="s">
        <v>241</v>
      </c>
      <c r="F71" s="11" t="s">
        <v>242</v>
      </c>
    </row>
    <row r="72" spans="1:6" x14ac:dyDescent="0.3">
      <c r="A72" s="8" t="s">
        <v>243</v>
      </c>
      <c r="B72" s="9" t="s">
        <v>244</v>
      </c>
      <c r="C72" s="27">
        <f>MAX(IFERROR(C65,0),C70)</f>
        <v>2208.9323345553235</v>
      </c>
      <c r="D72" s="9" t="s">
        <v>93</v>
      </c>
      <c r="E72" s="42"/>
      <c r="F72" s="13"/>
    </row>
    <row r="73" spans="1:6" x14ac:dyDescent="0.3">
      <c r="A73" t="s">
        <v>245</v>
      </c>
      <c r="B73" t="s">
        <v>106</v>
      </c>
      <c r="C73" s="20">
        <f>C40</f>
        <v>2513.2741228718346</v>
      </c>
      <c r="D73" t="s">
        <v>93</v>
      </c>
      <c r="E73" s="40"/>
      <c r="F73" s="11" t="str">
        <f>C11&amp;" Ø"&amp;C12&amp;" mm"</f>
        <v>8 Ø20 mm</v>
      </c>
    </row>
    <row r="74" spans="1:6" x14ac:dyDescent="0.3">
      <c r="A74" t="s">
        <v>246</v>
      </c>
      <c r="C74" t="str">
        <f>IF(C73&gt;=C72,"OK","NO CUMPLE – aumentar nº o Ø de barras")</f>
        <v>OK</v>
      </c>
      <c r="E74" s="40" t="s">
        <v>361</v>
      </c>
      <c r="F74" s="11"/>
    </row>
    <row r="75" spans="1:6" x14ac:dyDescent="0.3">
      <c r="A75" t="s">
        <v>247</v>
      </c>
      <c r="C75" t="str">
        <f>IF(C73&lt;=C71,"OK","NO CUMPLE – excede 0,09·A_c")</f>
        <v>OK</v>
      </c>
      <c r="E75" s="40" t="s">
        <v>241</v>
      </c>
      <c r="F75" s="11"/>
    </row>
    <row r="76" spans="1:6" x14ac:dyDescent="0.3">
      <c r="A76" t="s">
        <v>248</v>
      </c>
      <c r="C76" t="str">
        <f>IF(AND(C11&gt;=6,C12&gt;=16),"OK","NO CUMPLE")</f>
        <v>OK</v>
      </c>
      <c r="E76" s="40" t="s">
        <v>29</v>
      </c>
      <c r="F76" s="11"/>
    </row>
    <row r="77" spans="1:6" x14ac:dyDescent="0.3">
      <c r="A77" t="s">
        <v>249</v>
      </c>
      <c r="C77" t="str">
        <f>IF(C41&gt;=100,"OK","REVISAR – hormigonado con tubo tremie")</f>
        <v>OK</v>
      </c>
      <c r="E77" s="40" t="s">
        <v>250</v>
      </c>
      <c r="F77" s="11"/>
    </row>
    <row r="78" spans="1:6" x14ac:dyDescent="0.3">
      <c r="E78" s="40"/>
      <c r="F78" s="11"/>
    </row>
    <row r="79" spans="1:6" x14ac:dyDescent="0.3">
      <c r="A79" s="4" t="s">
        <v>251</v>
      </c>
      <c r="B79" s="4"/>
      <c r="C79" s="4"/>
      <c r="D79" s="4"/>
      <c r="E79" s="41"/>
      <c r="F79" s="12"/>
    </row>
    <row r="80" spans="1:6" x14ac:dyDescent="0.3">
      <c r="A80" t="s">
        <v>252</v>
      </c>
      <c r="B80" t="s">
        <v>253</v>
      </c>
      <c r="C80" s="20">
        <f>C9</f>
        <v>750</v>
      </c>
      <c r="D80" t="s">
        <v>21</v>
      </c>
      <c r="E80" s="40" t="s">
        <v>101</v>
      </c>
      <c r="F80" s="11" t="s">
        <v>254</v>
      </c>
    </row>
    <row r="81" spans="1:6" x14ac:dyDescent="0.3">
      <c r="A81" t="s">
        <v>255</v>
      </c>
      <c r="B81" t="s">
        <v>256</v>
      </c>
      <c r="C81" s="28">
        <f>MIN(C6*1000/C35,0.2*C24)</f>
        <v>2.2635369684180673</v>
      </c>
      <c r="D81" t="s">
        <v>43</v>
      </c>
      <c r="E81" s="40" t="s">
        <v>257</v>
      </c>
      <c r="F81" s="11"/>
    </row>
    <row r="82" spans="1:6" x14ac:dyDescent="0.3">
      <c r="A82" t="s">
        <v>258</v>
      </c>
      <c r="B82" t="s">
        <v>259</v>
      </c>
      <c r="C82" s="18">
        <f>MIN(C73/2/(C80*C38),0.02)</f>
        <v>3.0284778534489121E-3</v>
      </c>
      <c r="D82" t="s">
        <v>28</v>
      </c>
      <c r="E82" s="40" t="s">
        <v>260</v>
      </c>
      <c r="F82" s="11" t="s">
        <v>261</v>
      </c>
    </row>
    <row r="83" spans="1:6" x14ac:dyDescent="0.3">
      <c r="A83" t="s">
        <v>262</v>
      </c>
      <c r="B83" t="s">
        <v>263</v>
      </c>
      <c r="C83" s="21">
        <f>MIN(1+SQRT(200/C38),2)</f>
        <v>1.6012469669907243</v>
      </c>
      <c r="D83" t="s">
        <v>28</v>
      </c>
      <c r="E83" s="40" t="s">
        <v>260</v>
      </c>
      <c r="F83" s="11"/>
    </row>
    <row r="84" spans="1:6" x14ac:dyDescent="0.3">
      <c r="A84" t="s">
        <v>264</v>
      </c>
      <c r="B84" t="s">
        <v>265</v>
      </c>
      <c r="C84" s="21">
        <f>0.15/C17</f>
        <v>9.9999999999999992E-2</v>
      </c>
      <c r="D84" t="s">
        <v>28</v>
      </c>
      <c r="E84" s="40" t="s">
        <v>266</v>
      </c>
      <c r="F84" s="11"/>
    </row>
    <row r="85" spans="1:6" x14ac:dyDescent="0.3">
      <c r="A85" t="s">
        <v>267</v>
      </c>
      <c r="B85" t="s">
        <v>268</v>
      </c>
      <c r="C85" s="29">
        <v>0.12</v>
      </c>
      <c r="D85" t="s">
        <v>28</v>
      </c>
      <c r="E85" s="40" t="s">
        <v>269</v>
      </c>
      <c r="F85" s="11"/>
    </row>
    <row r="86" spans="1:6" x14ac:dyDescent="0.3">
      <c r="A86" t="s">
        <v>270</v>
      </c>
      <c r="B86" t="s">
        <v>271</v>
      </c>
      <c r="C86" s="21">
        <f>IF(C38&lt;=600,0.0525,IF(C38&gt;=800,0.0375,0.0525+(C38-600)*(0.0375-0.0525)/200))</f>
        <v>5.2499999999999998E-2</v>
      </c>
      <c r="D86" t="s">
        <v>28</v>
      </c>
      <c r="E86" s="40" t="s">
        <v>272</v>
      </c>
      <c r="F86" s="11" t="s">
        <v>273</v>
      </c>
    </row>
    <row r="87" spans="1:6" x14ac:dyDescent="0.3">
      <c r="A87" t="s">
        <v>274</v>
      </c>
      <c r="B87" t="s">
        <v>275</v>
      </c>
      <c r="C87" s="21">
        <f>C86/C17*C83^1.5*SQRT(C15)</f>
        <v>0.35458922046477931</v>
      </c>
      <c r="D87" t="s">
        <v>43</v>
      </c>
      <c r="E87" s="40" t="s">
        <v>272</v>
      </c>
      <c r="F87" s="11"/>
    </row>
    <row r="88" spans="1:6" x14ac:dyDescent="0.3">
      <c r="A88" t="s">
        <v>276</v>
      </c>
      <c r="B88" t="s">
        <v>277</v>
      </c>
      <c r="C88" s="20">
        <f>(MAX(C84*C83*(100*C82*C15)^(1/3),C87)+C85*C81)*C80*C38/1000</f>
        <v>259.84119000866292</v>
      </c>
      <c r="D88" t="s">
        <v>11</v>
      </c>
      <c r="E88" s="40" t="s">
        <v>278</v>
      </c>
      <c r="F88" s="11"/>
    </row>
    <row r="89" spans="1:6" x14ac:dyDescent="0.3">
      <c r="A89" t="s">
        <v>279</v>
      </c>
      <c r="C89" t="str">
        <f>IF(C7&gt;C88,"SÍ  (V_Ed &gt; V_Rd,c)","NO  (V_Ed ≤ V_Rd,c) – disponer armadura mínima")</f>
        <v>SÍ  (V_Ed &gt; V_Rd,c)</v>
      </c>
      <c r="E89" s="40" t="s">
        <v>280</v>
      </c>
      <c r="F89" s="11"/>
    </row>
    <row r="90" spans="1:6" x14ac:dyDescent="0.3">
      <c r="A90" t="s">
        <v>281</v>
      </c>
      <c r="B90" t="s">
        <v>282</v>
      </c>
      <c r="C90" s="28">
        <f>-C6*1000/C35</f>
        <v>-2.2635369684180673</v>
      </c>
      <c r="D90" t="s">
        <v>43</v>
      </c>
      <c r="E90" s="40" t="s">
        <v>283</v>
      </c>
      <c r="F90" s="11" t="s">
        <v>284</v>
      </c>
    </row>
    <row r="91" spans="1:6" x14ac:dyDescent="0.3">
      <c r="A91" t="s">
        <v>285</v>
      </c>
      <c r="B91" t="s">
        <v>286</v>
      </c>
      <c r="C91" s="28">
        <f>0.5*0.48*C15^(1/3)*(1-1.2*C90/C24)*C80*C39/1000</f>
        <v>312.31933581250365</v>
      </c>
      <c r="D91" t="s">
        <v>11</v>
      </c>
      <c r="E91" s="40" t="s">
        <v>287</v>
      </c>
      <c r="F91" s="11"/>
    </row>
    <row r="92" spans="1:6" x14ac:dyDescent="0.3">
      <c r="A92" t="s">
        <v>288</v>
      </c>
      <c r="B92" t="s">
        <v>289</v>
      </c>
      <c r="C92" s="28">
        <f>IF(C7&lt;=0,1,IF((1-C91/C7)&lt;=0,3,MEDIAN(1,(1.2+1.4*C90/C24)/(1-C91/C7),3)))</f>
        <v>3</v>
      </c>
      <c r="D92" t="s">
        <v>28</v>
      </c>
      <c r="E92" s="40" t="s">
        <v>61</v>
      </c>
      <c r="F92" s="11"/>
    </row>
    <row r="93" spans="1:6" x14ac:dyDescent="0.3">
      <c r="A93" t="s">
        <v>290</v>
      </c>
      <c r="B93" t="s">
        <v>60</v>
      </c>
      <c r="C93" s="28">
        <f>IF(C21&gt;0,MEDIAN(1,C21,3),C92)</f>
        <v>3</v>
      </c>
      <c r="D93" t="s">
        <v>28</v>
      </c>
      <c r="E93" s="40" t="s">
        <v>283</v>
      </c>
      <c r="F93" s="11" t="s">
        <v>291</v>
      </c>
    </row>
    <row r="94" spans="1:6" x14ac:dyDescent="0.3">
      <c r="A94" t="s">
        <v>292</v>
      </c>
      <c r="B94" t="s">
        <v>293</v>
      </c>
      <c r="C94" s="30">
        <v>0.75</v>
      </c>
      <c r="D94" t="s">
        <v>28</v>
      </c>
      <c r="E94" s="40" t="s">
        <v>294</v>
      </c>
      <c r="F94" s="11"/>
    </row>
    <row r="95" spans="1:6" x14ac:dyDescent="0.3">
      <c r="A95" t="s">
        <v>295</v>
      </c>
      <c r="B95" t="s">
        <v>296</v>
      </c>
      <c r="C95" s="20">
        <f>C80*C39*C94*C24/(C93+1/C93)/1000</f>
        <v>1190.3595616156949</v>
      </c>
      <c r="D95" t="s">
        <v>11</v>
      </c>
      <c r="E95" s="40" t="s">
        <v>297</v>
      </c>
      <c r="F95" s="11"/>
    </row>
    <row r="96" spans="1:6" x14ac:dyDescent="0.3">
      <c r="A96" t="s">
        <v>298</v>
      </c>
      <c r="C96" t="str">
        <f>IF(C7&lt;=C95,"OK","NO CUMPLE – aumentar D o f_ck")</f>
        <v>OK</v>
      </c>
      <c r="E96" s="40" t="s">
        <v>299</v>
      </c>
      <c r="F96" s="11"/>
    </row>
    <row r="97" spans="1:6" x14ac:dyDescent="0.3">
      <c r="A97" t="s">
        <v>300</v>
      </c>
      <c r="B97" t="s">
        <v>301</v>
      </c>
      <c r="C97" s="24">
        <f>C7*1000/(C39*C26*C93)</f>
        <v>0.46191400290319667</v>
      </c>
      <c r="D97" t="s">
        <v>302</v>
      </c>
      <c r="E97" s="40" t="s">
        <v>303</v>
      </c>
      <c r="F97" s="11" t="s">
        <v>304</v>
      </c>
    </row>
    <row r="98" spans="1:6" x14ac:dyDescent="0.3">
      <c r="A98" t="s">
        <v>305</v>
      </c>
      <c r="B98" t="s">
        <v>306</v>
      </c>
      <c r="C98" s="24">
        <f>0.16*C25/C16</f>
        <v>8.2078845440481415E-4</v>
      </c>
      <c r="D98" t="s">
        <v>28</v>
      </c>
      <c r="E98" s="40" t="s">
        <v>307</v>
      </c>
      <c r="F98" s="11" t="s">
        <v>308</v>
      </c>
    </row>
    <row r="99" spans="1:6" x14ac:dyDescent="0.3">
      <c r="A99" t="s">
        <v>309</v>
      </c>
      <c r="B99" t="s">
        <v>310</v>
      </c>
      <c r="C99" s="24">
        <f>C98*C80</f>
        <v>0.61559134080361066</v>
      </c>
      <c r="D99" t="s">
        <v>302</v>
      </c>
      <c r="E99" s="40" t="s">
        <v>311</v>
      </c>
      <c r="F99" s="11"/>
    </row>
    <row r="100" spans="1:6" x14ac:dyDescent="0.3">
      <c r="A100" s="8" t="s">
        <v>312</v>
      </c>
      <c r="B100" s="9" t="s">
        <v>313</v>
      </c>
      <c r="C100" s="31">
        <f>MAX(C97,C99)</f>
        <v>0.61559134080361066</v>
      </c>
      <c r="D100" s="9" t="s">
        <v>302</v>
      </c>
      <c r="E100" s="42"/>
      <c r="F100" s="13"/>
    </row>
    <row r="101" spans="1:6" x14ac:dyDescent="0.3">
      <c r="A101" t="s">
        <v>314</v>
      </c>
      <c r="B101" t="s">
        <v>315</v>
      </c>
      <c r="C101" s="20">
        <f>2*PI()*C13^2/4</f>
        <v>157.07963267948966</v>
      </c>
      <c r="D101" t="s">
        <v>93</v>
      </c>
      <c r="E101" s="40" t="s">
        <v>299</v>
      </c>
      <c r="F101" s="11" t="s">
        <v>316</v>
      </c>
    </row>
    <row r="102" spans="1:6" x14ac:dyDescent="0.3">
      <c r="A102" t="s">
        <v>317</v>
      </c>
      <c r="B102" t="s">
        <v>318</v>
      </c>
      <c r="C102" s="20">
        <f>C101/C100</f>
        <v>255.16868459266075</v>
      </c>
      <c r="D102" t="s">
        <v>21</v>
      </c>
      <c r="E102" s="40"/>
      <c r="F102" s="11"/>
    </row>
    <row r="103" spans="1:6" x14ac:dyDescent="0.3">
      <c r="A103" t="s">
        <v>319</v>
      </c>
      <c r="B103" t="s">
        <v>320</v>
      </c>
      <c r="C103" s="20">
        <f>IF(C7&lt;=0.3*C95,MIN(0.7*C9,300),IF(C7&lt;=0.6*C95,MIN(0.5*C9,300),MIN(0.25*C9,200)))</f>
        <v>300</v>
      </c>
      <c r="D103" t="s">
        <v>21</v>
      </c>
      <c r="E103" s="40" t="s">
        <v>321</v>
      </c>
      <c r="F103" s="11"/>
    </row>
    <row r="104" spans="1:6" x14ac:dyDescent="0.3">
      <c r="A104" s="8" t="s">
        <v>322</v>
      </c>
      <c r="B104" s="9" t="s">
        <v>323</v>
      </c>
      <c r="C104" s="27">
        <f>MIN(C102,C103)</f>
        <v>255.16868459266075</v>
      </c>
      <c r="D104" s="9" t="s">
        <v>21</v>
      </c>
      <c r="E104" s="42"/>
      <c r="F104" s="13" t="str">
        <f>"Adoptar espiral Ø"&amp;C13&amp;" mm cada "&amp;FLOOR(C104,10)&amp;" mm"</f>
        <v>Adoptar espiral Ø10 mm cada 250 mm</v>
      </c>
    </row>
    <row r="105" spans="1:6" x14ac:dyDescent="0.3">
      <c r="A105" t="s">
        <v>324</v>
      </c>
      <c r="C105" t="str">
        <f>IF(C14&lt;=C104,"OK","NO CUMPLE – reducir el paso o aumentar Ø_w")</f>
        <v>OK</v>
      </c>
      <c r="E105" s="40" t="s">
        <v>325</v>
      </c>
      <c r="F105" s="11"/>
    </row>
    <row r="106" spans="1:6" x14ac:dyDescent="0.3">
      <c r="A106" t="s">
        <v>326</v>
      </c>
      <c r="C106" t="str">
        <f>IF(C14-C13&gt;=100,"OK","REVISAR – paso libre insuficiente para tremie")</f>
        <v>OK</v>
      </c>
      <c r="E106" s="40" t="s">
        <v>36</v>
      </c>
      <c r="F106" s="11"/>
    </row>
    <row r="107" spans="1:6" x14ac:dyDescent="0.3">
      <c r="F107" s="11"/>
    </row>
    <row r="108" spans="1:6" x14ac:dyDescent="0.3">
      <c r="A108" s="4" t="s">
        <v>327</v>
      </c>
      <c r="B108" s="4"/>
      <c r="C108" s="4"/>
      <c r="D108" s="4"/>
      <c r="E108" s="4"/>
      <c r="F108" s="12"/>
    </row>
    <row r="109" spans="1:6" x14ac:dyDescent="0.3">
      <c r="A109" t="s">
        <v>328</v>
      </c>
      <c r="C109" t="str">
        <f>TEXT(C6,"#,##0")&amp;" kN / "&amp;TEXT(C7,"#,##0")&amp;" kN / "&amp;TEXT(C56,"#,##0")&amp;" kNm"</f>
        <v>1,000 kN / 300 kN / 308 kNm</v>
      </c>
      <c r="F109" s="11"/>
    </row>
    <row r="110" spans="1:6" x14ac:dyDescent="0.3">
      <c r="A110" t="s">
        <v>329</v>
      </c>
      <c r="C110" t="str">
        <f>"Ø"&amp;C9&amp;" mm · C"&amp;C15&amp;" · B"&amp;C16&amp;" · c_nom = "&amp;C10&amp;" mm"</f>
        <v>Ø750 mm · C25 · B500 · c_nom = 75 mm</v>
      </c>
      <c r="F110" s="11"/>
    </row>
    <row r="111" spans="1:6" x14ac:dyDescent="0.3">
      <c r="A111" t="s">
        <v>330</v>
      </c>
      <c r="C111" t="str">
        <f>TEXT(C72,"#,##0")&amp;" mm² → "&amp;C11&amp;" Ø"&amp;C12&amp;" = "&amp;TEXT(C73,"#,##0")&amp;" mm²"</f>
        <v>2,209 mm² → 8 Ø20 = 2,513 mm²</v>
      </c>
      <c r="E111" t="s">
        <v>331</v>
      </c>
      <c r="F111" s="11"/>
    </row>
    <row r="112" spans="1:6" x14ac:dyDescent="0.3">
      <c r="A112" t="s">
        <v>332</v>
      </c>
      <c r="C112" t="str">
        <f>"espiral Ø"&amp;C13&amp;" c/"&amp;FLOOR(C104,10)&amp;" mm  (adoptado: c/"&amp;C14&amp;" mm)"</f>
        <v>espiral Ø10 c/250 mm  (adoptado: c/150 mm)</v>
      </c>
      <c r="E112" t="s">
        <v>333</v>
      </c>
      <c r="F112" s="11"/>
    </row>
    <row r="113" spans="1:6" x14ac:dyDescent="0.3">
      <c r="A113" t="s">
        <v>334</v>
      </c>
      <c r="C113" t="str">
        <f>C74</f>
        <v>OK</v>
      </c>
      <c r="F113" s="11"/>
    </row>
    <row r="114" spans="1:6" x14ac:dyDescent="0.3">
      <c r="A114" t="s">
        <v>335</v>
      </c>
      <c r="C114" t="str">
        <f>C75</f>
        <v>OK</v>
      </c>
      <c r="F114" s="11"/>
    </row>
    <row r="115" spans="1:6" x14ac:dyDescent="0.3">
      <c r="A115" t="s">
        <v>336</v>
      </c>
      <c r="C115" t="str">
        <f>C76</f>
        <v>OK</v>
      </c>
      <c r="F115" s="11"/>
    </row>
    <row r="116" spans="1:6" x14ac:dyDescent="0.3">
      <c r="A116" t="s">
        <v>337</v>
      </c>
      <c r="C116" t="str">
        <f>C77</f>
        <v>OK</v>
      </c>
      <c r="F116" s="11"/>
    </row>
    <row r="117" spans="1:6" x14ac:dyDescent="0.3">
      <c r="A117" t="s">
        <v>338</v>
      </c>
      <c r="C117" t="str">
        <f>C96</f>
        <v>OK</v>
      </c>
      <c r="F117" s="11"/>
    </row>
    <row r="118" spans="1:6" x14ac:dyDescent="0.3">
      <c r="A118" t="s">
        <v>339</v>
      </c>
      <c r="C118" t="str">
        <f>C105</f>
        <v>OK</v>
      </c>
      <c r="F118" s="11"/>
    </row>
    <row r="119" spans="1:6" ht="15.6" x14ac:dyDescent="0.3">
      <c r="A119" s="8" t="s">
        <v>340</v>
      </c>
      <c r="B119" s="9"/>
      <c r="C119" s="10" t="str">
        <f>IF(COUNTIF(C113:C118,"OK")=6,"TODAS LAS VERIFICACIONES CUMPLEN","REVISAR: hay verificaciones no cumplidas")</f>
        <v>TODAS LAS VERIFICACIONES CUMPLEN</v>
      </c>
      <c r="F119" s="11"/>
    </row>
    <row r="120" spans="1:6" x14ac:dyDescent="0.3">
      <c r="F120" s="11"/>
    </row>
    <row r="121" spans="1:6" x14ac:dyDescent="0.3">
      <c r="A121" s="4" t="s">
        <v>341</v>
      </c>
      <c r="B121" s="4"/>
      <c r="C121" s="4"/>
      <c r="D121" s="4"/>
      <c r="E121" s="4"/>
      <c r="F121" s="12"/>
    </row>
    <row r="122" spans="1:6" x14ac:dyDescent="0.3">
      <c r="A122" s="11" t="s">
        <v>342</v>
      </c>
      <c r="F122" s="11"/>
    </row>
    <row r="123" spans="1:6" x14ac:dyDescent="0.3">
      <c r="A123" s="11" t="s">
        <v>343</v>
      </c>
      <c r="F123" s="11"/>
    </row>
    <row r="124" spans="1:6" x14ac:dyDescent="0.3">
      <c r="A124" s="11" t="s">
        <v>344</v>
      </c>
      <c r="F124" s="11"/>
    </row>
    <row r="125" spans="1:6" x14ac:dyDescent="0.3">
      <c r="A125" s="11" t="s">
        <v>345</v>
      </c>
      <c r="F125" s="11"/>
    </row>
    <row r="126" spans="1:6" x14ac:dyDescent="0.3">
      <c r="A126" s="11" t="s">
        <v>346</v>
      </c>
      <c r="F126" s="11"/>
    </row>
    <row r="127" spans="1:6" x14ac:dyDescent="0.3">
      <c r="A127" s="11" t="s">
        <v>347</v>
      </c>
      <c r="F127" s="11"/>
    </row>
    <row r="128" spans="1:6" x14ac:dyDescent="0.3">
      <c r="A128" s="11" t="s">
        <v>348</v>
      </c>
      <c r="F128" s="11"/>
    </row>
    <row r="129" spans="1:6" x14ac:dyDescent="0.3">
      <c r="A129" s="11" t="s">
        <v>349</v>
      </c>
      <c r="F129" s="11"/>
    </row>
    <row r="130" spans="1:6" x14ac:dyDescent="0.3">
      <c r="A130" s="11" t="s">
        <v>350</v>
      </c>
      <c r="F130" s="11"/>
    </row>
    <row r="131" spans="1:6" x14ac:dyDescent="0.3">
      <c r="A131" s="11" t="s">
        <v>351</v>
      </c>
      <c r="F131" s="11"/>
    </row>
    <row r="132" spans="1:6" x14ac:dyDescent="0.3">
      <c r="A132" s="11" t="s">
        <v>352</v>
      </c>
      <c r="F132" s="11"/>
    </row>
    <row r="133" spans="1:6" x14ac:dyDescent="0.3">
      <c r="A133" s="11" t="s">
        <v>353</v>
      </c>
      <c r="F133" s="11"/>
    </row>
    <row r="134" spans="1:6" x14ac:dyDescent="0.3">
      <c r="A134" s="11" t="s">
        <v>354</v>
      </c>
      <c r="F134" s="11"/>
    </row>
    <row r="135" spans="1:6" x14ac:dyDescent="0.3">
      <c r="A135" s="11" t="s">
        <v>355</v>
      </c>
      <c r="F135" s="11"/>
    </row>
    <row r="136" spans="1:6" x14ac:dyDescent="0.3">
      <c r="A136" s="11" t="s">
        <v>356</v>
      </c>
      <c r="F136" s="11"/>
    </row>
    <row r="137" spans="1:6" x14ac:dyDescent="0.3">
      <c r="A137" s="11" t="s">
        <v>357</v>
      </c>
      <c r="F137" s="11"/>
    </row>
    <row r="138" spans="1:6" x14ac:dyDescent="0.3">
      <c r="A138" s="11" t="s">
        <v>358</v>
      </c>
      <c r="F138" s="11"/>
    </row>
    <row r="139" spans="1:6" x14ac:dyDescent="0.3">
      <c r="A139" s="11" t="s">
        <v>359</v>
      </c>
      <c r="F139" s="11"/>
    </row>
    <row r="140" spans="1:6" x14ac:dyDescent="0.3">
      <c r="A140" s="11"/>
      <c r="F140" s="11"/>
    </row>
    <row r="141" spans="1:6" ht="60" customHeight="1" x14ac:dyDescent="0.3">
      <c r="A141" s="77" t="s">
        <v>360</v>
      </c>
      <c r="B141" s="77"/>
      <c r="C141" s="77"/>
      <c r="D141" s="77"/>
      <c r="E141" s="77"/>
      <c r="F141" s="77"/>
    </row>
  </sheetData>
  <mergeCells count="1">
    <mergeCell ref="A141:F141"/>
  </mergeCells>
  <conditionalFormatting sqref="C64">
    <cfRule type="containsText" dxfId="199" priority="25" operator="containsText" text="NO CUMPLE">
      <formula>NOT(ISERROR(SEARCH("NO CUMPLE",C64)))</formula>
    </cfRule>
    <cfRule type="containsText" dxfId="198" priority="26" operator="containsText" text="REVISAR">
      <formula>NOT(ISERROR(SEARCH("REVISAR",C64)))</formula>
    </cfRule>
    <cfRule type="containsText" dxfId="197" priority="27" operator="containsText" text="FUERA DE DOMINIO">
      <formula>NOT(ISERROR(SEARCH("FUERA DE DOMINIO",C64)))</formula>
    </cfRule>
    <cfRule type="containsText" dxfId="196" priority="28" operator="containsText" text="NO CUMPLEN">
      <formula>NOT(ISERROR(SEARCH("NO CUMPLEN",C64)))</formula>
    </cfRule>
    <cfRule type="containsText" dxfId="195" priority="29" operator="containsText" text="OK">
      <formula>NOT(ISERROR(SEARCH("OK",C64)))</formula>
    </cfRule>
    <cfRule type="containsText" dxfId="194" priority="30" operator="containsText" text="TODAS LAS VERIFICACIONES CUMPLEN">
      <formula>NOT(ISERROR(SEARCH("TODAS LAS VERIFICACIONES CUMPLEN",C64)))</formula>
    </cfRule>
  </conditionalFormatting>
  <conditionalFormatting sqref="C74:C77">
    <cfRule type="containsText" dxfId="193" priority="1" operator="containsText" text="NO CUMPLE">
      <formula>NOT(ISERROR(SEARCH("NO CUMPLE",C74)))</formula>
    </cfRule>
    <cfRule type="containsText" dxfId="192" priority="2" operator="containsText" text="REVISAR">
      <formula>NOT(ISERROR(SEARCH("REVISAR",C74)))</formula>
    </cfRule>
    <cfRule type="containsText" dxfId="191" priority="3" operator="containsText" text="FUERA DE DOMINIO">
      <formula>NOT(ISERROR(SEARCH("FUERA DE DOMINIO",C74)))</formula>
    </cfRule>
    <cfRule type="containsText" dxfId="190" priority="4" operator="containsText" text="NO CUMPLEN">
      <formula>NOT(ISERROR(SEARCH("NO CUMPLEN",C74)))</formula>
    </cfRule>
    <cfRule type="containsText" dxfId="189" priority="5" operator="containsText" text="OK">
      <formula>NOT(ISERROR(SEARCH("OK",C74)))</formula>
    </cfRule>
    <cfRule type="containsText" dxfId="188" priority="6" operator="containsText" text="TODAS LAS VERIFICACIONES CUMPLEN">
      <formula>NOT(ISERROR(SEARCH("TODAS LAS VERIFICACIONES CUMPLEN",C74)))</formula>
    </cfRule>
  </conditionalFormatting>
  <conditionalFormatting sqref="C96">
    <cfRule type="containsText" dxfId="187" priority="7" operator="containsText" text="NO CUMPLE">
      <formula>NOT(ISERROR(SEARCH("NO CUMPLE",C96)))</formula>
    </cfRule>
    <cfRule type="containsText" dxfId="186" priority="8" operator="containsText" text="REVISAR">
      <formula>NOT(ISERROR(SEARCH("REVISAR",C96)))</formula>
    </cfRule>
    <cfRule type="containsText" dxfId="185" priority="9" operator="containsText" text="FUERA DE DOMINIO">
      <formula>NOT(ISERROR(SEARCH("FUERA DE DOMINIO",C96)))</formula>
    </cfRule>
    <cfRule type="containsText" dxfId="184" priority="10" operator="containsText" text="NO CUMPLEN">
      <formula>NOT(ISERROR(SEARCH("NO CUMPLEN",C96)))</formula>
    </cfRule>
    <cfRule type="containsText" dxfId="183" priority="11" operator="containsText" text="OK">
      <formula>NOT(ISERROR(SEARCH("OK",C96)))</formula>
    </cfRule>
    <cfRule type="containsText" dxfId="182" priority="12" operator="containsText" text="TODAS LAS VERIFICACIONES CUMPLEN">
      <formula>NOT(ISERROR(SEARCH("TODAS LAS VERIFICACIONES CUMPLEN",C96)))</formula>
    </cfRule>
  </conditionalFormatting>
  <conditionalFormatting sqref="C105:C106">
    <cfRule type="containsText" dxfId="181" priority="13" operator="containsText" text="NO CUMPLE">
      <formula>NOT(ISERROR(SEARCH("NO CUMPLE",C105)))</formula>
    </cfRule>
    <cfRule type="containsText" dxfId="180" priority="14" operator="containsText" text="REVISAR">
      <formula>NOT(ISERROR(SEARCH("REVISAR",C105)))</formula>
    </cfRule>
    <cfRule type="containsText" dxfId="179" priority="15" operator="containsText" text="FUERA DE DOMINIO">
      <formula>NOT(ISERROR(SEARCH("FUERA DE DOMINIO",C105)))</formula>
    </cfRule>
    <cfRule type="containsText" dxfId="178" priority="16" operator="containsText" text="NO CUMPLEN">
      <formula>NOT(ISERROR(SEARCH("NO CUMPLEN",C105)))</formula>
    </cfRule>
    <cfRule type="containsText" dxfId="177" priority="17" operator="containsText" text="OK">
      <formula>NOT(ISERROR(SEARCH("OK",C105)))</formula>
    </cfRule>
    <cfRule type="containsText" dxfId="176" priority="18" operator="containsText" text="TODAS LAS VERIFICACIONES CUMPLEN">
      <formula>NOT(ISERROR(SEARCH("TODAS LAS VERIFICACIONES CUMPLEN",C105)))</formula>
    </cfRule>
  </conditionalFormatting>
  <conditionalFormatting sqref="C113:C119">
    <cfRule type="containsText" dxfId="175" priority="19" operator="containsText" text="NO CUMPLE">
      <formula>NOT(ISERROR(SEARCH("NO CUMPLE",C113)))</formula>
    </cfRule>
    <cfRule type="containsText" dxfId="174" priority="20" operator="containsText" text="REVISAR">
      <formula>NOT(ISERROR(SEARCH("REVISAR",C113)))</formula>
    </cfRule>
    <cfRule type="containsText" dxfId="173" priority="21" operator="containsText" text="FUERA DE DOMINIO">
      <formula>NOT(ISERROR(SEARCH("FUERA DE DOMINIO",C113)))</formula>
    </cfRule>
    <cfRule type="containsText" dxfId="172" priority="22" operator="containsText" text="NO CUMPLEN">
      <formula>NOT(ISERROR(SEARCH("NO CUMPLEN",C113)))</formula>
    </cfRule>
    <cfRule type="containsText" dxfId="171" priority="23" operator="containsText" text="OK">
      <formula>NOT(ISERROR(SEARCH("OK",C113)))</formula>
    </cfRule>
    <cfRule type="containsText" dxfId="170" priority="24" operator="containsText" text="TODAS LAS VERIFICACIONES CUMPLEN">
      <formula>NOT(ISERROR(SEARCH("TODAS LAS VERIFICACIONES CUMPLEN",C113)))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EC7415-B379-4CB0-A2D8-358F5F15A8FF}">
          <x14:formula1>
            <xm:f>Aceros_DIN!$A$35:$A$43</xm:f>
          </x14:formula1>
          <xm:sqref>F15</xm:sqref>
        </x14:dataValidation>
        <x14:dataValidation type="list" allowBlank="1" showInputMessage="1" showErrorMessage="1" xr:uid="{3D477BD7-2986-44CC-9FC2-935732947C06}">
          <x14:formula1>
            <xm:f>Aceros_DIN!$A$47:$A$49</xm:f>
          </x14:formula1>
          <xm:sqref>F16</xm:sqref>
        </x14:dataValidation>
        <x14:dataValidation type="list" allowBlank="1" showInputMessage="1" showErrorMessage="1" xr:uid="{BCF7D984-4568-41B5-9B7D-84BDAD70EF06}">
          <x14:formula1>
            <xm:f>Aceros_DIN!$B$6:$B$16</xm:f>
          </x14:formula1>
          <xm:sqref>C12 C13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1F60-C78E-4848-8E54-F85EA47602FF}">
  <sheetPr>
    <tabColor rgb="FFC00000"/>
  </sheetPr>
  <dimension ref="A1:W141"/>
  <sheetViews>
    <sheetView topLeftCell="B1" workbookViewId="0">
      <pane ySplit="5" topLeftCell="A6" activePane="bottomLeft" state="frozen"/>
      <selection pane="bottomLeft" activeCell="E11" sqref="E11"/>
    </sheetView>
  </sheetViews>
  <sheetFormatPr defaultRowHeight="14.4" x14ac:dyDescent="0.3"/>
  <cols>
    <col min="1" max="1" width="57.109375" customWidth="1"/>
    <col min="2" max="2" width="15.33203125" customWidth="1"/>
    <col min="3" max="3" width="42.44140625" customWidth="1"/>
    <col min="4" max="4" width="10.44140625" customWidth="1"/>
    <col min="5" max="5" width="43.88671875" customWidth="1"/>
    <col min="6" max="6" width="72.44140625" customWidth="1"/>
  </cols>
  <sheetData>
    <row r="1" spans="1:23" ht="18" x14ac:dyDescent="0.35">
      <c r="A1" s="32" t="s">
        <v>0</v>
      </c>
      <c r="B1" s="33"/>
      <c r="C1" s="33"/>
      <c r="D1" s="33"/>
      <c r="E1" s="33"/>
      <c r="F1" s="33"/>
    </row>
    <row r="2" spans="1:23" x14ac:dyDescent="0.3">
      <c r="A2" s="34" t="s">
        <v>1191</v>
      </c>
      <c r="B2" s="33"/>
      <c r="C2" s="33"/>
      <c r="D2" s="33"/>
      <c r="E2" s="33"/>
      <c r="F2" s="33"/>
      <c r="Q2" t="s">
        <v>926</v>
      </c>
      <c r="R2" t="s">
        <v>918</v>
      </c>
      <c r="S2" t="s">
        <v>919</v>
      </c>
      <c r="T2" t="s">
        <v>927</v>
      </c>
      <c r="U2" t="s">
        <v>928</v>
      </c>
      <c r="V2" t="s">
        <v>929</v>
      </c>
      <c r="W2" t="s">
        <v>930</v>
      </c>
    </row>
    <row r="3" spans="1:23" x14ac:dyDescent="0.3">
      <c r="Q3">
        <f>(ROW()-3)*10</f>
        <v>0</v>
      </c>
      <c r="R3">
        <f>$C$34+$C$34*COS(RADIANS(Q3))</f>
        <v>750</v>
      </c>
      <c r="S3">
        <f>$C$34+$C$34*SIN(RADIANS(Q3))</f>
        <v>375</v>
      </c>
      <c r="T3">
        <f>$C$34+($C$34-$C$10)*COS(RADIANS(Q3))</f>
        <v>675</v>
      </c>
      <c r="U3">
        <f>$C$34+($C$34-$C$10)*SIN(RADIANS(Q3))</f>
        <v>375</v>
      </c>
      <c r="V3">
        <f>IF(ROW()-2&lt;=$C$11,$C$34+$C$37*COS(RADIANS((ROW()-3)*360/$C$11)),NA())</f>
        <v>655</v>
      </c>
      <c r="W3">
        <f>IF(ROW()-2&lt;=$C$11,$C$34+$C$37*SIN(RADIANS((ROW()-3)*360/$C$11)),NA())</f>
        <v>375</v>
      </c>
    </row>
    <row r="4" spans="1:23" x14ac:dyDescent="0.3">
      <c r="A4" s="4" t="s">
        <v>2</v>
      </c>
      <c r="B4" s="4"/>
      <c r="C4" s="4"/>
      <c r="D4" s="4"/>
      <c r="E4" s="4"/>
      <c r="F4" s="4"/>
      <c r="Q4">
        <f t="shared" ref="Q4:Q39" si="0">(ROW()-3)*10</f>
        <v>10</v>
      </c>
      <c r="R4">
        <f t="shared" ref="R4:R39" si="1">$C$34+$C$34*COS(RADIANS(Q4))</f>
        <v>744.30290737957807</v>
      </c>
      <c r="S4">
        <f t="shared" ref="S4:S39" si="2">$C$34+$C$34*SIN(RADIANS(Q4))</f>
        <v>440.11806662509889</v>
      </c>
      <c r="T4">
        <f t="shared" ref="T4:T39" si="3">$C$34+($C$34-$C$10)*COS(RADIANS(Q4))</f>
        <v>670.44232590366232</v>
      </c>
      <c r="U4">
        <f t="shared" ref="U4:U39" si="4">$C$34+($C$34-$C$10)*SIN(RADIANS(Q4))</f>
        <v>427.09445330007912</v>
      </c>
      <c r="V4">
        <f t="shared" ref="V4:V26" si="5">IF(ROW()-2&lt;=$C$11,$C$34+$C$37*COS(RADIANS((ROW()-3)*360/$C$11)),NA())</f>
        <v>572.98989873223331</v>
      </c>
      <c r="W4">
        <f t="shared" ref="W4:W26" si="6">IF(ROW()-2&lt;=$C$11,$C$34+$C$37*SIN(RADIANS((ROW()-3)*360/$C$11)),NA())</f>
        <v>572.98989873223331</v>
      </c>
    </row>
    <row r="5" spans="1:23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Q5">
        <f t="shared" si="0"/>
        <v>20</v>
      </c>
      <c r="R5">
        <f t="shared" si="1"/>
        <v>727.38473279471566</v>
      </c>
      <c r="S5">
        <f t="shared" si="2"/>
        <v>503.25755374712577</v>
      </c>
      <c r="T5">
        <f t="shared" si="3"/>
        <v>656.90778623577251</v>
      </c>
      <c r="U5">
        <f t="shared" si="4"/>
        <v>477.60604299770063</v>
      </c>
      <c r="V5">
        <f t="shared" si="5"/>
        <v>375</v>
      </c>
      <c r="W5">
        <f t="shared" si="6"/>
        <v>655</v>
      </c>
    </row>
    <row r="6" spans="1:23" x14ac:dyDescent="0.3">
      <c r="A6" t="s">
        <v>9</v>
      </c>
      <c r="B6" t="s">
        <v>10</v>
      </c>
      <c r="C6" s="14">
        <v>1000</v>
      </c>
      <c r="D6" t="s">
        <v>11</v>
      </c>
      <c r="E6" s="40" t="s">
        <v>361</v>
      </c>
      <c r="F6" s="11" t="s">
        <v>12</v>
      </c>
      <c r="Q6">
        <f t="shared" si="0"/>
        <v>30</v>
      </c>
      <c r="R6">
        <f t="shared" si="1"/>
        <v>699.75952641916456</v>
      </c>
      <c r="S6">
        <f t="shared" si="2"/>
        <v>562.5</v>
      </c>
      <c r="T6">
        <f t="shared" si="3"/>
        <v>634.8076211353316</v>
      </c>
      <c r="U6">
        <f t="shared" si="4"/>
        <v>525</v>
      </c>
      <c r="V6">
        <f t="shared" si="5"/>
        <v>177.01010126776671</v>
      </c>
      <c r="W6">
        <f t="shared" si="6"/>
        <v>572.98989873223331</v>
      </c>
    </row>
    <row r="7" spans="1:23" x14ac:dyDescent="0.3">
      <c r="A7" t="s">
        <v>13</v>
      </c>
      <c r="B7" t="s">
        <v>14</v>
      </c>
      <c r="C7" s="14">
        <v>300</v>
      </c>
      <c r="D7" t="s">
        <v>11</v>
      </c>
      <c r="E7" s="40" t="s">
        <v>15</v>
      </c>
      <c r="F7" s="11"/>
      <c r="Q7">
        <f t="shared" si="0"/>
        <v>40</v>
      </c>
      <c r="R7">
        <f t="shared" si="1"/>
        <v>662.26666616961677</v>
      </c>
      <c r="S7">
        <f t="shared" si="2"/>
        <v>616.04535363245225</v>
      </c>
      <c r="T7">
        <f t="shared" si="3"/>
        <v>604.81333293569344</v>
      </c>
      <c r="U7">
        <f t="shared" si="4"/>
        <v>567.83628290596175</v>
      </c>
      <c r="V7">
        <f t="shared" si="5"/>
        <v>95</v>
      </c>
      <c r="W7">
        <f t="shared" si="6"/>
        <v>375.00000000000006</v>
      </c>
    </row>
    <row r="8" spans="1:23" x14ac:dyDescent="0.3">
      <c r="A8" t="s">
        <v>16</v>
      </c>
      <c r="B8" t="s">
        <v>17</v>
      </c>
      <c r="C8" s="14">
        <v>300</v>
      </c>
      <c r="D8" t="s">
        <v>18</v>
      </c>
      <c r="E8" s="40" t="s">
        <v>361</v>
      </c>
      <c r="F8" s="11"/>
      <c r="Q8">
        <f t="shared" si="0"/>
        <v>50</v>
      </c>
      <c r="R8">
        <f t="shared" si="1"/>
        <v>616.04535363245225</v>
      </c>
      <c r="S8">
        <f t="shared" si="2"/>
        <v>662.26666616961677</v>
      </c>
      <c r="T8">
        <f t="shared" si="3"/>
        <v>567.83628290596175</v>
      </c>
      <c r="U8">
        <f t="shared" si="4"/>
        <v>604.81333293569344</v>
      </c>
      <c r="V8">
        <f t="shared" si="5"/>
        <v>177.01010126776666</v>
      </c>
      <c r="W8">
        <f t="shared" si="6"/>
        <v>177.01010126776671</v>
      </c>
    </row>
    <row r="9" spans="1:23" x14ac:dyDescent="0.3">
      <c r="A9" t="s">
        <v>19</v>
      </c>
      <c r="B9" t="s">
        <v>20</v>
      </c>
      <c r="C9" s="14">
        <v>750</v>
      </c>
      <c r="D9" t="s">
        <v>21</v>
      </c>
      <c r="E9" s="40" t="s">
        <v>22</v>
      </c>
      <c r="F9" s="11"/>
      <c r="Q9">
        <f t="shared" si="0"/>
        <v>60</v>
      </c>
      <c r="R9">
        <f t="shared" si="1"/>
        <v>562.5</v>
      </c>
      <c r="S9">
        <f t="shared" si="2"/>
        <v>699.75952641916456</v>
      </c>
      <c r="T9">
        <f t="shared" si="3"/>
        <v>525</v>
      </c>
      <c r="U9">
        <f t="shared" si="4"/>
        <v>634.8076211353316</v>
      </c>
      <c r="V9">
        <f t="shared" si="5"/>
        <v>374.99999999999994</v>
      </c>
      <c r="W9">
        <f t="shared" si="6"/>
        <v>95</v>
      </c>
    </row>
    <row r="10" spans="1:23" x14ac:dyDescent="0.3">
      <c r="A10" t="s">
        <v>23</v>
      </c>
      <c r="B10" t="s">
        <v>24</v>
      </c>
      <c r="C10" s="14">
        <v>75</v>
      </c>
      <c r="D10" t="s">
        <v>21</v>
      </c>
      <c r="E10" s="40" t="s">
        <v>25</v>
      </c>
      <c r="F10" s="11"/>
      <c r="Q10">
        <f t="shared" si="0"/>
        <v>70</v>
      </c>
      <c r="R10">
        <f t="shared" si="1"/>
        <v>503.25755374712583</v>
      </c>
      <c r="S10">
        <f t="shared" si="2"/>
        <v>727.38473279471555</v>
      </c>
      <c r="T10">
        <f t="shared" si="3"/>
        <v>477.60604299770063</v>
      </c>
      <c r="U10">
        <f t="shared" si="4"/>
        <v>656.90778623577251</v>
      </c>
      <c r="V10">
        <f t="shared" si="5"/>
        <v>572.98989873223331</v>
      </c>
      <c r="W10">
        <f t="shared" si="6"/>
        <v>177.01010126776666</v>
      </c>
    </row>
    <row r="11" spans="1:23" x14ac:dyDescent="0.3">
      <c r="A11" t="s">
        <v>26</v>
      </c>
      <c r="B11" t="s">
        <v>27</v>
      </c>
      <c r="C11" s="14">
        <v>8</v>
      </c>
      <c r="D11" t="s">
        <v>28</v>
      </c>
      <c r="E11" s="40" t="s">
        <v>29</v>
      </c>
      <c r="F11" s="11" t="s">
        <v>30</v>
      </c>
      <c r="Q11">
        <f t="shared" si="0"/>
        <v>80</v>
      </c>
      <c r="R11">
        <f t="shared" si="1"/>
        <v>440.11806662509889</v>
      </c>
      <c r="S11">
        <f t="shared" si="2"/>
        <v>744.30290737957807</v>
      </c>
      <c r="T11">
        <f t="shared" si="3"/>
        <v>427.09445330007912</v>
      </c>
      <c r="U11">
        <f t="shared" si="4"/>
        <v>670.44232590366232</v>
      </c>
      <c r="V11" t="e">
        <f t="shared" si="5"/>
        <v>#N/A</v>
      </c>
      <c r="W11" t="e">
        <f t="shared" si="6"/>
        <v>#N/A</v>
      </c>
    </row>
    <row r="12" spans="1:23" x14ac:dyDescent="0.3">
      <c r="A12" t="s">
        <v>31</v>
      </c>
      <c r="B12" t="s">
        <v>32</v>
      </c>
      <c r="C12" s="101">
        <v>20</v>
      </c>
      <c r="D12" t="s">
        <v>21</v>
      </c>
      <c r="E12" s="40" t="s">
        <v>29</v>
      </c>
      <c r="F12" s="11" t="s">
        <v>33</v>
      </c>
      <c r="Q12">
        <f t="shared" si="0"/>
        <v>90</v>
      </c>
      <c r="R12">
        <f t="shared" si="1"/>
        <v>375</v>
      </c>
      <c r="S12">
        <f t="shared" si="2"/>
        <v>750</v>
      </c>
      <c r="T12">
        <f t="shared" si="3"/>
        <v>375</v>
      </c>
      <c r="U12">
        <f t="shared" si="4"/>
        <v>675</v>
      </c>
      <c r="V12" t="e">
        <f t="shared" si="5"/>
        <v>#N/A</v>
      </c>
      <c r="W12" t="e">
        <f t="shared" si="6"/>
        <v>#N/A</v>
      </c>
    </row>
    <row r="13" spans="1:23" x14ac:dyDescent="0.3">
      <c r="A13" t="s">
        <v>34</v>
      </c>
      <c r="B13" t="s">
        <v>35</v>
      </c>
      <c r="C13" s="101">
        <v>10</v>
      </c>
      <c r="D13" t="s">
        <v>21</v>
      </c>
      <c r="E13" s="40" t="s">
        <v>36</v>
      </c>
      <c r="F13" s="11" t="s">
        <v>37</v>
      </c>
      <c r="Q13">
        <f t="shared" si="0"/>
        <v>100</v>
      </c>
      <c r="R13">
        <f t="shared" si="1"/>
        <v>309.88193337490111</v>
      </c>
      <c r="S13">
        <f t="shared" si="2"/>
        <v>744.30290737957807</v>
      </c>
      <c r="T13">
        <f t="shared" si="3"/>
        <v>322.90554669992093</v>
      </c>
      <c r="U13">
        <f t="shared" si="4"/>
        <v>670.44232590366232</v>
      </c>
      <c r="V13" t="e">
        <f t="shared" si="5"/>
        <v>#N/A</v>
      </c>
      <c r="W13" t="e">
        <f t="shared" si="6"/>
        <v>#N/A</v>
      </c>
    </row>
    <row r="14" spans="1:23" x14ac:dyDescent="0.3">
      <c r="A14" t="s">
        <v>38</v>
      </c>
      <c r="B14" t="s">
        <v>39</v>
      </c>
      <c r="C14" s="14">
        <v>150</v>
      </c>
      <c r="D14" t="s">
        <v>21</v>
      </c>
      <c r="E14" s="40" t="s">
        <v>40</v>
      </c>
      <c r="F14" s="11"/>
      <c r="Q14">
        <f t="shared" si="0"/>
        <v>110</v>
      </c>
      <c r="R14">
        <f t="shared" si="1"/>
        <v>246.74244625287423</v>
      </c>
      <c r="S14">
        <f t="shared" si="2"/>
        <v>727.38473279471566</v>
      </c>
      <c r="T14">
        <f t="shared" si="3"/>
        <v>272.39395700229937</v>
      </c>
      <c r="U14">
        <f t="shared" si="4"/>
        <v>656.90778623577251</v>
      </c>
      <c r="V14" t="e">
        <f t="shared" si="5"/>
        <v>#N/A</v>
      </c>
      <c r="W14" t="e">
        <f t="shared" si="6"/>
        <v>#N/A</v>
      </c>
    </row>
    <row r="15" spans="1:23" x14ac:dyDescent="0.3">
      <c r="A15" t="s">
        <v>41</v>
      </c>
      <c r="B15" t="s">
        <v>42</v>
      </c>
      <c r="C15" s="91">
        <f>_xlfn.XLOOKUP(F15,Aceros_DIN!$A$35:$A$43,Aceros_DIN!$B$35:$B$43)</f>
        <v>25</v>
      </c>
      <c r="D15" t="s">
        <v>43</v>
      </c>
      <c r="E15" s="40" t="s">
        <v>44</v>
      </c>
      <c r="F15" s="89" t="s">
        <v>952</v>
      </c>
      <c r="Q15">
        <f t="shared" si="0"/>
        <v>120</v>
      </c>
      <c r="R15">
        <f t="shared" si="1"/>
        <v>187.50000000000009</v>
      </c>
      <c r="S15">
        <f t="shared" si="2"/>
        <v>699.75952641916456</v>
      </c>
      <c r="T15">
        <f t="shared" si="3"/>
        <v>225.00000000000006</v>
      </c>
      <c r="U15">
        <f t="shared" si="4"/>
        <v>634.8076211353316</v>
      </c>
      <c r="V15" t="e">
        <f t="shared" si="5"/>
        <v>#N/A</v>
      </c>
      <c r="W15" t="e">
        <f t="shared" si="6"/>
        <v>#N/A</v>
      </c>
    </row>
    <row r="16" spans="1:23" x14ac:dyDescent="0.3">
      <c r="A16" t="s">
        <v>45</v>
      </c>
      <c r="B16" t="s">
        <v>46</v>
      </c>
      <c r="C16" s="91">
        <f>_xlfn.XLOOKUP(F16,Aceros_DIN!$A$47:$A$49,Aceros_DIN!$B$47:$B$49)</f>
        <v>500</v>
      </c>
      <c r="D16" t="s">
        <v>43</v>
      </c>
      <c r="E16" s="40" t="s">
        <v>47</v>
      </c>
      <c r="F16" s="89" t="s">
        <v>966</v>
      </c>
      <c r="Q16">
        <f t="shared" si="0"/>
        <v>130</v>
      </c>
      <c r="R16">
        <f t="shared" si="1"/>
        <v>133.95464636754775</v>
      </c>
      <c r="S16">
        <f t="shared" si="2"/>
        <v>662.26666616961677</v>
      </c>
      <c r="T16">
        <f t="shared" si="3"/>
        <v>182.16371709403819</v>
      </c>
      <c r="U16">
        <f t="shared" si="4"/>
        <v>604.81333293569344</v>
      </c>
      <c r="V16" t="e">
        <f t="shared" si="5"/>
        <v>#N/A</v>
      </c>
      <c r="W16" t="e">
        <f t="shared" si="6"/>
        <v>#N/A</v>
      </c>
    </row>
    <row r="17" spans="1:23" x14ac:dyDescent="0.3">
      <c r="A17" t="s">
        <v>48</v>
      </c>
      <c r="B17" t="s">
        <v>49</v>
      </c>
      <c r="C17" s="15">
        <v>1.5</v>
      </c>
      <c r="D17" t="s">
        <v>28</v>
      </c>
      <c r="E17" s="40" t="s">
        <v>50</v>
      </c>
      <c r="F17" s="11"/>
      <c r="Q17">
        <f t="shared" si="0"/>
        <v>140</v>
      </c>
      <c r="R17">
        <f t="shared" si="1"/>
        <v>87.733333830383287</v>
      </c>
      <c r="S17">
        <f t="shared" si="2"/>
        <v>616.04535363245236</v>
      </c>
      <c r="T17">
        <f t="shared" si="3"/>
        <v>145.18666706430662</v>
      </c>
      <c r="U17">
        <f t="shared" si="4"/>
        <v>567.83628290596187</v>
      </c>
      <c r="V17" t="e">
        <f t="shared" si="5"/>
        <v>#N/A</v>
      </c>
      <c r="W17" t="e">
        <f t="shared" si="6"/>
        <v>#N/A</v>
      </c>
    </row>
    <row r="18" spans="1:23" x14ac:dyDescent="0.3">
      <c r="A18" t="s">
        <v>51</v>
      </c>
      <c r="B18" t="s">
        <v>52</v>
      </c>
      <c r="C18" s="15">
        <v>1.1499999999999999</v>
      </c>
      <c r="D18" t="s">
        <v>28</v>
      </c>
      <c r="E18" s="40" t="s">
        <v>50</v>
      </c>
      <c r="F18" s="11"/>
      <c r="Q18">
        <f t="shared" si="0"/>
        <v>150</v>
      </c>
      <c r="R18">
        <f t="shared" si="1"/>
        <v>50.240473580835499</v>
      </c>
      <c r="S18">
        <f t="shared" si="2"/>
        <v>562.5</v>
      </c>
      <c r="T18">
        <f t="shared" si="3"/>
        <v>115.1923788646684</v>
      </c>
      <c r="U18">
        <f t="shared" si="4"/>
        <v>525</v>
      </c>
      <c r="V18" t="e">
        <f t="shared" si="5"/>
        <v>#N/A</v>
      </c>
      <c r="W18" t="e">
        <f t="shared" si="6"/>
        <v>#N/A</v>
      </c>
    </row>
    <row r="19" spans="1:23" x14ac:dyDescent="0.3">
      <c r="A19" t="s">
        <v>1036</v>
      </c>
      <c r="B19" t="s">
        <v>1037</v>
      </c>
      <c r="C19" s="15">
        <v>1</v>
      </c>
      <c r="D19" t="s">
        <v>28</v>
      </c>
      <c r="E19" s="40" t="s">
        <v>1038</v>
      </c>
      <c r="F19" s="11" t="s">
        <v>1039</v>
      </c>
      <c r="Q19">
        <f t="shared" si="0"/>
        <v>160</v>
      </c>
      <c r="R19">
        <f t="shared" si="1"/>
        <v>22.615267205284397</v>
      </c>
      <c r="S19">
        <f t="shared" si="2"/>
        <v>503.25755374712583</v>
      </c>
      <c r="T19">
        <f t="shared" si="3"/>
        <v>93.092213764227495</v>
      </c>
      <c r="U19">
        <f t="shared" si="4"/>
        <v>477.60604299770068</v>
      </c>
      <c r="V19" t="e">
        <f t="shared" si="5"/>
        <v>#N/A</v>
      </c>
      <c r="W19" t="e">
        <f t="shared" si="6"/>
        <v>#N/A</v>
      </c>
    </row>
    <row r="20" spans="1:23" x14ac:dyDescent="0.3">
      <c r="A20" t="s">
        <v>56</v>
      </c>
      <c r="B20" t="s">
        <v>57</v>
      </c>
      <c r="C20" s="14">
        <v>3000</v>
      </c>
      <c r="D20" t="s">
        <v>21</v>
      </c>
      <c r="E20" s="40" t="s">
        <v>58</v>
      </c>
      <c r="F20" s="11"/>
      <c r="Q20">
        <f t="shared" si="0"/>
        <v>170</v>
      </c>
      <c r="R20">
        <f t="shared" si="1"/>
        <v>5.6970926204219836</v>
      </c>
      <c r="S20">
        <f t="shared" si="2"/>
        <v>440.11806662509883</v>
      </c>
      <c r="T20">
        <f t="shared" si="3"/>
        <v>79.557674096337621</v>
      </c>
      <c r="U20">
        <f t="shared" si="4"/>
        <v>427.09445330007907</v>
      </c>
      <c r="V20" t="e">
        <f t="shared" si="5"/>
        <v>#N/A</v>
      </c>
      <c r="W20" t="e">
        <f t="shared" si="6"/>
        <v>#N/A</v>
      </c>
    </row>
    <row r="21" spans="1:23" x14ac:dyDescent="0.3">
      <c r="A21" t="s">
        <v>59</v>
      </c>
      <c r="B21" t="s">
        <v>60</v>
      </c>
      <c r="C21" s="15">
        <v>0</v>
      </c>
      <c r="D21" t="s">
        <v>28</v>
      </c>
      <c r="E21" s="40" t="s">
        <v>61</v>
      </c>
      <c r="F21" s="11"/>
      <c r="Q21">
        <f t="shared" si="0"/>
        <v>180</v>
      </c>
      <c r="R21">
        <f t="shared" si="1"/>
        <v>0</v>
      </c>
      <c r="S21">
        <f t="shared" si="2"/>
        <v>375.00000000000006</v>
      </c>
      <c r="T21">
        <f t="shared" si="3"/>
        <v>75</v>
      </c>
      <c r="U21">
        <f t="shared" si="4"/>
        <v>375.00000000000006</v>
      </c>
      <c r="V21" t="e">
        <f t="shared" si="5"/>
        <v>#N/A</v>
      </c>
      <c r="W21" t="e">
        <f t="shared" si="6"/>
        <v>#N/A</v>
      </c>
    </row>
    <row r="22" spans="1:23" x14ac:dyDescent="0.3">
      <c r="E22" s="40"/>
      <c r="F22" s="11"/>
      <c r="Q22">
        <f t="shared" si="0"/>
        <v>190</v>
      </c>
      <c r="R22">
        <f t="shared" si="1"/>
        <v>5.6970926204219836</v>
      </c>
      <c r="S22">
        <f t="shared" si="2"/>
        <v>309.88193337490105</v>
      </c>
      <c r="T22">
        <f t="shared" si="3"/>
        <v>79.557674096337621</v>
      </c>
      <c r="U22">
        <f t="shared" si="4"/>
        <v>322.90554669992088</v>
      </c>
      <c r="V22" t="e">
        <f t="shared" si="5"/>
        <v>#N/A</v>
      </c>
      <c r="W22" t="e">
        <f t="shared" si="6"/>
        <v>#N/A</v>
      </c>
    </row>
    <row r="23" spans="1:23" x14ac:dyDescent="0.3">
      <c r="A23" s="4" t="s">
        <v>62</v>
      </c>
      <c r="B23" s="4"/>
      <c r="C23" s="4"/>
      <c r="D23" s="4"/>
      <c r="E23" s="41"/>
      <c r="F23" s="12"/>
      <c r="Q23">
        <f t="shared" si="0"/>
        <v>200</v>
      </c>
      <c r="R23">
        <f t="shared" si="1"/>
        <v>22.61526720528434</v>
      </c>
      <c r="S23">
        <f t="shared" si="2"/>
        <v>246.74244625287426</v>
      </c>
      <c r="T23">
        <f t="shared" si="3"/>
        <v>93.092213764227495</v>
      </c>
      <c r="U23">
        <f t="shared" si="4"/>
        <v>272.39395700229943</v>
      </c>
      <c r="V23" t="e">
        <f t="shared" si="5"/>
        <v>#N/A</v>
      </c>
      <c r="W23" t="e">
        <f t="shared" si="6"/>
        <v>#N/A</v>
      </c>
    </row>
    <row r="24" spans="1:23" x14ac:dyDescent="0.3">
      <c r="A24" t="s">
        <v>63</v>
      </c>
      <c r="B24" t="s">
        <v>64</v>
      </c>
      <c r="C24" s="16">
        <f>MIN((40/C15)^(1/3),1)*C19*C15/C17</f>
        <v>16.666666666666668</v>
      </c>
      <c r="D24" t="s">
        <v>43</v>
      </c>
      <c r="E24" s="40" t="s">
        <v>1043</v>
      </c>
      <c r="F24" s="11" t="s">
        <v>1044</v>
      </c>
      <c r="Q24">
        <f t="shared" si="0"/>
        <v>210</v>
      </c>
      <c r="R24">
        <f t="shared" si="1"/>
        <v>50.240473580835499</v>
      </c>
      <c r="S24">
        <f t="shared" si="2"/>
        <v>187.49999999999997</v>
      </c>
      <c r="T24">
        <f t="shared" si="3"/>
        <v>115.1923788646684</v>
      </c>
      <c r="U24">
        <f t="shared" si="4"/>
        <v>224.99999999999997</v>
      </c>
      <c r="V24" t="e">
        <f t="shared" si="5"/>
        <v>#N/A</v>
      </c>
      <c r="W24" t="e">
        <f t="shared" si="6"/>
        <v>#N/A</v>
      </c>
    </row>
    <row r="25" spans="1:23" x14ac:dyDescent="0.3">
      <c r="A25" t="s">
        <v>67</v>
      </c>
      <c r="B25" t="s">
        <v>68</v>
      </c>
      <c r="C25" s="16">
        <f>IF(C15&lt;=50,0.3*C15^(2/3),2.12*LN(1+(C15+8)/10))</f>
        <v>2.5649639200150443</v>
      </c>
      <c r="D25" t="s">
        <v>43</v>
      </c>
      <c r="E25" s="40" t="s">
        <v>1045</v>
      </c>
      <c r="F25" s="11"/>
      <c r="Q25">
        <f t="shared" si="0"/>
        <v>220</v>
      </c>
      <c r="R25">
        <f t="shared" si="1"/>
        <v>87.733333830383231</v>
      </c>
      <c r="S25">
        <f t="shared" si="2"/>
        <v>133.95464636754778</v>
      </c>
      <c r="T25">
        <f t="shared" si="3"/>
        <v>145.18666706430659</v>
      </c>
      <c r="U25">
        <f t="shared" si="4"/>
        <v>182.16371709403822</v>
      </c>
      <c r="V25" t="e">
        <f t="shared" si="5"/>
        <v>#N/A</v>
      </c>
      <c r="W25" t="e">
        <f t="shared" si="6"/>
        <v>#N/A</v>
      </c>
    </row>
    <row r="26" spans="1:23" x14ac:dyDescent="0.3">
      <c r="A26" t="s">
        <v>69</v>
      </c>
      <c r="B26" t="s">
        <v>70</v>
      </c>
      <c r="C26" s="16">
        <f>C16/C18</f>
        <v>434.78260869565219</v>
      </c>
      <c r="D26" t="s">
        <v>43</v>
      </c>
      <c r="E26" s="40" t="s">
        <v>1047</v>
      </c>
      <c r="F26" s="11"/>
      <c r="Q26">
        <f t="shared" si="0"/>
        <v>230</v>
      </c>
      <c r="R26">
        <f t="shared" si="1"/>
        <v>133.9546463675477</v>
      </c>
      <c r="S26">
        <f t="shared" si="2"/>
        <v>87.733333830383287</v>
      </c>
      <c r="T26">
        <f t="shared" si="3"/>
        <v>182.16371709403816</v>
      </c>
      <c r="U26">
        <f t="shared" si="4"/>
        <v>145.18666706430662</v>
      </c>
      <c r="V26" t="e">
        <f t="shared" si="5"/>
        <v>#N/A</v>
      </c>
      <c r="W26" t="e">
        <f t="shared" si="6"/>
        <v>#N/A</v>
      </c>
    </row>
    <row r="27" spans="1:23" x14ac:dyDescent="0.3">
      <c r="A27" t="s">
        <v>72</v>
      </c>
      <c r="B27" t="s">
        <v>73</v>
      </c>
      <c r="C27" s="17">
        <v>200000</v>
      </c>
      <c r="D27" t="s">
        <v>43</v>
      </c>
      <c r="E27" s="40" t="s">
        <v>1049</v>
      </c>
      <c r="F27" s="11"/>
      <c r="Q27">
        <f t="shared" si="0"/>
        <v>240</v>
      </c>
      <c r="R27">
        <f t="shared" si="1"/>
        <v>187.49999999999983</v>
      </c>
      <c r="S27">
        <f t="shared" si="2"/>
        <v>50.240473580835612</v>
      </c>
      <c r="T27">
        <f t="shared" si="3"/>
        <v>224.99999999999986</v>
      </c>
      <c r="U27">
        <f t="shared" si="4"/>
        <v>115.19237886466851</v>
      </c>
    </row>
    <row r="28" spans="1:23" x14ac:dyDescent="0.3">
      <c r="A28" t="s">
        <v>75</v>
      </c>
      <c r="B28" t="s">
        <v>76</v>
      </c>
      <c r="C28" s="18">
        <f>C26/C27</f>
        <v>2.1739130434782609E-3</v>
      </c>
      <c r="D28" t="s">
        <v>28</v>
      </c>
      <c r="E28" s="40" t="s">
        <v>1049</v>
      </c>
      <c r="F28" s="11"/>
      <c r="Q28">
        <f t="shared" si="0"/>
        <v>250</v>
      </c>
      <c r="R28">
        <f t="shared" si="1"/>
        <v>246.74244625287429</v>
      </c>
      <c r="S28">
        <f t="shared" si="2"/>
        <v>22.61526720528434</v>
      </c>
      <c r="T28">
        <f t="shared" si="3"/>
        <v>272.39395700229943</v>
      </c>
      <c r="U28">
        <f t="shared" si="4"/>
        <v>93.092213764227495</v>
      </c>
    </row>
    <row r="29" spans="1:23" x14ac:dyDescent="0.3">
      <c r="A29" t="s">
        <v>78</v>
      </c>
      <c r="B29" t="s">
        <v>79</v>
      </c>
      <c r="C29" s="19">
        <v>3.5</v>
      </c>
      <c r="D29" t="s">
        <v>80</v>
      </c>
      <c r="E29" s="40" t="s">
        <v>1048</v>
      </c>
      <c r="F29" s="11"/>
      <c r="Q29">
        <f t="shared" si="0"/>
        <v>260</v>
      </c>
      <c r="R29">
        <f t="shared" si="1"/>
        <v>309.88193337490111</v>
      </c>
      <c r="S29">
        <f t="shared" si="2"/>
        <v>5.6970926204219836</v>
      </c>
      <c r="T29">
        <f t="shared" si="3"/>
        <v>322.90554669992088</v>
      </c>
      <c r="U29">
        <f t="shared" si="4"/>
        <v>79.557674096337621</v>
      </c>
    </row>
    <row r="30" spans="1:23" x14ac:dyDescent="0.3">
      <c r="A30" t="s">
        <v>82</v>
      </c>
      <c r="B30" t="s">
        <v>83</v>
      </c>
      <c r="C30" s="19">
        <v>2</v>
      </c>
      <c r="D30" t="s">
        <v>80</v>
      </c>
      <c r="E30" s="40" t="s">
        <v>1192</v>
      </c>
      <c r="F30" s="11"/>
      <c r="Q30">
        <f t="shared" si="0"/>
        <v>270</v>
      </c>
      <c r="R30">
        <f t="shared" si="1"/>
        <v>374.99999999999994</v>
      </c>
      <c r="S30">
        <f t="shared" si="2"/>
        <v>0</v>
      </c>
      <c r="T30">
        <f t="shared" si="3"/>
        <v>374.99999999999994</v>
      </c>
      <c r="U30">
        <f t="shared" si="4"/>
        <v>75</v>
      </c>
    </row>
    <row r="31" spans="1:23" x14ac:dyDescent="0.3">
      <c r="A31" t="s">
        <v>85</v>
      </c>
      <c r="B31" t="s">
        <v>86</v>
      </c>
      <c r="C31" s="19">
        <v>25</v>
      </c>
      <c r="D31" t="s">
        <v>80</v>
      </c>
      <c r="E31" s="40" t="s">
        <v>1124</v>
      </c>
      <c r="F31" s="11"/>
      <c r="Q31">
        <f t="shared" si="0"/>
        <v>280</v>
      </c>
      <c r="R31">
        <f t="shared" si="1"/>
        <v>440.11806662509872</v>
      </c>
      <c r="S31">
        <f t="shared" si="2"/>
        <v>5.6970926204219268</v>
      </c>
      <c r="T31">
        <f t="shared" si="3"/>
        <v>427.09445330007901</v>
      </c>
      <c r="U31">
        <f t="shared" si="4"/>
        <v>79.557674096337564</v>
      </c>
    </row>
    <row r="32" spans="1:23" x14ac:dyDescent="0.3">
      <c r="E32" s="40"/>
      <c r="F32" s="11"/>
      <c r="Q32">
        <f t="shared" si="0"/>
        <v>290</v>
      </c>
      <c r="R32">
        <f t="shared" si="1"/>
        <v>503.25755374712588</v>
      </c>
      <c r="S32">
        <f t="shared" si="2"/>
        <v>22.615267205284397</v>
      </c>
      <c r="T32">
        <f t="shared" si="3"/>
        <v>477.60604299770068</v>
      </c>
      <c r="U32">
        <f t="shared" si="4"/>
        <v>93.092213764227495</v>
      </c>
    </row>
    <row r="33" spans="1:21" x14ac:dyDescent="0.3">
      <c r="A33" s="4" t="s">
        <v>88</v>
      </c>
      <c r="B33" s="4"/>
      <c r="C33" s="4"/>
      <c r="D33" s="4"/>
      <c r="E33" s="41"/>
      <c r="F33" s="12"/>
      <c r="Q33">
        <f t="shared" si="0"/>
        <v>300</v>
      </c>
      <c r="R33">
        <f t="shared" si="1"/>
        <v>562.5</v>
      </c>
      <c r="S33">
        <f t="shared" si="2"/>
        <v>50.240473580835499</v>
      </c>
      <c r="T33">
        <f t="shared" si="3"/>
        <v>525</v>
      </c>
      <c r="U33">
        <f t="shared" si="4"/>
        <v>115.1923788646684</v>
      </c>
    </row>
    <row r="34" spans="1:21" x14ac:dyDescent="0.3">
      <c r="A34" t="s">
        <v>89</v>
      </c>
      <c r="B34" t="s">
        <v>90</v>
      </c>
      <c r="C34" s="20">
        <f>C9/2</f>
        <v>375</v>
      </c>
      <c r="D34" t="s">
        <v>21</v>
      </c>
      <c r="E34" s="40"/>
      <c r="F34" s="11"/>
      <c r="Q34">
        <f t="shared" si="0"/>
        <v>310</v>
      </c>
      <c r="R34">
        <f t="shared" si="1"/>
        <v>616.04535363245225</v>
      </c>
      <c r="S34">
        <f t="shared" si="2"/>
        <v>87.733333830383231</v>
      </c>
      <c r="T34">
        <f t="shared" si="3"/>
        <v>567.83628290596175</v>
      </c>
      <c r="U34">
        <f t="shared" si="4"/>
        <v>145.18666706430656</v>
      </c>
    </row>
    <row r="35" spans="1:21" x14ac:dyDescent="0.3">
      <c r="A35" t="s">
        <v>91</v>
      </c>
      <c r="B35" t="s">
        <v>92</v>
      </c>
      <c r="C35" s="20">
        <f>PI()*C9^2/4</f>
        <v>441786.46691106464</v>
      </c>
      <c r="D35" t="s">
        <v>93</v>
      </c>
      <c r="E35" s="40"/>
      <c r="F35" s="11"/>
      <c r="Q35">
        <f t="shared" si="0"/>
        <v>320</v>
      </c>
      <c r="R35">
        <f t="shared" si="1"/>
        <v>662.26666616961666</v>
      </c>
      <c r="S35">
        <f t="shared" si="2"/>
        <v>133.95464636754767</v>
      </c>
      <c r="T35">
        <f t="shared" si="3"/>
        <v>604.81333293569332</v>
      </c>
      <c r="U35">
        <f t="shared" si="4"/>
        <v>182.16371709403813</v>
      </c>
    </row>
    <row r="36" spans="1:21" x14ac:dyDescent="0.3">
      <c r="A36" t="s">
        <v>94</v>
      </c>
      <c r="B36" t="s">
        <v>95</v>
      </c>
      <c r="C36" s="16">
        <f>C10+C13+C12/2</f>
        <v>95</v>
      </c>
      <c r="D36" t="s">
        <v>21</v>
      </c>
      <c r="E36" s="40" t="s">
        <v>96</v>
      </c>
      <c r="F36" s="11"/>
      <c r="Q36">
        <f t="shared" si="0"/>
        <v>330</v>
      </c>
      <c r="R36">
        <f t="shared" si="1"/>
        <v>699.75952641916433</v>
      </c>
      <c r="S36">
        <f t="shared" si="2"/>
        <v>187.49999999999983</v>
      </c>
      <c r="T36">
        <f t="shared" si="3"/>
        <v>634.80762113533149</v>
      </c>
      <c r="U36">
        <f t="shared" si="4"/>
        <v>224.99999999999986</v>
      </c>
    </row>
    <row r="37" spans="1:21" x14ac:dyDescent="0.3">
      <c r="A37" t="s">
        <v>97</v>
      </c>
      <c r="B37" t="s">
        <v>98</v>
      </c>
      <c r="C37" s="16">
        <f>C34-C36</f>
        <v>280</v>
      </c>
      <c r="D37" t="s">
        <v>21</v>
      </c>
      <c r="E37" s="40"/>
      <c r="F37" s="11"/>
      <c r="Q37">
        <f t="shared" si="0"/>
        <v>340</v>
      </c>
      <c r="R37">
        <f t="shared" si="1"/>
        <v>727.38473279471566</v>
      </c>
      <c r="S37">
        <f t="shared" si="2"/>
        <v>246.74244625287429</v>
      </c>
      <c r="T37">
        <f t="shared" si="3"/>
        <v>656.90778623577251</v>
      </c>
      <c r="U37">
        <f t="shared" si="4"/>
        <v>272.39395700229943</v>
      </c>
    </row>
    <row r="38" spans="1:21" x14ac:dyDescent="0.3">
      <c r="A38" t="s">
        <v>99</v>
      </c>
      <c r="B38" t="s">
        <v>100</v>
      </c>
      <c r="C38" s="16">
        <f>C34+2*C37/PI()</f>
        <v>553.25353626292281</v>
      </c>
      <c r="D38" t="s">
        <v>21</v>
      </c>
      <c r="E38" s="40" t="s">
        <v>101</v>
      </c>
      <c r="F38" s="11"/>
      <c r="Q38">
        <f t="shared" si="0"/>
        <v>350</v>
      </c>
      <c r="R38">
        <f t="shared" si="1"/>
        <v>744.30290737957807</v>
      </c>
      <c r="S38">
        <f t="shared" si="2"/>
        <v>309.88193337490111</v>
      </c>
      <c r="T38">
        <f t="shared" si="3"/>
        <v>670.44232590366232</v>
      </c>
      <c r="U38">
        <f t="shared" si="4"/>
        <v>322.90554669992088</v>
      </c>
    </row>
    <row r="39" spans="1:21" x14ac:dyDescent="0.3">
      <c r="A39" t="s">
        <v>102</v>
      </c>
      <c r="B39" t="s">
        <v>103</v>
      </c>
      <c r="C39" s="16">
        <f>0.9*C38</f>
        <v>497.92818263663054</v>
      </c>
      <c r="D39" t="s">
        <v>21</v>
      </c>
      <c r="E39" s="40" t="s">
        <v>104</v>
      </c>
      <c r="F39" s="11"/>
      <c r="Q39">
        <f t="shared" si="0"/>
        <v>360</v>
      </c>
      <c r="R39">
        <f t="shared" si="1"/>
        <v>750</v>
      </c>
      <c r="S39">
        <f t="shared" si="2"/>
        <v>374.99999999999989</v>
      </c>
      <c r="T39">
        <f t="shared" si="3"/>
        <v>675</v>
      </c>
      <c r="U39">
        <f t="shared" si="4"/>
        <v>374.99999999999994</v>
      </c>
    </row>
    <row r="40" spans="1:21" x14ac:dyDescent="0.3">
      <c r="A40" t="s">
        <v>105</v>
      </c>
      <c r="B40" t="s">
        <v>106</v>
      </c>
      <c r="C40" s="16">
        <f>C11*PI()*C12^2/4</f>
        <v>2513.2741228718346</v>
      </c>
      <c r="D40" t="s">
        <v>93</v>
      </c>
      <c r="E40" s="40"/>
      <c r="F40" s="11"/>
    </row>
    <row r="41" spans="1:21" x14ac:dyDescent="0.3">
      <c r="A41" t="s">
        <v>107</v>
      </c>
      <c r="B41" t="s">
        <v>108</v>
      </c>
      <c r="C41" s="16">
        <f>PI()*2*C37/C11-C12</f>
        <v>199.91148575128551</v>
      </c>
      <c r="D41" t="s">
        <v>21</v>
      </c>
      <c r="E41" s="40" t="s">
        <v>109</v>
      </c>
      <c r="F41" s="11" t="s">
        <v>110</v>
      </c>
    </row>
    <row r="42" spans="1:21" x14ac:dyDescent="0.3">
      <c r="E42" s="40"/>
      <c r="F42" s="11"/>
    </row>
    <row r="43" spans="1:21" x14ac:dyDescent="0.3">
      <c r="A43" s="4" t="s">
        <v>111</v>
      </c>
      <c r="B43" s="4"/>
      <c r="C43" s="4"/>
      <c r="D43" s="4"/>
      <c r="E43" s="41"/>
      <c r="F43" s="12"/>
    </row>
    <row r="44" spans="1:21" x14ac:dyDescent="0.3">
      <c r="A44" t="s">
        <v>112</v>
      </c>
      <c r="B44" t="s">
        <v>113</v>
      </c>
      <c r="C44" s="16">
        <f>C9/4</f>
        <v>187.5</v>
      </c>
      <c r="D44" t="s">
        <v>21</v>
      </c>
      <c r="E44" s="40" t="s">
        <v>1213</v>
      </c>
      <c r="F44" s="11" t="s">
        <v>115</v>
      </c>
    </row>
    <row r="45" spans="1:21" x14ac:dyDescent="0.3">
      <c r="A45" t="s">
        <v>116</v>
      </c>
      <c r="B45" t="s">
        <v>117</v>
      </c>
      <c r="C45" s="16">
        <f>IF(C20&gt;0,C20/C44,0)</f>
        <v>16</v>
      </c>
      <c r="D45" t="s">
        <v>28</v>
      </c>
      <c r="E45" s="40" t="s">
        <v>1214</v>
      </c>
      <c r="F45" s="11"/>
    </row>
    <row r="46" spans="1:21" x14ac:dyDescent="0.3">
      <c r="A46" t="s">
        <v>119</v>
      </c>
      <c r="B46" t="s">
        <v>120</v>
      </c>
      <c r="C46" s="21">
        <f>C6*1000/(C35*C24)</f>
        <v>0.13581221810508404</v>
      </c>
      <c r="D46" t="s">
        <v>28</v>
      </c>
      <c r="E46" s="40" t="s">
        <v>1215</v>
      </c>
      <c r="F46" s="11"/>
    </row>
    <row r="47" spans="1:21" x14ac:dyDescent="0.3">
      <c r="A47" t="s">
        <v>122</v>
      </c>
      <c r="B47" t="s">
        <v>123</v>
      </c>
      <c r="C47" s="22">
        <f>IF(ABS(C46)&lt;=0.41,25,16/SQRT(ABS(C46)))</f>
        <v>25</v>
      </c>
      <c r="D47" t="s">
        <v>28</v>
      </c>
      <c r="E47" s="40" t="s">
        <v>1216</v>
      </c>
      <c r="F47" s="11" t="s">
        <v>125</v>
      </c>
    </row>
    <row r="48" spans="1:21" x14ac:dyDescent="0.3">
      <c r="A48" t="s">
        <v>126</v>
      </c>
      <c r="B48" t="s">
        <v>28</v>
      </c>
      <c r="C48" t="str">
        <f>IF(C45&gt;C47,"SÍ (λ &gt; λ_lim)","NO (λ ≤ λ_lim)")</f>
        <v>NO (λ ≤ λ_lim)</v>
      </c>
      <c r="E48" s="40" t="s">
        <v>1213</v>
      </c>
      <c r="F48" s="11"/>
    </row>
    <row r="49" spans="1:6" x14ac:dyDescent="0.3">
      <c r="A49" t="s">
        <v>128</v>
      </c>
      <c r="B49" t="s">
        <v>129</v>
      </c>
      <c r="C49" s="16">
        <f>C20/400</f>
        <v>7.5</v>
      </c>
      <c r="D49" t="s">
        <v>21</v>
      </c>
      <c r="E49" s="40" t="s">
        <v>1217</v>
      </c>
      <c r="F49" s="11"/>
    </row>
    <row r="50" spans="1:6" x14ac:dyDescent="0.3">
      <c r="A50" t="s">
        <v>131</v>
      </c>
      <c r="B50" t="s">
        <v>132</v>
      </c>
      <c r="C50" s="6">
        <v>1</v>
      </c>
      <c r="D50" t="s">
        <v>28</v>
      </c>
      <c r="E50" s="40" t="s">
        <v>1218</v>
      </c>
      <c r="F50" s="11" t="s">
        <v>134</v>
      </c>
    </row>
    <row r="51" spans="1:6" x14ac:dyDescent="0.3">
      <c r="A51" t="s">
        <v>135</v>
      </c>
      <c r="B51" t="s">
        <v>136</v>
      </c>
      <c r="C51" s="6">
        <v>1</v>
      </c>
      <c r="D51" t="s">
        <v>28</v>
      </c>
      <c r="E51" s="40" t="s">
        <v>1218</v>
      </c>
      <c r="F51" s="11" t="s">
        <v>138</v>
      </c>
    </row>
    <row r="52" spans="1:6" x14ac:dyDescent="0.3">
      <c r="A52" t="s">
        <v>139</v>
      </c>
      <c r="B52" t="s">
        <v>140</v>
      </c>
      <c r="C52" s="20">
        <f>C34+C37</f>
        <v>655</v>
      </c>
      <c r="D52" t="s">
        <v>21</v>
      </c>
      <c r="E52" s="40" t="s">
        <v>1218</v>
      </c>
      <c r="F52" s="11"/>
    </row>
    <row r="53" spans="1:6" x14ac:dyDescent="0.3">
      <c r="A53" t="s">
        <v>142</v>
      </c>
      <c r="B53" t="s">
        <v>143</v>
      </c>
      <c r="C53" s="23">
        <f>C50*C51*C28/(0.45*C52)</f>
        <v>7.3754471364826491E-6</v>
      </c>
      <c r="D53" t="s">
        <v>144</v>
      </c>
      <c r="E53" s="40" t="s">
        <v>1219</v>
      </c>
      <c r="F53" s="11"/>
    </row>
    <row r="54" spans="1:6" x14ac:dyDescent="0.3">
      <c r="A54" t="s">
        <v>146</v>
      </c>
      <c r="B54" t="s">
        <v>147</v>
      </c>
      <c r="C54" s="16">
        <f>IF(C45&gt;C47,C53*C20^2/10,0)</f>
        <v>0</v>
      </c>
      <c r="D54" t="s">
        <v>21</v>
      </c>
      <c r="E54" s="40" t="s">
        <v>1220</v>
      </c>
      <c r="F54" s="11"/>
    </row>
    <row r="55" spans="1:6" x14ac:dyDescent="0.3">
      <c r="A55" t="s">
        <v>149</v>
      </c>
      <c r="B55" t="s">
        <v>150</v>
      </c>
      <c r="C55" s="16">
        <f>MAX(C9/30,20)</f>
        <v>25</v>
      </c>
      <c r="D55" t="s">
        <v>21</v>
      </c>
      <c r="E55" s="40" t="s">
        <v>1221</v>
      </c>
      <c r="F55" s="11"/>
    </row>
    <row r="56" spans="1:6" x14ac:dyDescent="0.3">
      <c r="A56" t="s">
        <v>152</v>
      </c>
      <c r="B56" t="s">
        <v>153</v>
      </c>
      <c r="C56" s="16">
        <f>MAX(C8+C6*(C49+C54)/1000,C6*C55/1000)</f>
        <v>307.5</v>
      </c>
      <c r="D56" t="s">
        <v>18</v>
      </c>
      <c r="E56" s="40" t="s">
        <v>1222</v>
      </c>
      <c r="F56" s="11" t="s">
        <v>155</v>
      </c>
    </row>
    <row r="57" spans="1:6" x14ac:dyDescent="0.3">
      <c r="E57" s="40"/>
      <c r="F57" s="11"/>
    </row>
    <row r="58" spans="1:6" x14ac:dyDescent="0.3">
      <c r="A58" s="4" t="s">
        <v>156</v>
      </c>
      <c r="B58" s="4"/>
      <c r="C58" s="4"/>
      <c r="D58" s="4"/>
      <c r="E58" s="41"/>
      <c r="F58" s="12"/>
    </row>
    <row r="59" spans="1:6" x14ac:dyDescent="0.3">
      <c r="A59" t="s">
        <v>157</v>
      </c>
      <c r="B59" t="s">
        <v>158</v>
      </c>
      <c r="C59" s="24">
        <f>C6*1000/(C35*C24)</f>
        <v>0.13581221810508404</v>
      </c>
      <c r="D59" t="s">
        <v>28</v>
      </c>
      <c r="E59" s="40" t="s">
        <v>1223</v>
      </c>
      <c r="F59" s="11" t="s">
        <v>160</v>
      </c>
    </row>
    <row r="60" spans="1:6" x14ac:dyDescent="0.3">
      <c r="A60" t="s">
        <v>161</v>
      </c>
      <c r="B60" t="s">
        <v>162</v>
      </c>
      <c r="C60" s="24">
        <f>C56*1000000/(C35*C9*C24)</f>
        <v>5.5683009423084448E-2</v>
      </c>
      <c r="D60" t="s">
        <v>28</v>
      </c>
      <c r="E60" s="40" t="s">
        <v>1224</v>
      </c>
      <c r="F60" s="11" t="s">
        <v>164</v>
      </c>
    </row>
    <row r="61" spans="1:6" x14ac:dyDescent="0.3">
      <c r="A61" t="s">
        <v>220</v>
      </c>
      <c r="B61" t="s">
        <v>218</v>
      </c>
      <c r="C61" s="25">
        <f>Nomograma_2025!C28</f>
        <v>0</v>
      </c>
      <c r="D61" t="s">
        <v>28</v>
      </c>
      <c r="E61" s="40" t="s">
        <v>1225</v>
      </c>
      <c r="F61" s="11" t="s">
        <v>222</v>
      </c>
    </row>
    <row r="62" spans="1:6" x14ac:dyDescent="0.3">
      <c r="A62" t="s">
        <v>201</v>
      </c>
      <c r="B62" t="s">
        <v>185</v>
      </c>
      <c r="C62" s="25">
        <f>Nomograma_2025!C22</f>
        <v>0.25000000000000006</v>
      </c>
      <c r="D62" t="s">
        <v>28</v>
      </c>
      <c r="E62" s="40" t="s">
        <v>1226</v>
      </c>
      <c r="F62" s="11"/>
    </row>
    <row r="63" spans="1:6" x14ac:dyDescent="0.3">
      <c r="A63" t="s">
        <v>202</v>
      </c>
      <c r="B63" t="s">
        <v>203</v>
      </c>
      <c r="C63" s="26">
        <f>Nomograma_2025!C23</f>
        <v>187.50000000000003</v>
      </c>
      <c r="D63" t="s">
        <v>21</v>
      </c>
      <c r="E63" s="40"/>
      <c r="F63" s="11"/>
    </row>
    <row r="64" spans="1:6" x14ac:dyDescent="0.3">
      <c r="A64" t="s">
        <v>216</v>
      </c>
      <c r="C64" s="7" t="str">
        <f>Nomograma_2025!C27</f>
        <v>μ_Ed se cubre con ω→0 → rige la cuantía mínima (9.8.5)</v>
      </c>
      <c r="E64" s="40"/>
      <c r="F64" s="11"/>
    </row>
    <row r="65" spans="1:6" x14ac:dyDescent="0.3">
      <c r="A65" t="s">
        <v>224</v>
      </c>
      <c r="B65" t="s">
        <v>225</v>
      </c>
      <c r="C65" s="20">
        <f>IFERROR(C61*C35*C24/C26,NA())</f>
        <v>0</v>
      </c>
      <c r="D65" t="s">
        <v>93</v>
      </c>
      <c r="E65" s="40" t="s">
        <v>1120</v>
      </c>
      <c r="F65" s="11" t="s">
        <v>226</v>
      </c>
    </row>
    <row r="66" spans="1:6" x14ac:dyDescent="0.3">
      <c r="E66" s="40"/>
      <c r="F66" s="11"/>
    </row>
    <row r="67" spans="1:6" x14ac:dyDescent="0.3">
      <c r="A67" s="4" t="s">
        <v>227</v>
      </c>
      <c r="B67" s="4"/>
      <c r="C67" s="4"/>
      <c r="D67" s="4"/>
      <c r="E67" s="41"/>
      <c r="F67" s="12"/>
    </row>
    <row r="68" spans="1:6" x14ac:dyDescent="0.3">
      <c r="A68" t="s">
        <v>228</v>
      </c>
      <c r="B68" t="s">
        <v>229</v>
      </c>
      <c r="C68" s="20">
        <f>IF(C35&lt;=500000,0.005*C35,IF(C35&lt;=1000000,2500,0.0025*C35))</f>
        <v>2208.9323345553235</v>
      </c>
      <c r="D68" t="s">
        <v>93</v>
      </c>
      <c r="E68" s="40" t="s">
        <v>1227</v>
      </c>
      <c r="F68" s="11" t="s">
        <v>231</v>
      </c>
    </row>
    <row r="69" spans="1:6" x14ac:dyDescent="0.3">
      <c r="A69" t="s">
        <v>232</v>
      </c>
      <c r="B69" t="s">
        <v>233</v>
      </c>
      <c r="C69" s="20">
        <f>MAX(0.1*ABS(C6)*1000/C26,0.002*C35)</f>
        <v>883.57293382212924</v>
      </c>
      <c r="D69" t="s">
        <v>93</v>
      </c>
      <c r="E69" s="40" t="s">
        <v>1304</v>
      </c>
      <c r="F69" s="11" t="s">
        <v>1305</v>
      </c>
    </row>
    <row r="70" spans="1:6" x14ac:dyDescent="0.3">
      <c r="A70" t="s">
        <v>236</v>
      </c>
      <c r="B70" t="s">
        <v>237</v>
      </c>
      <c r="C70" s="20">
        <f>MAX(C68,C69)</f>
        <v>2208.9323345553235</v>
      </c>
      <c r="D70" t="s">
        <v>93</v>
      </c>
      <c r="E70" s="40" t="s">
        <v>1229</v>
      </c>
      <c r="F70" s="11"/>
    </row>
    <row r="71" spans="1:6" x14ac:dyDescent="0.3">
      <c r="A71" t="s">
        <v>239</v>
      </c>
      <c r="B71" t="s">
        <v>240</v>
      </c>
      <c r="C71" s="20">
        <f>0.09*C35</f>
        <v>39760.782021995816</v>
      </c>
      <c r="D71" t="s">
        <v>93</v>
      </c>
      <c r="E71" s="40" t="s">
        <v>1228</v>
      </c>
      <c r="F71" s="11" t="s">
        <v>242</v>
      </c>
    </row>
    <row r="72" spans="1:6" x14ac:dyDescent="0.3">
      <c r="A72" s="8" t="s">
        <v>243</v>
      </c>
      <c r="B72" s="9" t="s">
        <v>244</v>
      </c>
      <c r="C72" s="27">
        <f>MAX(IFERROR(C65,0),C70)</f>
        <v>2208.9323345553235</v>
      </c>
      <c r="D72" s="9" t="s">
        <v>93</v>
      </c>
      <c r="E72" s="42"/>
      <c r="F72" s="13"/>
    </row>
    <row r="73" spans="1:6" x14ac:dyDescent="0.3">
      <c r="A73" t="s">
        <v>245</v>
      </c>
      <c r="B73" t="s">
        <v>106</v>
      </c>
      <c r="C73" s="20">
        <f>C40</f>
        <v>2513.2741228718346</v>
      </c>
      <c r="D73" t="s">
        <v>93</v>
      </c>
      <c r="E73" s="40"/>
      <c r="F73" s="11" t="str">
        <f>C11&amp;" Ø"&amp;C12&amp;" mm"</f>
        <v>8 Ø20 mm</v>
      </c>
    </row>
    <row r="74" spans="1:6" x14ac:dyDescent="0.3">
      <c r="A74" t="s">
        <v>246</v>
      </c>
      <c r="C74" t="str">
        <f>IF(C73&gt;=C72,"OK","NO CUMPLE – aumentar nº o Ø de barras")</f>
        <v>OK</v>
      </c>
      <c r="E74" s="40" t="s">
        <v>1120</v>
      </c>
      <c r="F74" s="11"/>
    </row>
    <row r="75" spans="1:6" x14ac:dyDescent="0.3">
      <c r="A75" t="s">
        <v>247</v>
      </c>
      <c r="C75" t="str">
        <f>IF(C73&lt;=C71,"OK","NO CUMPLE – excede 0,09·A_c")</f>
        <v>OK</v>
      </c>
      <c r="E75" s="40" t="s">
        <v>1228</v>
      </c>
      <c r="F75" s="11"/>
    </row>
    <row r="76" spans="1:6" x14ac:dyDescent="0.3">
      <c r="A76" t="s">
        <v>1306</v>
      </c>
      <c r="C76" t="str">
        <f>IF(AND(C11&gt;=6,C12&gt;=12),"OK","NO CUMPLE")</f>
        <v>OK</v>
      </c>
      <c r="E76" s="40" t="s">
        <v>1229</v>
      </c>
      <c r="F76" s="11" t="s">
        <v>1307</v>
      </c>
    </row>
    <row r="77" spans="1:6" x14ac:dyDescent="0.3">
      <c r="A77" t="s">
        <v>249</v>
      </c>
      <c r="C77" t="str">
        <f>IF(C41&gt;=100,"OK","REVISAR – hormigonado con tubo tremie")</f>
        <v>OK</v>
      </c>
      <c r="E77" s="40" t="s">
        <v>1230</v>
      </c>
      <c r="F77" s="11"/>
    </row>
    <row r="78" spans="1:6" x14ac:dyDescent="0.3">
      <c r="E78" s="40"/>
      <c r="F78" s="11"/>
    </row>
    <row r="79" spans="1:6" x14ac:dyDescent="0.3">
      <c r="A79" s="4" t="s">
        <v>1193</v>
      </c>
      <c r="B79" s="4"/>
      <c r="C79" s="4"/>
      <c r="D79" s="4"/>
      <c r="E79" s="41"/>
      <c r="F79" s="12"/>
    </row>
    <row r="80" spans="1:6" x14ac:dyDescent="0.3">
      <c r="A80" t="s">
        <v>252</v>
      </c>
      <c r="B80" t="s">
        <v>253</v>
      </c>
      <c r="C80" s="20">
        <f>C9</f>
        <v>750</v>
      </c>
      <c r="D80" t="s">
        <v>21</v>
      </c>
      <c r="E80" s="40" t="s">
        <v>1194</v>
      </c>
      <c r="F80" s="11" t="s">
        <v>1195</v>
      </c>
    </row>
    <row r="81" spans="1:6" x14ac:dyDescent="0.3">
      <c r="A81" t="s">
        <v>1054</v>
      </c>
      <c r="B81" t="s">
        <v>1055</v>
      </c>
      <c r="C81" s="28">
        <v>32</v>
      </c>
      <c r="D81" t="s">
        <v>21</v>
      </c>
      <c r="E81" s="40" t="s">
        <v>1056</v>
      </c>
      <c r="F81" s="11" t="s">
        <v>1196</v>
      </c>
    </row>
    <row r="82" spans="1:6" x14ac:dyDescent="0.3">
      <c r="A82" t="s">
        <v>1197</v>
      </c>
      <c r="B82" t="s">
        <v>259</v>
      </c>
      <c r="C82" s="18">
        <f>MIN(C73/2/(C80*C38),0.02)</f>
        <v>3.0284778534489121E-3</v>
      </c>
      <c r="D82" t="s">
        <v>575</v>
      </c>
      <c r="E82" s="40" t="s">
        <v>1052</v>
      </c>
      <c r="F82" s="11" t="s">
        <v>1198</v>
      </c>
    </row>
    <row r="83" spans="1:6" x14ac:dyDescent="0.3">
      <c r="A83" t="s">
        <v>1058</v>
      </c>
      <c r="B83" t="s">
        <v>1059</v>
      </c>
      <c r="C83" s="21">
        <v>1.4</v>
      </c>
      <c r="D83" t="s">
        <v>575</v>
      </c>
      <c r="E83" s="40" t="s">
        <v>1060</v>
      </c>
      <c r="F83" s="11" t="s">
        <v>1061</v>
      </c>
    </row>
    <row r="84" spans="1:6" x14ac:dyDescent="0.3">
      <c r="A84" t="s">
        <v>1062</v>
      </c>
      <c r="B84" t="s">
        <v>1063</v>
      </c>
      <c r="C84" s="21">
        <f>C7*1000/(C80*C39)</f>
        <v>0.80332870070121154</v>
      </c>
      <c r="D84" t="s">
        <v>43</v>
      </c>
      <c r="E84" s="40" t="s">
        <v>1064</v>
      </c>
      <c r="F84" s="11" t="s">
        <v>1065</v>
      </c>
    </row>
    <row r="85" spans="1:6" x14ac:dyDescent="0.3">
      <c r="A85" t="s">
        <v>1066</v>
      </c>
      <c r="B85" t="s">
        <v>1067</v>
      </c>
      <c r="C85" s="29">
        <f>(11/C83)*SQRT(C15/C26*C81/C38)</f>
        <v>0.45311815333561511</v>
      </c>
      <c r="D85" t="s">
        <v>43</v>
      </c>
      <c r="E85" s="40" t="s">
        <v>1068</v>
      </c>
      <c r="F85" s="11" t="s">
        <v>1069</v>
      </c>
    </row>
    <row r="86" spans="1:6" x14ac:dyDescent="0.3">
      <c r="A86" t="s">
        <v>1070</v>
      </c>
      <c r="B86" t="s">
        <v>1071</v>
      </c>
      <c r="C86" s="21">
        <f>MAX((0.66/C83)*(100*C82*C15*C81/C38)^(1/3),C85)</f>
        <v>0.45311815333561511</v>
      </c>
      <c r="D86" t="s">
        <v>43</v>
      </c>
      <c r="E86" s="40" t="s">
        <v>1072</v>
      </c>
      <c r="F86" s="11" t="s">
        <v>1073</v>
      </c>
    </row>
    <row r="87" spans="1:6" x14ac:dyDescent="0.3">
      <c r="A87" t="s">
        <v>1199</v>
      </c>
      <c r="B87" t="s">
        <v>282</v>
      </c>
      <c r="C87" s="21">
        <f>-C6*1000/C35</f>
        <v>-2.2635369684180673</v>
      </c>
      <c r="D87" t="s">
        <v>43</v>
      </c>
      <c r="E87" s="40" t="s">
        <v>1200</v>
      </c>
      <c r="F87" s="11" t="s">
        <v>1201</v>
      </c>
    </row>
    <row r="88" spans="1:6" x14ac:dyDescent="0.3">
      <c r="A88" t="s">
        <v>666</v>
      </c>
      <c r="B88" t="s">
        <v>277</v>
      </c>
      <c r="C88" s="20">
        <f>C86*C80*C38/1000</f>
        <v>188.01691550839075</v>
      </c>
      <c r="D88" t="s">
        <v>11</v>
      </c>
      <c r="E88" s="40" t="s">
        <v>1202</v>
      </c>
      <c r="F88" s="11" t="s">
        <v>1203</v>
      </c>
    </row>
    <row r="89" spans="1:6" x14ac:dyDescent="0.3">
      <c r="A89" t="s">
        <v>279</v>
      </c>
      <c r="B89" t="s">
        <v>575</v>
      </c>
      <c r="C89" t="str">
        <f>IF(C7&gt;C88,"SÍ (V_Ed &gt; V_Rd,c)","NO (V_Ed ≤ V_Rd,c) – armadura mínima")</f>
        <v>SÍ (V_Ed &gt; V_Rd,c)</v>
      </c>
      <c r="E89" s="40" t="s">
        <v>1074</v>
      </c>
      <c r="F89" s="11"/>
    </row>
    <row r="90" spans="1:6" x14ac:dyDescent="0.3">
      <c r="A90" t="s">
        <v>1076</v>
      </c>
      <c r="B90" t="s">
        <v>1077</v>
      </c>
      <c r="C90" s="28">
        <v>2.5</v>
      </c>
      <c r="D90" t="s">
        <v>575</v>
      </c>
      <c r="E90" s="40" t="s">
        <v>1078</v>
      </c>
      <c r="F90" s="11" t="s">
        <v>1204</v>
      </c>
    </row>
    <row r="91" spans="1:6" x14ac:dyDescent="0.3">
      <c r="A91" t="s">
        <v>575</v>
      </c>
      <c r="B91" t="s">
        <v>575</v>
      </c>
      <c r="C91" s="28" t="s">
        <v>575</v>
      </c>
      <c r="D91" t="s">
        <v>575</v>
      </c>
      <c r="E91" s="40" t="s">
        <v>575</v>
      </c>
      <c r="F91" s="11" t="s">
        <v>1205</v>
      </c>
    </row>
    <row r="92" spans="1:6" x14ac:dyDescent="0.3">
      <c r="A92" t="s">
        <v>1206</v>
      </c>
      <c r="B92" t="s">
        <v>289</v>
      </c>
      <c r="C92" s="28">
        <f>C90</f>
        <v>2.5</v>
      </c>
      <c r="D92" t="s">
        <v>28</v>
      </c>
      <c r="E92" s="40" t="s">
        <v>1078</v>
      </c>
      <c r="F92" s="11" t="s">
        <v>1207</v>
      </c>
    </row>
    <row r="93" spans="1:6" x14ac:dyDescent="0.3">
      <c r="A93" t="s">
        <v>674</v>
      </c>
      <c r="B93" t="s">
        <v>60</v>
      </c>
      <c r="C93" s="28">
        <f>IF(C21&gt;0,MIN(C21,C90),C90)</f>
        <v>2.5</v>
      </c>
      <c r="D93" t="s">
        <v>28</v>
      </c>
      <c r="E93" s="40" t="s">
        <v>1080</v>
      </c>
      <c r="F93" s="11" t="s">
        <v>291</v>
      </c>
    </row>
    <row r="94" spans="1:6" x14ac:dyDescent="0.3">
      <c r="A94" t="s">
        <v>1082</v>
      </c>
      <c r="B94" t="s">
        <v>1083</v>
      </c>
      <c r="C94" s="30">
        <v>0.5</v>
      </c>
      <c r="D94" t="s">
        <v>28</v>
      </c>
      <c r="E94" s="40" t="s">
        <v>1084</v>
      </c>
      <c r="F94" s="11" t="s">
        <v>1085</v>
      </c>
    </row>
    <row r="95" spans="1:6" x14ac:dyDescent="0.3">
      <c r="A95" t="s">
        <v>679</v>
      </c>
      <c r="B95" t="s">
        <v>296</v>
      </c>
      <c r="C95" s="20">
        <f>C80*C39*C94*C24/(C93+1/C93)/1000</f>
        <v>1073.1210832686006</v>
      </c>
      <c r="D95" t="s">
        <v>11</v>
      </c>
      <c r="E95" s="40" t="s">
        <v>1088</v>
      </c>
      <c r="F95" s="11" t="s">
        <v>1208</v>
      </c>
    </row>
    <row r="96" spans="1:6" x14ac:dyDescent="0.3">
      <c r="A96" t="s">
        <v>298</v>
      </c>
      <c r="C96" t="str">
        <f>IF(C7&lt;=C95,"OK","NO CUMPLE – aumentar D o f_ck")</f>
        <v>OK</v>
      </c>
      <c r="E96" s="40" t="s">
        <v>1091</v>
      </c>
      <c r="F96" s="11"/>
    </row>
    <row r="97" spans="1:6" x14ac:dyDescent="0.3">
      <c r="A97" t="s">
        <v>300</v>
      </c>
      <c r="B97" t="s">
        <v>301</v>
      </c>
      <c r="C97" s="24">
        <f>C7*1000/(C39*C26*C93)</f>
        <v>0.55429680348383603</v>
      </c>
      <c r="D97" t="s">
        <v>302</v>
      </c>
      <c r="E97" s="40" t="s">
        <v>1092</v>
      </c>
      <c r="F97" s="11" t="s">
        <v>304</v>
      </c>
    </row>
    <row r="98" spans="1:6" x14ac:dyDescent="0.3">
      <c r="A98" t="s">
        <v>305</v>
      </c>
      <c r="B98" t="s">
        <v>306</v>
      </c>
      <c r="C98" s="24">
        <f>0.08*SQRT(C15)/C16</f>
        <v>8.0000000000000004E-4</v>
      </c>
      <c r="D98" t="s">
        <v>28</v>
      </c>
      <c r="E98" s="40" t="s">
        <v>1291</v>
      </c>
      <c r="F98" s="11" t="s">
        <v>1294</v>
      </c>
    </row>
    <row r="99" spans="1:6" x14ac:dyDescent="0.3">
      <c r="A99" t="s">
        <v>309</v>
      </c>
      <c r="B99" t="s">
        <v>310</v>
      </c>
      <c r="C99" s="24">
        <f>C98*C80</f>
        <v>0.6</v>
      </c>
      <c r="D99" t="s">
        <v>302</v>
      </c>
      <c r="E99" s="40" t="s">
        <v>1161</v>
      </c>
      <c r="F99" s="11"/>
    </row>
    <row r="100" spans="1:6" x14ac:dyDescent="0.3">
      <c r="A100" s="8" t="s">
        <v>312</v>
      </c>
      <c r="B100" s="9" t="s">
        <v>313</v>
      </c>
      <c r="C100" s="31">
        <f>MAX(C97,C99)</f>
        <v>0.6</v>
      </c>
      <c r="D100" s="9" t="s">
        <v>302</v>
      </c>
      <c r="E100" s="42"/>
      <c r="F100" s="13"/>
    </row>
    <row r="101" spans="1:6" x14ac:dyDescent="0.3">
      <c r="A101" t="s">
        <v>314</v>
      </c>
      <c r="B101" t="s">
        <v>315</v>
      </c>
      <c r="C101" s="20">
        <f>2*PI()*C13^2/4</f>
        <v>157.07963267948966</v>
      </c>
      <c r="D101" t="s">
        <v>93</v>
      </c>
      <c r="E101" s="40" t="s">
        <v>1209</v>
      </c>
      <c r="F101" s="11" t="s">
        <v>316</v>
      </c>
    </row>
    <row r="102" spans="1:6" x14ac:dyDescent="0.3">
      <c r="A102" t="s">
        <v>317</v>
      </c>
      <c r="B102" t="s">
        <v>318</v>
      </c>
      <c r="C102" s="20">
        <f>C101/C100</f>
        <v>261.79938779914943</v>
      </c>
      <c r="D102" t="s">
        <v>21</v>
      </c>
      <c r="E102" s="40"/>
      <c r="F102" s="11"/>
    </row>
    <row r="103" spans="1:6" x14ac:dyDescent="0.3">
      <c r="A103" t="s">
        <v>319</v>
      </c>
      <c r="B103" t="s">
        <v>320</v>
      </c>
      <c r="C103" s="20">
        <f>MIN(20*C12,C9,300)</f>
        <v>300</v>
      </c>
      <c r="D103" t="s">
        <v>21</v>
      </c>
      <c r="E103" s="40" t="s">
        <v>1308</v>
      </c>
      <c r="F103" s="11" t="s">
        <v>1309</v>
      </c>
    </row>
    <row r="104" spans="1:6" x14ac:dyDescent="0.3">
      <c r="A104" s="8" t="s">
        <v>322</v>
      </c>
      <c r="B104" s="9" t="s">
        <v>323</v>
      </c>
      <c r="C104" s="27">
        <f>MIN(C102,C103)</f>
        <v>261.79938779914943</v>
      </c>
      <c r="D104" s="9" t="s">
        <v>21</v>
      </c>
      <c r="E104" s="42"/>
      <c r="F104" s="13" t="str">
        <f>"Adoptar espiral Ø"&amp;C13&amp;" mm cada "&amp;FLOOR(C104,10)&amp;" mm"</f>
        <v>Adoptar espiral Ø10 mm cada 260 mm</v>
      </c>
    </row>
    <row r="105" spans="1:6" x14ac:dyDescent="0.3">
      <c r="A105" t="s">
        <v>324</v>
      </c>
      <c r="C105" t="str">
        <f>IF(C14&lt;=C104,"OK","NO CUMPLE – reducir el paso o aumentar Ø_w")</f>
        <v>OK</v>
      </c>
      <c r="E105" s="40" t="s">
        <v>1210</v>
      </c>
      <c r="F105" s="11"/>
    </row>
    <row r="106" spans="1:6" x14ac:dyDescent="0.3">
      <c r="A106" t="s">
        <v>326</v>
      </c>
      <c r="C106" t="str">
        <f>IF(C14-C13&gt;=100,"OK","REVISAR – paso libre insuficiente para tremie")</f>
        <v>OK</v>
      </c>
      <c r="E106" s="40" t="s">
        <v>1211</v>
      </c>
      <c r="F106" s="11"/>
    </row>
    <row r="107" spans="1:6" x14ac:dyDescent="0.3">
      <c r="F107" s="11"/>
    </row>
    <row r="108" spans="1:6" x14ac:dyDescent="0.3">
      <c r="A108" s="4" t="s">
        <v>327</v>
      </c>
      <c r="B108" s="4"/>
      <c r="C108" s="4"/>
      <c r="D108" s="4"/>
      <c r="E108" s="4"/>
      <c r="F108" s="12"/>
    </row>
    <row r="109" spans="1:6" x14ac:dyDescent="0.3">
      <c r="A109" t="s">
        <v>328</v>
      </c>
      <c r="C109" t="str">
        <f>TEXT(C6,"#,##0")&amp;" kN / "&amp;TEXT(C7,"#,##0")&amp;" kN / "&amp;TEXT(C56,"#,##0")&amp;" kNm"</f>
        <v>1,000 kN / 300 kN / 308 kNm</v>
      </c>
      <c r="F109" s="11"/>
    </row>
    <row r="110" spans="1:6" x14ac:dyDescent="0.3">
      <c r="A110" t="s">
        <v>329</v>
      </c>
      <c r="C110" t="str">
        <f>"Ø"&amp;C9&amp;" mm · C"&amp;C15&amp;" · B"&amp;C16&amp;" · c_nom = "&amp;C10&amp;" mm"</f>
        <v>Ø750 mm · C25 · B500 · c_nom = 75 mm</v>
      </c>
      <c r="F110" s="11"/>
    </row>
    <row r="111" spans="1:6" x14ac:dyDescent="0.3">
      <c r="A111" t="s">
        <v>330</v>
      </c>
      <c r="C111" t="str">
        <f>TEXT(C72,"#,##0")&amp;" mm² → "&amp;C11&amp;" Ø"&amp;C12&amp;" = "&amp;TEXT(C73,"#,##0")&amp;" mm²"</f>
        <v>2,209 mm² → 8 Ø20 = 2,513 mm²</v>
      </c>
      <c r="E111" t="s">
        <v>331</v>
      </c>
      <c r="F111" s="11"/>
    </row>
    <row r="112" spans="1:6" x14ac:dyDescent="0.3">
      <c r="A112" t="s">
        <v>332</v>
      </c>
      <c r="C112" t="str">
        <f>"espiral Ø"&amp;C13&amp;" c/"&amp;FLOOR(C104,10)&amp;" mm  (adoptado: c/"&amp;C14&amp;" mm)"</f>
        <v>espiral Ø10 c/260 mm  (adoptado: c/150 mm)</v>
      </c>
      <c r="E112" t="s">
        <v>333</v>
      </c>
      <c r="F112" s="11"/>
    </row>
    <row r="113" spans="1:6" x14ac:dyDescent="0.3">
      <c r="A113" t="s">
        <v>334</v>
      </c>
      <c r="C113" t="str">
        <f>C74</f>
        <v>OK</v>
      </c>
      <c r="F113" s="11"/>
    </row>
    <row r="114" spans="1:6" x14ac:dyDescent="0.3">
      <c r="A114" t="s">
        <v>335</v>
      </c>
      <c r="C114" t="str">
        <f>C75</f>
        <v>OK</v>
      </c>
      <c r="F114" s="11"/>
    </row>
    <row r="115" spans="1:6" x14ac:dyDescent="0.3">
      <c r="A115" t="s">
        <v>336</v>
      </c>
      <c r="C115" t="str">
        <f>C76</f>
        <v>OK</v>
      </c>
      <c r="F115" s="11"/>
    </row>
    <row r="116" spans="1:6" x14ac:dyDescent="0.3">
      <c r="A116" t="s">
        <v>337</v>
      </c>
      <c r="C116" t="str">
        <f>C77</f>
        <v>OK</v>
      </c>
      <c r="F116" s="11"/>
    </row>
    <row r="117" spans="1:6" x14ac:dyDescent="0.3">
      <c r="A117" t="s">
        <v>338</v>
      </c>
      <c r="C117" t="str">
        <f>C96</f>
        <v>OK</v>
      </c>
      <c r="F117" s="11"/>
    </row>
    <row r="118" spans="1:6" x14ac:dyDescent="0.3">
      <c r="A118" t="s">
        <v>339</v>
      </c>
      <c r="C118" t="str">
        <f>C105</f>
        <v>OK</v>
      </c>
      <c r="F118" s="11"/>
    </row>
    <row r="119" spans="1:6" ht="15.6" x14ac:dyDescent="0.3">
      <c r="A119" s="8" t="s">
        <v>340</v>
      </c>
      <c r="B119" s="9"/>
      <c r="C119" s="10" t="str">
        <f>IF(COUNTIF(C113:C118,"OK")=6,"TODAS LAS VERIFICACIONES CUMPLEN","REVISAR: hay verificaciones no cumplidas")</f>
        <v>TODAS LAS VERIFICACIONES CUMPLEN</v>
      </c>
      <c r="F119" s="11"/>
    </row>
    <row r="120" spans="1:6" x14ac:dyDescent="0.3">
      <c r="F120" s="11"/>
    </row>
    <row r="121" spans="1:6" x14ac:dyDescent="0.3">
      <c r="A121" s="4" t="s">
        <v>341</v>
      </c>
      <c r="B121" s="4"/>
      <c r="C121" s="4"/>
      <c r="D121" s="4"/>
      <c r="E121" s="4"/>
      <c r="F121" s="12"/>
    </row>
    <row r="122" spans="1:6" x14ac:dyDescent="0.3">
      <c r="A122" s="11" t="s">
        <v>1181</v>
      </c>
      <c r="F122" s="11"/>
    </row>
    <row r="123" spans="1:6" x14ac:dyDescent="0.3">
      <c r="A123" s="11" t="s">
        <v>1231</v>
      </c>
      <c r="F123" s="11"/>
    </row>
    <row r="124" spans="1:6" x14ac:dyDescent="0.3">
      <c r="A124" s="11" t="s">
        <v>1232</v>
      </c>
      <c r="F124" s="11"/>
    </row>
    <row r="125" spans="1:6" x14ac:dyDescent="0.3">
      <c r="A125" s="11" t="s">
        <v>1127</v>
      </c>
      <c r="F125" s="11"/>
    </row>
    <row r="126" spans="1:6" x14ac:dyDescent="0.3">
      <c r="A126" s="11" t="s">
        <v>1233</v>
      </c>
      <c r="F126" s="11"/>
    </row>
    <row r="127" spans="1:6" x14ac:dyDescent="0.3">
      <c r="A127" s="11" t="s">
        <v>1234</v>
      </c>
      <c r="F127" s="11"/>
    </row>
    <row r="128" spans="1:6" x14ac:dyDescent="0.3">
      <c r="A128" s="11" t="s">
        <v>1235</v>
      </c>
      <c r="F128" s="11"/>
    </row>
    <row r="129" spans="1:6" x14ac:dyDescent="0.3">
      <c r="A129" s="11" t="s">
        <v>1236</v>
      </c>
      <c r="F129" s="11"/>
    </row>
    <row r="130" spans="1:6" x14ac:dyDescent="0.3">
      <c r="A130" s="11" t="s">
        <v>1237</v>
      </c>
      <c r="F130" s="11"/>
    </row>
    <row r="131" spans="1:6" x14ac:dyDescent="0.3">
      <c r="A131" s="11" t="s">
        <v>1238</v>
      </c>
      <c r="F131" s="11"/>
    </row>
    <row r="132" spans="1:6" x14ac:dyDescent="0.3">
      <c r="A132" s="11" t="s">
        <v>1130</v>
      </c>
      <c r="F132" s="11"/>
    </row>
    <row r="133" spans="1:6" x14ac:dyDescent="0.3">
      <c r="A133" s="11" t="s">
        <v>1239</v>
      </c>
      <c r="F133" s="11"/>
    </row>
    <row r="134" spans="1:6" x14ac:dyDescent="0.3">
      <c r="A134" s="11" t="s">
        <v>1240</v>
      </c>
      <c r="F134" s="11"/>
    </row>
    <row r="135" spans="1:6" x14ac:dyDescent="0.3">
      <c r="A135" s="11" t="s">
        <v>1241</v>
      </c>
      <c r="F135" s="11"/>
    </row>
    <row r="136" spans="1:6" x14ac:dyDescent="0.3">
      <c r="A136" s="11" t="s">
        <v>1242</v>
      </c>
      <c r="F136" s="11"/>
    </row>
    <row r="137" spans="1:6" x14ac:dyDescent="0.3">
      <c r="A137" s="11" t="s">
        <v>1243</v>
      </c>
      <c r="F137" s="11"/>
    </row>
    <row r="138" spans="1:6" x14ac:dyDescent="0.3">
      <c r="A138" s="11" t="s">
        <v>1244</v>
      </c>
      <c r="F138" s="11"/>
    </row>
    <row r="139" spans="1:6" x14ac:dyDescent="0.3">
      <c r="A139" s="11" t="s">
        <v>1245</v>
      </c>
      <c r="F139" s="11"/>
    </row>
    <row r="140" spans="1:6" x14ac:dyDescent="0.3">
      <c r="A140" s="11"/>
      <c r="F140" s="11"/>
    </row>
    <row r="141" spans="1:6" ht="60" customHeight="1" x14ac:dyDescent="0.3">
      <c r="A141" s="77" t="s">
        <v>1246</v>
      </c>
      <c r="B141" s="77"/>
      <c r="C141" s="77"/>
      <c r="D141" s="77"/>
      <c r="E141" s="77"/>
      <c r="F141" s="77"/>
    </row>
  </sheetData>
  <mergeCells count="1">
    <mergeCell ref="A141:F141"/>
  </mergeCells>
  <conditionalFormatting sqref="C64">
    <cfRule type="containsText" dxfId="63" priority="25" operator="containsText" text="NO CUMPLE">
      <formula>NOT(ISERROR(SEARCH("NO CUMPLE",C64)))</formula>
    </cfRule>
    <cfRule type="containsText" dxfId="62" priority="26" operator="containsText" text="REVISAR">
      <formula>NOT(ISERROR(SEARCH("REVISAR",C64)))</formula>
    </cfRule>
    <cfRule type="containsText" dxfId="61" priority="27" operator="containsText" text="FUERA DE DOMINIO">
      <formula>NOT(ISERROR(SEARCH("FUERA DE DOMINIO",C64)))</formula>
    </cfRule>
    <cfRule type="containsText" dxfId="60" priority="28" operator="containsText" text="NO CUMPLEN">
      <formula>NOT(ISERROR(SEARCH("NO CUMPLEN",C64)))</formula>
    </cfRule>
    <cfRule type="containsText" dxfId="59" priority="29" operator="containsText" text="OK">
      <formula>NOT(ISERROR(SEARCH("OK",C64)))</formula>
    </cfRule>
    <cfRule type="containsText" dxfId="58" priority="30" operator="containsText" text="TODAS LAS VERIFICACIONES CUMPLEN">
      <formula>NOT(ISERROR(SEARCH("TODAS LAS VERIFICACIONES CUMPLEN",C64)))</formula>
    </cfRule>
  </conditionalFormatting>
  <conditionalFormatting sqref="C74:C77">
    <cfRule type="containsText" dxfId="57" priority="1" operator="containsText" text="NO CUMPLE">
      <formula>NOT(ISERROR(SEARCH("NO CUMPLE",C74)))</formula>
    </cfRule>
    <cfRule type="containsText" dxfId="56" priority="2" operator="containsText" text="REVISAR">
      <formula>NOT(ISERROR(SEARCH("REVISAR",C74)))</formula>
    </cfRule>
    <cfRule type="containsText" dxfId="55" priority="3" operator="containsText" text="FUERA DE DOMINIO">
      <formula>NOT(ISERROR(SEARCH("FUERA DE DOMINIO",C74)))</formula>
    </cfRule>
    <cfRule type="containsText" dxfId="54" priority="4" operator="containsText" text="NO CUMPLEN">
      <formula>NOT(ISERROR(SEARCH("NO CUMPLEN",C74)))</formula>
    </cfRule>
    <cfRule type="containsText" dxfId="53" priority="5" operator="containsText" text="OK">
      <formula>NOT(ISERROR(SEARCH("OK",C74)))</formula>
    </cfRule>
    <cfRule type="containsText" dxfId="52" priority="6" operator="containsText" text="TODAS LAS VERIFICACIONES CUMPLEN">
      <formula>NOT(ISERROR(SEARCH("TODAS LAS VERIFICACIONES CUMPLEN",C74)))</formula>
    </cfRule>
  </conditionalFormatting>
  <conditionalFormatting sqref="C96">
    <cfRule type="containsText" dxfId="51" priority="7" operator="containsText" text="NO CUMPLE">
      <formula>NOT(ISERROR(SEARCH("NO CUMPLE",C96)))</formula>
    </cfRule>
    <cfRule type="containsText" dxfId="50" priority="8" operator="containsText" text="REVISAR">
      <formula>NOT(ISERROR(SEARCH("REVISAR",C96)))</formula>
    </cfRule>
    <cfRule type="containsText" dxfId="49" priority="9" operator="containsText" text="FUERA DE DOMINIO">
      <formula>NOT(ISERROR(SEARCH("FUERA DE DOMINIO",C96)))</formula>
    </cfRule>
    <cfRule type="containsText" dxfId="48" priority="10" operator="containsText" text="NO CUMPLEN">
      <formula>NOT(ISERROR(SEARCH("NO CUMPLEN",C96)))</formula>
    </cfRule>
    <cfRule type="containsText" dxfId="47" priority="11" operator="containsText" text="OK">
      <formula>NOT(ISERROR(SEARCH("OK",C96)))</formula>
    </cfRule>
    <cfRule type="containsText" dxfId="46" priority="12" operator="containsText" text="TODAS LAS VERIFICACIONES CUMPLEN">
      <formula>NOT(ISERROR(SEARCH("TODAS LAS VERIFICACIONES CUMPLEN",C96)))</formula>
    </cfRule>
  </conditionalFormatting>
  <conditionalFormatting sqref="C105:C106">
    <cfRule type="containsText" dxfId="45" priority="13" operator="containsText" text="NO CUMPLE">
      <formula>NOT(ISERROR(SEARCH("NO CUMPLE",C105)))</formula>
    </cfRule>
    <cfRule type="containsText" dxfId="44" priority="14" operator="containsText" text="REVISAR">
      <formula>NOT(ISERROR(SEARCH("REVISAR",C105)))</formula>
    </cfRule>
    <cfRule type="containsText" dxfId="43" priority="15" operator="containsText" text="FUERA DE DOMINIO">
      <formula>NOT(ISERROR(SEARCH("FUERA DE DOMINIO",C105)))</formula>
    </cfRule>
    <cfRule type="containsText" dxfId="42" priority="16" operator="containsText" text="NO CUMPLEN">
      <formula>NOT(ISERROR(SEARCH("NO CUMPLEN",C105)))</formula>
    </cfRule>
    <cfRule type="containsText" dxfId="41" priority="17" operator="containsText" text="OK">
      <formula>NOT(ISERROR(SEARCH("OK",C105)))</formula>
    </cfRule>
    <cfRule type="containsText" dxfId="40" priority="18" operator="containsText" text="TODAS LAS VERIFICACIONES CUMPLEN">
      <formula>NOT(ISERROR(SEARCH("TODAS LAS VERIFICACIONES CUMPLEN",C105)))</formula>
    </cfRule>
  </conditionalFormatting>
  <conditionalFormatting sqref="C113:C119">
    <cfRule type="containsText" dxfId="39" priority="19" operator="containsText" text="NO CUMPLE">
      <formula>NOT(ISERROR(SEARCH("NO CUMPLE",C113)))</formula>
    </cfRule>
    <cfRule type="containsText" dxfId="38" priority="20" operator="containsText" text="REVISAR">
      <formula>NOT(ISERROR(SEARCH("REVISAR",C113)))</formula>
    </cfRule>
    <cfRule type="containsText" dxfId="37" priority="21" operator="containsText" text="FUERA DE DOMINIO">
      <formula>NOT(ISERROR(SEARCH("FUERA DE DOMINIO",C113)))</formula>
    </cfRule>
    <cfRule type="containsText" dxfId="36" priority="22" operator="containsText" text="NO CUMPLEN">
      <formula>NOT(ISERROR(SEARCH("NO CUMPLEN",C113)))</formula>
    </cfRule>
    <cfRule type="containsText" dxfId="35" priority="23" operator="containsText" text="OK">
      <formula>NOT(ISERROR(SEARCH("OK",C113)))</formula>
    </cfRule>
    <cfRule type="containsText" dxfId="34" priority="24" operator="containsText" text="TODAS LAS VERIFICACIONES CUMPLEN">
      <formula>NOT(ISERROR(SEARCH("TODAS LAS VERIFICACIONES CUMPLEN",C113)))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339E319-B32C-400E-AF5C-A989FF27D726}">
          <x14:formula1>
            <xm:f>Aceros_DIN!$B$6:$B$16</xm:f>
          </x14:formula1>
          <xm:sqref>C12:C13</xm:sqref>
        </x14:dataValidation>
        <x14:dataValidation type="list" allowBlank="1" showInputMessage="1" showErrorMessage="1" xr:uid="{491FABDC-F3C4-4B86-A534-8372A787BE8D}">
          <x14:formula1>
            <xm:f>Aceros_DIN!$A$47:$A$49</xm:f>
          </x14:formula1>
          <xm:sqref>F16</xm:sqref>
        </x14:dataValidation>
        <x14:dataValidation type="list" allowBlank="1" showInputMessage="1" showErrorMessage="1" xr:uid="{E3EBD688-4610-41D4-A5CF-E1863B0ADD41}">
          <x14:formula1>
            <xm:f>Aceros_DIN!$A$35:$A$43</xm:f>
          </x14:formula1>
          <xm:sqref>F15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61F4-D55C-4DF4-8D72-ABCC6AE22479}">
  <dimension ref="A1:M212"/>
  <sheetViews>
    <sheetView workbookViewId="0">
      <selection activeCell="C11" sqref="C11"/>
    </sheetView>
  </sheetViews>
  <sheetFormatPr defaultRowHeight="14.4" x14ac:dyDescent="0.3"/>
  <cols>
    <col min="1" max="1" width="53.33203125" customWidth="1"/>
    <col min="2" max="2" width="15.33203125" customWidth="1"/>
    <col min="3" max="3" width="18.109375" customWidth="1"/>
    <col min="4" max="4" width="10.44140625" customWidth="1"/>
    <col min="5" max="5" width="6.6640625" customWidth="1"/>
    <col min="6" max="9" width="14.33203125" customWidth="1"/>
    <col min="10" max="10" width="3.88671875" customWidth="1"/>
    <col min="11" max="11" width="34.33203125" customWidth="1"/>
    <col min="12" max="13" width="17.109375" customWidth="1"/>
  </cols>
  <sheetData>
    <row r="1" spans="1:13" ht="17.399999999999999" x14ac:dyDescent="0.35">
      <c r="A1" s="35" t="s">
        <v>165</v>
      </c>
    </row>
    <row r="2" spans="1:13" ht="42" customHeight="1" x14ac:dyDescent="0.3">
      <c r="A2" s="78" t="s">
        <v>166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4" spans="1:13" x14ac:dyDescent="0.3">
      <c r="A4" s="4" t="s">
        <v>167</v>
      </c>
      <c r="B4" s="4"/>
      <c r="C4" s="4"/>
      <c r="D4" s="4"/>
      <c r="F4" s="4" t="s">
        <v>180</v>
      </c>
      <c r="G4" s="4"/>
      <c r="H4" s="4"/>
      <c r="I4" s="4"/>
    </row>
    <row r="5" spans="1:13" x14ac:dyDescent="0.3">
      <c r="A5" t="s">
        <v>168</v>
      </c>
      <c r="B5" t="s">
        <v>169</v>
      </c>
      <c r="C5" s="37">
        <f>Pilote_DIN!C9</f>
        <v>750</v>
      </c>
      <c r="D5" t="s">
        <v>21</v>
      </c>
      <c r="F5" s="5" t="s">
        <v>113</v>
      </c>
      <c r="G5" s="5" t="s">
        <v>181</v>
      </c>
      <c r="H5" s="5" t="s">
        <v>182</v>
      </c>
      <c r="I5" s="5" t="s">
        <v>183</v>
      </c>
    </row>
    <row r="6" spans="1:13" x14ac:dyDescent="0.3">
      <c r="A6" t="s">
        <v>170</v>
      </c>
      <c r="B6" t="s">
        <v>95</v>
      </c>
      <c r="C6" s="37">
        <f>Pilote_DIN!C36</f>
        <v>95</v>
      </c>
      <c r="D6" t="s">
        <v>21</v>
      </c>
      <c r="F6">
        <v>1</v>
      </c>
      <c r="G6" s="16">
        <f>(F6-1)*360/$C$17</f>
        <v>0</v>
      </c>
      <c r="H6" s="16">
        <f>$C$7-$C$8*COS(RADIANS(G6))</f>
        <v>95</v>
      </c>
      <c r="I6" s="16">
        <f>$C$7-H6</f>
        <v>280</v>
      </c>
    </row>
    <row r="7" spans="1:13" x14ac:dyDescent="0.3">
      <c r="A7" t="s">
        <v>89</v>
      </c>
      <c r="B7" t="s">
        <v>90</v>
      </c>
      <c r="C7" s="37">
        <f>C5/2</f>
        <v>375</v>
      </c>
      <c r="D7" t="s">
        <v>21</v>
      </c>
      <c r="F7">
        <f>F6+1</f>
        <v>2</v>
      </c>
      <c r="G7" s="16">
        <f t="shared" ref="G7:G29" si="0">(F7-1)*360/$C$17</f>
        <v>15</v>
      </c>
      <c r="H7" s="16">
        <f t="shared" ref="H7:H29" si="1">$C$7-$C$8*COS(RADIANS(G7))</f>
        <v>104.5407686390609</v>
      </c>
      <c r="I7" s="16">
        <f t="shared" ref="I7:I29" si="2">$C$7-H7</f>
        <v>270.4592313609391</v>
      </c>
    </row>
    <row r="8" spans="1:13" x14ac:dyDescent="0.3">
      <c r="A8" t="s">
        <v>171</v>
      </c>
      <c r="B8" t="s">
        <v>98</v>
      </c>
      <c r="C8" s="37">
        <f>C7-C6</f>
        <v>280</v>
      </c>
      <c r="D8" t="s">
        <v>21</v>
      </c>
      <c r="F8">
        <f t="shared" ref="F8:F29" si="3">F7+1</f>
        <v>3</v>
      </c>
      <c r="G8" s="16">
        <f t="shared" si="0"/>
        <v>30</v>
      </c>
      <c r="H8" s="16">
        <f t="shared" si="1"/>
        <v>132.51288694035716</v>
      </c>
      <c r="I8" s="16">
        <f t="shared" si="2"/>
        <v>242.48711305964284</v>
      </c>
    </row>
    <row r="9" spans="1:13" x14ac:dyDescent="0.3">
      <c r="A9" t="s">
        <v>91</v>
      </c>
      <c r="B9" t="s">
        <v>92</v>
      </c>
      <c r="C9" s="37">
        <f>Pilote_DIN!C35</f>
        <v>441786.46691106464</v>
      </c>
      <c r="D9" t="s">
        <v>93</v>
      </c>
      <c r="F9">
        <f t="shared" si="3"/>
        <v>4</v>
      </c>
      <c r="G9" s="16">
        <f t="shared" si="0"/>
        <v>45</v>
      </c>
      <c r="H9" s="16">
        <f t="shared" si="1"/>
        <v>177.01010126776669</v>
      </c>
      <c r="I9" s="16">
        <f t="shared" si="2"/>
        <v>197.98989873223331</v>
      </c>
    </row>
    <row r="10" spans="1:13" x14ac:dyDescent="0.3">
      <c r="A10" t="s">
        <v>172</v>
      </c>
      <c r="B10" t="s">
        <v>64</v>
      </c>
      <c r="C10" s="37">
        <f>Pilote_DIN!C24</f>
        <v>14.166666666666666</v>
      </c>
      <c r="D10" t="s">
        <v>43</v>
      </c>
      <c r="F10">
        <f t="shared" si="3"/>
        <v>5</v>
      </c>
      <c r="G10" s="16">
        <f t="shared" si="0"/>
        <v>60</v>
      </c>
      <c r="H10" s="16">
        <f t="shared" si="1"/>
        <v>234.99999999999997</v>
      </c>
      <c r="I10" s="16">
        <f t="shared" si="2"/>
        <v>140.00000000000003</v>
      </c>
    </row>
    <row r="11" spans="1:13" x14ac:dyDescent="0.3">
      <c r="A11" t="s">
        <v>173</v>
      </c>
      <c r="B11" t="s">
        <v>70</v>
      </c>
      <c r="C11" s="37">
        <f>Pilote_DIN!C26</f>
        <v>434.78260869565219</v>
      </c>
      <c r="D11" t="s">
        <v>43</v>
      </c>
      <c r="F11">
        <f t="shared" si="3"/>
        <v>6</v>
      </c>
      <c r="G11" s="16">
        <f t="shared" si="0"/>
        <v>75</v>
      </c>
      <c r="H11" s="16">
        <f t="shared" si="1"/>
        <v>302.53066737129416</v>
      </c>
      <c r="I11" s="16">
        <f t="shared" si="2"/>
        <v>72.469332628705843</v>
      </c>
    </row>
    <row r="12" spans="1:13" x14ac:dyDescent="0.3">
      <c r="A12" t="s">
        <v>174</v>
      </c>
      <c r="B12" t="s">
        <v>79</v>
      </c>
      <c r="C12" s="38">
        <f>Pilote_DIN!C29/1000</f>
        <v>3.5000000000000001E-3</v>
      </c>
      <c r="D12" t="s">
        <v>28</v>
      </c>
      <c r="F12">
        <f t="shared" si="3"/>
        <v>7</v>
      </c>
      <c r="G12" s="16">
        <f t="shared" si="0"/>
        <v>90</v>
      </c>
      <c r="H12" s="16">
        <f t="shared" si="1"/>
        <v>375</v>
      </c>
      <c r="I12" s="16">
        <f t="shared" si="2"/>
        <v>0</v>
      </c>
    </row>
    <row r="13" spans="1:13" x14ac:dyDescent="0.3">
      <c r="A13" t="s">
        <v>175</v>
      </c>
      <c r="B13" t="s">
        <v>83</v>
      </c>
      <c r="C13" s="38">
        <f>Pilote_DIN!C30/1000</f>
        <v>2E-3</v>
      </c>
      <c r="D13" t="s">
        <v>28</v>
      </c>
      <c r="F13">
        <f t="shared" si="3"/>
        <v>8</v>
      </c>
      <c r="G13" s="16">
        <f t="shared" si="0"/>
        <v>105</v>
      </c>
      <c r="H13" s="16">
        <f t="shared" si="1"/>
        <v>447.46933262870584</v>
      </c>
      <c r="I13" s="16">
        <f t="shared" si="2"/>
        <v>-72.469332628705843</v>
      </c>
    </row>
    <row r="14" spans="1:13" x14ac:dyDescent="0.3">
      <c r="A14" t="s">
        <v>75</v>
      </c>
      <c r="B14" t="s">
        <v>76</v>
      </c>
      <c r="C14" s="38">
        <f>Pilote_DIN!C28</f>
        <v>2.1739130434782609E-3</v>
      </c>
      <c r="D14" t="s">
        <v>28</v>
      </c>
      <c r="F14">
        <f t="shared" si="3"/>
        <v>9</v>
      </c>
      <c r="G14" s="16">
        <f t="shared" si="0"/>
        <v>120</v>
      </c>
      <c r="H14" s="16">
        <f t="shared" si="1"/>
        <v>515</v>
      </c>
      <c r="I14" s="16">
        <f t="shared" si="2"/>
        <v>-140</v>
      </c>
    </row>
    <row r="15" spans="1:13" x14ac:dyDescent="0.3">
      <c r="A15" t="s">
        <v>176</v>
      </c>
      <c r="B15" t="s">
        <v>158</v>
      </c>
      <c r="C15" s="25">
        <f>Pilote_DIN!C59</f>
        <v>0.15977908012362829</v>
      </c>
      <c r="D15" t="s">
        <v>28</v>
      </c>
      <c r="F15">
        <f t="shared" si="3"/>
        <v>10</v>
      </c>
      <c r="G15" s="16">
        <f t="shared" si="0"/>
        <v>135</v>
      </c>
      <c r="H15" s="16">
        <f t="shared" si="1"/>
        <v>572.98989873223331</v>
      </c>
      <c r="I15" s="16">
        <f t="shared" si="2"/>
        <v>-197.98989873223331</v>
      </c>
    </row>
    <row r="16" spans="1:13" x14ac:dyDescent="0.3">
      <c r="A16" t="s">
        <v>177</v>
      </c>
      <c r="B16" t="s">
        <v>162</v>
      </c>
      <c r="C16" s="25">
        <f>Pilote_DIN!C60</f>
        <v>6.5509422850687601E-2</v>
      </c>
      <c r="D16" t="s">
        <v>28</v>
      </c>
      <c r="F16">
        <f t="shared" si="3"/>
        <v>11</v>
      </c>
      <c r="G16" s="16">
        <f t="shared" si="0"/>
        <v>150</v>
      </c>
      <c r="H16" s="16">
        <f t="shared" si="1"/>
        <v>617.48711305964287</v>
      </c>
      <c r="I16" s="16">
        <f t="shared" si="2"/>
        <v>-242.48711305964287</v>
      </c>
    </row>
    <row r="17" spans="1:13" x14ac:dyDescent="0.3">
      <c r="A17" t="s">
        <v>178</v>
      </c>
      <c r="B17" t="s">
        <v>179</v>
      </c>
      <c r="C17" s="6">
        <v>24</v>
      </c>
      <c r="D17" t="s">
        <v>28</v>
      </c>
      <c r="F17">
        <f t="shared" si="3"/>
        <v>12</v>
      </c>
      <c r="G17" s="16">
        <f t="shared" si="0"/>
        <v>165</v>
      </c>
      <c r="H17" s="16">
        <f t="shared" si="1"/>
        <v>645.45923136093916</v>
      </c>
      <c r="I17" s="16">
        <f t="shared" si="2"/>
        <v>-270.45923136093916</v>
      </c>
    </row>
    <row r="18" spans="1:13" x14ac:dyDescent="0.3">
      <c r="F18">
        <f t="shared" si="3"/>
        <v>13</v>
      </c>
      <c r="G18" s="16">
        <f t="shared" si="0"/>
        <v>180</v>
      </c>
      <c r="H18" s="16">
        <f t="shared" si="1"/>
        <v>655</v>
      </c>
      <c r="I18" s="16">
        <f t="shared" si="2"/>
        <v>-280</v>
      </c>
      <c r="K18" t="s">
        <v>209</v>
      </c>
    </row>
    <row r="19" spans="1:13" x14ac:dyDescent="0.3">
      <c r="A19" s="4" t="s">
        <v>198</v>
      </c>
      <c r="B19" s="4"/>
      <c r="C19" s="4"/>
      <c r="D19" s="4"/>
      <c r="F19">
        <f t="shared" si="3"/>
        <v>14</v>
      </c>
      <c r="G19" s="16">
        <f t="shared" si="0"/>
        <v>195</v>
      </c>
      <c r="H19" s="16">
        <f t="shared" si="1"/>
        <v>645.45923136093916</v>
      </c>
      <c r="I19" s="16">
        <f t="shared" si="2"/>
        <v>-270.45923136093916</v>
      </c>
      <c r="K19" t="s">
        <v>210</v>
      </c>
      <c r="L19" s="24" cm="1">
        <f t="array" ref="L19">INDEX($L$33:$L$212,$C$21)</f>
        <v>6.4411441772182262E-2</v>
      </c>
    </row>
    <row r="20" spans="1:13" x14ac:dyDescent="0.3">
      <c r="A20" t="s">
        <v>199</v>
      </c>
      <c r="C20" s="18">
        <f>MIN(M33:M212)</f>
        <v>1.097981078505339E-3</v>
      </c>
      <c r="F20">
        <f t="shared" si="3"/>
        <v>15</v>
      </c>
      <c r="G20" s="16">
        <f t="shared" si="0"/>
        <v>210</v>
      </c>
      <c r="H20" s="16">
        <f t="shared" si="1"/>
        <v>617.48711305964275</v>
      </c>
      <c r="I20" s="16">
        <f t="shared" si="2"/>
        <v>-242.48711305964275</v>
      </c>
      <c r="K20" t="s">
        <v>211</v>
      </c>
      <c r="L20" s="24" cm="1">
        <f t="array" ref="L20">INDEX($K$33:$K$212,$C$21)</f>
        <v>1.7132185553245829E-2</v>
      </c>
    </row>
    <row r="21" spans="1:13" x14ac:dyDescent="0.3">
      <c r="A21" t="s">
        <v>200</v>
      </c>
      <c r="C21">
        <f>MATCH(C20,M33:M212,0)</f>
        <v>24</v>
      </c>
      <c r="F21">
        <f t="shared" si="3"/>
        <v>16</v>
      </c>
      <c r="G21" s="16">
        <f t="shared" si="0"/>
        <v>225</v>
      </c>
      <c r="H21" s="16">
        <f t="shared" si="1"/>
        <v>572.98989873223331</v>
      </c>
      <c r="I21" s="16">
        <f t="shared" si="2"/>
        <v>-197.98989873223331</v>
      </c>
      <c r="K21" t="s">
        <v>212</v>
      </c>
      <c r="L21" s="24" cm="1">
        <f t="array" ref="L21">IF((L19-$C$16)*(IFERROR(INDEX($L$33:$L$212,$C$21+1),L19)-$C$16)&lt;0,$C$21+1,MAX(1,$C$21-1))</f>
        <v>25</v>
      </c>
    </row>
    <row r="22" spans="1:13" x14ac:dyDescent="0.3">
      <c r="A22" t="s">
        <v>201</v>
      </c>
      <c r="B22" t="s">
        <v>185</v>
      </c>
      <c r="C22" s="21" cm="1">
        <f t="array" ref="C22">INDEX(A33:A212,C21)</f>
        <v>0.28000000000000008</v>
      </c>
      <c r="F22">
        <f t="shared" si="3"/>
        <v>17</v>
      </c>
      <c r="G22" s="16">
        <f t="shared" si="0"/>
        <v>240</v>
      </c>
      <c r="H22" s="16">
        <f t="shared" si="1"/>
        <v>515.00000000000011</v>
      </c>
      <c r="I22" s="16">
        <f t="shared" si="2"/>
        <v>-140.00000000000011</v>
      </c>
      <c r="K22" t="s">
        <v>213</v>
      </c>
      <c r="L22" s="24" cm="1">
        <f t="array" ref="L22">INDEX($L$33:$L$212,L21)</f>
        <v>7.051172800041329E-2</v>
      </c>
    </row>
    <row r="23" spans="1:13" x14ac:dyDescent="0.3">
      <c r="A23" t="s">
        <v>202</v>
      </c>
      <c r="B23" t="s">
        <v>203</v>
      </c>
      <c r="C23" s="20">
        <f>C22*C5</f>
        <v>210.00000000000006</v>
      </c>
      <c r="D23" t="s">
        <v>21</v>
      </c>
      <c r="F23">
        <f t="shared" si="3"/>
        <v>18</v>
      </c>
      <c r="G23" s="16">
        <f t="shared" si="0"/>
        <v>255</v>
      </c>
      <c r="H23" s="16">
        <f t="shared" si="1"/>
        <v>447.46933262870579</v>
      </c>
      <c r="I23" s="16">
        <f t="shared" si="2"/>
        <v>-72.469332628705786</v>
      </c>
      <c r="K23" t="s">
        <v>214</v>
      </c>
      <c r="L23" s="24" cm="1">
        <f t="array" ref="L23">INDEX($K$33:$K$212,L21)</f>
        <v>3.8376721379562911E-2</v>
      </c>
    </row>
    <row r="24" spans="1:13" x14ac:dyDescent="0.3">
      <c r="A24" t="s">
        <v>204</v>
      </c>
      <c r="B24" t="s">
        <v>196</v>
      </c>
      <c r="C24" s="24" cm="1">
        <f t="array" ref="C24">INDEX(L33:L212,C21)</f>
        <v>6.4411441772182262E-2</v>
      </c>
      <c r="F24">
        <f t="shared" si="3"/>
        <v>19</v>
      </c>
      <c r="G24" s="16">
        <f t="shared" si="0"/>
        <v>270</v>
      </c>
      <c r="H24" s="16">
        <f t="shared" si="1"/>
        <v>375.00000000000006</v>
      </c>
      <c r="I24" s="16">
        <f t="shared" si="2"/>
        <v>0</v>
      </c>
      <c r="K24" t="s">
        <v>215</v>
      </c>
      <c r="L24" s="24">
        <f>MIN($L$33:$L$212)</f>
        <v>6.4411441772182262E-2</v>
      </c>
    </row>
    <row r="25" spans="1:13" x14ac:dyDescent="0.3">
      <c r="A25" t="s">
        <v>205</v>
      </c>
      <c r="B25" t="s">
        <v>206</v>
      </c>
      <c r="C25" s="24">
        <f>MAX(L33:L212)</f>
        <v>2.3045284681659943</v>
      </c>
      <c r="F25">
        <f t="shared" si="3"/>
        <v>20</v>
      </c>
      <c r="G25" s="16">
        <f t="shared" si="0"/>
        <v>285</v>
      </c>
      <c r="H25" s="16">
        <f t="shared" si="1"/>
        <v>302.53066737129433</v>
      </c>
      <c r="I25" s="16">
        <f t="shared" si="2"/>
        <v>72.469332628705672</v>
      </c>
    </row>
    <row r="26" spans="1:13" x14ac:dyDescent="0.3">
      <c r="A26" t="s">
        <v>207</v>
      </c>
      <c r="B26" t="s">
        <v>208</v>
      </c>
      <c r="C26" s="24">
        <f>IFERROR(L20+($C$16-L19)*(L23-L20)/(L22-L19),L20)</f>
        <v>2.0955956682373499E-2</v>
      </c>
      <c r="F26">
        <f t="shared" si="3"/>
        <v>21</v>
      </c>
      <c r="G26" s="16">
        <f t="shared" si="0"/>
        <v>300</v>
      </c>
      <c r="H26" s="16">
        <f t="shared" si="1"/>
        <v>234.99999999999997</v>
      </c>
      <c r="I26" s="16">
        <f t="shared" si="2"/>
        <v>140.00000000000003</v>
      </c>
    </row>
    <row r="27" spans="1:13" x14ac:dyDescent="0.3">
      <c r="A27" t="s">
        <v>216</v>
      </c>
      <c r="C27" t="str">
        <f>IF($C$16&gt;$C$25,"FUERA DE DOMINIO: μ_Ed &gt; μ_Rd,max → aumentar D o f_ck",IF($C$16&lt;$L$24,"μ_Ed se cubre con ω→0 → rige la cuantía mínima (9.8.5)","OK — solución obtenida por interpolación"))</f>
        <v>OK — solución obtenida por interpolación</v>
      </c>
      <c r="F27">
        <f t="shared" si="3"/>
        <v>22</v>
      </c>
      <c r="G27" s="16">
        <f t="shared" si="0"/>
        <v>315</v>
      </c>
      <c r="H27" s="16">
        <f t="shared" si="1"/>
        <v>177.01010126776674</v>
      </c>
      <c r="I27" s="16">
        <f t="shared" si="2"/>
        <v>197.98989873223326</v>
      </c>
    </row>
    <row r="28" spans="1:13" ht="15.6" x14ac:dyDescent="0.3">
      <c r="A28" s="8" t="s">
        <v>217</v>
      </c>
      <c r="B28" s="9" t="s">
        <v>218</v>
      </c>
      <c r="C28" s="39">
        <f>IF($C$16&gt;$C$25,NA(),IF($C$16&lt;$L$24,0,MAX(0,$C$26)))</f>
        <v>2.0955956682373499E-2</v>
      </c>
      <c r="D28" s="9" t="s">
        <v>28</v>
      </c>
      <c r="F28">
        <f t="shared" si="3"/>
        <v>23</v>
      </c>
      <c r="G28" s="16">
        <f t="shared" si="0"/>
        <v>330</v>
      </c>
      <c r="H28" s="16">
        <f t="shared" si="1"/>
        <v>132.51288694035725</v>
      </c>
      <c r="I28" s="16">
        <f t="shared" si="2"/>
        <v>242.48711305964275</v>
      </c>
    </row>
    <row r="29" spans="1:13" x14ac:dyDescent="0.3">
      <c r="A29" s="1" t="s">
        <v>219</v>
      </c>
      <c r="F29">
        <f t="shared" si="3"/>
        <v>24</v>
      </c>
      <c r="G29" s="16">
        <f t="shared" si="0"/>
        <v>345</v>
      </c>
      <c r="H29" s="16">
        <f t="shared" si="1"/>
        <v>104.5407686390609</v>
      </c>
      <c r="I29" s="16">
        <f t="shared" si="2"/>
        <v>270.4592313609391</v>
      </c>
    </row>
    <row r="31" spans="1:13" ht="43.2" x14ac:dyDescent="0.3">
      <c r="A31" s="36" t="s">
        <v>184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</row>
    <row r="32" spans="1:13" x14ac:dyDescent="0.3">
      <c r="A32" s="5" t="s">
        <v>185</v>
      </c>
      <c r="B32" s="5" t="s">
        <v>186</v>
      </c>
      <c r="C32" s="5" t="s">
        <v>187</v>
      </c>
      <c r="D32" s="5" t="s">
        <v>188</v>
      </c>
      <c r="E32" s="5" t="s">
        <v>189</v>
      </c>
      <c r="F32" s="5" t="s">
        <v>190</v>
      </c>
      <c r="G32" s="5" t="s">
        <v>191</v>
      </c>
      <c r="H32" s="5" t="s">
        <v>192</v>
      </c>
      <c r="I32" s="5" t="s">
        <v>193</v>
      </c>
      <c r="J32" s="5" t="s">
        <v>194</v>
      </c>
      <c r="K32" s="5" t="s">
        <v>195</v>
      </c>
      <c r="L32" s="5" t="s">
        <v>196</v>
      </c>
      <c r="M32" s="5" t="s">
        <v>197</v>
      </c>
    </row>
    <row r="33" spans="1:13" x14ac:dyDescent="0.3">
      <c r="A33" s="24">
        <v>0.05</v>
      </c>
      <c r="B33" s="20">
        <f>A33*$C$5</f>
        <v>37.5</v>
      </c>
      <c r="C33" s="20">
        <f>MIN(0.8*B33,$C$5)</f>
        <v>30</v>
      </c>
      <c r="D33" s="24">
        <f>ACOS(MAX(-1,($C$7-C33)/$C$7))</f>
        <v>0.40271584158066132</v>
      </c>
      <c r="E33" s="20">
        <f>$C$7^2*(D33-SIN(D33)*COS(D33))</f>
        <v>5927.4775466687397</v>
      </c>
      <c r="F33" s="24">
        <f>E33/$C$9</f>
        <v>1.3417064556352722E-2</v>
      </c>
      <c r="G33" s="16">
        <f>IF(E33&gt;0,2*$C$7^3*SIN(D33)^3/(3*E33),0)</f>
        <v>357.04211801764848</v>
      </c>
      <c r="H33" s="24">
        <f>F33*G33/$C$5</f>
        <v>6.3872761957062627E-3</v>
      </c>
      <c r="I33" s="24" cm="1">
        <f t="array" ref="I33">_xlfn.LET(_xlpm.x,$B33,_xlpm.dep,$H$6:$H$29,_xlpm.e,IF(_xlpm.x&lt;=$C$5,$C$12*(_xlpm.x-_xlpm.dep)/_xlpm.x,$C$13*(_xlpm.x-_xlpm.dep)/(_xlpm.x-3*$C$5/7))/$C$14,_xlpm.s,(_xlpm.e&gt;=1)*1+(_xlpm.e&lt;=-1)*(-1)+(ABS(_xlpm.e)&lt;1)*_xlpm.e,AVERAGE(_xlpm.s))</f>
        <v>-1</v>
      </c>
      <c r="J33" s="24" cm="1">
        <f t="array" ref="J33">_xlfn.LET(_xlpm.x,$B33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1.5789838572446671E-17</v>
      </c>
      <c r="K33" s="24">
        <f>IFERROR(($C$15-F33)/I33,"")</f>
        <v>-0.14636201556727557</v>
      </c>
      <c r="L33" s="24" t="str">
        <f>IF(AND(ISNUMBER(K33),N(K33)&gt;0),H33+K33*J33,"")</f>
        <v/>
      </c>
      <c r="M33" s="24">
        <f>IF(ISNUMBER(L33),ABS(L33-$C$16),1000000000)</f>
        <v>1000000000</v>
      </c>
    </row>
    <row r="34" spans="1:13" x14ac:dyDescent="0.3">
      <c r="A34" s="24">
        <f>A33+0.01</f>
        <v>6.0000000000000005E-2</v>
      </c>
      <c r="B34" s="20">
        <f t="shared" ref="B34:B97" si="4">A34*$C$5</f>
        <v>45</v>
      </c>
      <c r="C34" s="20">
        <f t="shared" ref="C34:C97" si="5">MIN(0.8*B34,$C$5)</f>
        <v>36</v>
      </c>
      <c r="D34" s="24">
        <f t="shared" ref="D34:D97" si="6">ACOS(MAX(-1,($C$7-C34)/$C$7))</f>
        <v>0.44176142415005848</v>
      </c>
      <c r="E34" s="20">
        <f t="shared" ref="E34:E97" si="7">$C$7^2*(D34-SIN(D34)*COS(D34))</f>
        <v>7772.6369408721021</v>
      </c>
      <c r="F34" s="24">
        <f t="shared" ref="F34:F97" si="8">E34/$C$9</f>
        <v>1.7593651057755916E-2</v>
      </c>
      <c r="G34" s="16">
        <f t="shared" ref="G34:G97" si="9">IF(E34&gt;0,2*$C$7^3*SIN(D34)^3/(3*E34),0)</f>
        <v>353.46093946504305</v>
      </c>
      <c r="H34" s="24">
        <f t="shared" ref="H34:H97" si="10">F34*G34/$C$5</f>
        <v>8.2915579086594061E-3</v>
      </c>
      <c r="I34" s="24" cm="1">
        <f t="array" ref="I34">_xlfn.LET(_xlpm.x,$B34,_xlpm.dep,$H$6:$H$29,_xlpm.e,IF(_xlpm.x&lt;=$C$5,$C$12*(_xlpm.x-_xlpm.dep)/_xlpm.x,$C$13*(_xlpm.x-_xlpm.dep)/(_xlpm.x-3*$C$5/7))/$C$14,_xlpm.s,(_xlpm.e&gt;=1)*1+(_xlpm.e&lt;=-1)*(-1)+(ABS(_xlpm.e)&lt;1)*_xlpm.e,AVERAGE(_xlpm.s))</f>
        <v>-1</v>
      </c>
      <c r="J34" s="24" cm="1">
        <f t="array" ref="J34">_xlfn.LET(_xlpm.x,$B34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1.5789838572446671E-17</v>
      </c>
      <c r="K34" s="24">
        <f t="shared" ref="K34:K97" si="11">IFERROR(($C$15-F34)/I34,"")</f>
        <v>-0.14218542906587237</v>
      </c>
      <c r="L34" s="24" t="str">
        <f t="shared" ref="L34:L97" si="12">IF(AND(ISNUMBER(K34),N(K34)&gt;0),H34+K34*J34,"")</f>
        <v/>
      </c>
      <c r="M34" s="24">
        <f t="shared" ref="M34:M97" si="13">IF(ISNUMBER(L34),ABS(L34-$C$16),1000000000)</f>
        <v>1000000000</v>
      </c>
    </row>
    <row r="35" spans="1:13" x14ac:dyDescent="0.3">
      <c r="A35" s="24">
        <f t="shared" ref="A35:A98" si="14">A34+0.01</f>
        <v>7.0000000000000007E-2</v>
      </c>
      <c r="B35" s="20">
        <f t="shared" si="4"/>
        <v>52.500000000000007</v>
      </c>
      <c r="C35" s="20">
        <f t="shared" si="5"/>
        <v>42.000000000000007</v>
      </c>
      <c r="D35" s="24">
        <f t="shared" si="6"/>
        <v>0.47781889725220417</v>
      </c>
      <c r="E35" s="20">
        <f t="shared" si="7"/>
        <v>9770.3314047443673</v>
      </c>
      <c r="F35" s="24">
        <f t="shared" si="8"/>
        <v>2.2115506328334901E-2</v>
      </c>
      <c r="G35" s="16">
        <f t="shared" si="9"/>
        <v>349.88334353744875</v>
      </c>
      <c r="H35" s="24">
        <f t="shared" si="10"/>
        <v>1.0317129730908562E-2</v>
      </c>
      <c r="I35" s="24" cm="1">
        <f t="array" ref="I35">_xlfn.LET(_xlpm.x,$B35,_xlpm.dep,$H$6:$H$29,_xlpm.e,IF(_xlpm.x&lt;=$C$5,$C$12*(_xlpm.x-_xlpm.dep)/_xlpm.x,$C$13*(_xlpm.x-_xlpm.dep)/(_xlpm.x-3*$C$5/7))/$C$14,_xlpm.s,(_xlpm.e&gt;=1)*1+(_xlpm.e&lt;=-1)*(-1)+(ABS(_xlpm.e)&lt;1)*_xlpm.e,AVERAGE(_xlpm.s))</f>
        <v>-1</v>
      </c>
      <c r="J35" s="24" cm="1">
        <f t="array" ref="J35">_xlfn.LET(_xlpm.x,$B35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1.5789838572446671E-17</v>
      </c>
      <c r="K35" s="24">
        <f t="shared" si="11"/>
        <v>-0.1376635737952934</v>
      </c>
      <c r="L35" s="24" t="str">
        <f t="shared" si="12"/>
        <v/>
      </c>
      <c r="M35" s="24">
        <f t="shared" si="13"/>
        <v>1000000000</v>
      </c>
    </row>
    <row r="36" spans="1:13" x14ac:dyDescent="0.3">
      <c r="A36" s="24">
        <f t="shared" si="14"/>
        <v>0.08</v>
      </c>
      <c r="B36" s="20">
        <f t="shared" si="4"/>
        <v>60</v>
      </c>
      <c r="C36" s="20">
        <f t="shared" si="5"/>
        <v>48</v>
      </c>
      <c r="D36" s="24">
        <f t="shared" si="6"/>
        <v>0.51152300369407744</v>
      </c>
      <c r="E36" s="20">
        <f t="shared" si="7"/>
        <v>11907.264680465385</v>
      </c>
      <c r="F36" s="24">
        <f t="shared" si="8"/>
        <v>2.6952533796972142E-2</v>
      </c>
      <c r="G36" s="16">
        <f t="shared" si="9"/>
        <v>346.30938232905487</v>
      </c>
      <c r="H36" s="24">
        <f t="shared" si="10"/>
        <v>1.2445220441909866E-2</v>
      </c>
      <c r="I36" s="24" cm="1">
        <f t="array" ref="I36">_xlfn.LET(_xlpm.x,$B36,_xlpm.dep,$H$6:$H$29,_xlpm.e,IF(_xlpm.x&lt;=$C$5,$C$12*(_xlpm.x-_xlpm.dep)/_xlpm.x,$C$13*(_xlpm.x-_xlpm.dep)/(_xlpm.x-3*$C$5/7))/$C$14,_xlpm.s,(_xlpm.e&gt;=1)*1+(_xlpm.e&lt;=-1)*(-1)+(ABS(_xlpm.e)&lt;1)*_xlpm.e,AVERAGE(_xlpm.s))</f>
        <v>-0.99746527777777771</v>
      </c>
      <c r="J36" s="24" cm="1">
        <f t="array" ref="J36">_xlfn.LET(_xlpm.x,$B36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9.4629629629632299E-4</v>
      </c>
      <c r="K36" s="24">
        <f t="shared" si="11"/>
        <v>-0.13316408028014401</v>
      </c>
      <c r="L36" s="24" t="str">
        <f t="shared" si="12"/>
        <v/>
      </c>
      <c r="M36" s="24">
        <f t="shared" si="13"/>
        <v>1000000000</v>
      </c>
    </row>
    <row r="37" spans="1:13" x14ac:dyDescent="0.3">
      <c r="A37" s="24">
        <f t="shared" si="14"/>
        <v>0.09</v>
      </c>
      <c r="B37" s="20">
        <f t="shared" si="4"/>
        <v>67.5</v>
      </c>
      <c r="C37" s="20">
        <f t="shared" si="5"/>
        <v>54</v>
      </c>
      <c r="D37" s="24">
        <f t="shared" si="6"/>
        <v>0.54331424735514799</v>
      </c>
      <c r="E37" s="20">
        <f t="shared" si="7"/>
        <v>14172.601523071371</v>
      </c>
      <c r="F37" s="24">
        <f t="shared" si="8"/>
        <v>3.2080207486130254E-2</v>
      </c>
      <c r="G37" s="16">
        <f t="shared" si="9"/>
        <v>342.73910903123698</v>
      </c>
      <c r="H37" s="24">
        <f t="shared" si="10"/>
        <v>1.4660188975111337E-2</v>
      </c>
      <c r="I37" s="24" cm="1">
        <f t="array" ref="I37">_xlfn.LET(_xlpm.x,$B37,_xlpm.dep,$H$6:$H$29,_xlpm.e,IF(_xlpm.x&lt;=$C$5,$C$12*(_xlpm.x-_xlpm.dep)/_xlpm.x,$C$13*(_xlpm.x-_xlpm.dep)/(_xlpm.x-3*$C$5/7))/$C$14,_xlpm.s,(_xlpm.e&gt;=1)*1+(_xlpm.e&lt;=-1)*(-1)+(ABS(_xlpm.e)&lt;1)*_xlpm.e,AVERAGE(_xlpm.s))</f>
        <v>-0.97595449075171359</v>
      </c>
      <c r="J37" s="24" cm="1">
        <f t="array" ref="J37">_xlfn.LET(_xlpm.x,$B37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8.8534805506007546E-3</v>
      </c>
      <c r="K37" s="24">
        <f t="shared" si="11"/>
        <v>-0.1308451099386202</v>
      </c>
      <c r="L37" s="24" t="str">
        <f t="shared" si="12"/>
        <v/>
      </c>
      <c r="M37" s="24">
        <f t="shared" si="13"/>
        <v>1000000000</v>
      </c>
    </row>
    <row r="38" spans="1:13" x14ac:dyDescent="0.3">
      <c r="A38" s="24">
        <f t="shared" si="14"/>
        <v>9.9999999999999992E-2</v>
      </c>
      <c r="B38" s="20">
        <f t="shared" si="4"/>
        <v>75</v>
      </c>
      <c r="C38" s="20">
        <f t="shared" si="5"/>
        <v>60</v>
      </c>
      <c r="D38" s="24">
        <f t="shared" si="6"/>
        <v>0.57351310442309666</v>
      </c>
      <c r="E38" s="20">
        <f t="shared" si="7"/>
        <v>16557.261968964191</v>
      </c>
      <c r="F38" s="24">
        <f t="shared" si="8"/>
        <v>3.7477974562532962E-2</v>
      </c>
      <c r="G38" s="16">
        <f t="shared" si="9"/>
        <v>339.17257796332592</v>
      </c>
      <c r="H38" s="24">
        <f t="shared" si="10"/>
        <v>1.6948668332291011E-2</v>
      </c>
      <c r="I38" s="24" cm="1">
        <f t="array" ref="I38">_xlfn.LET(_xlpm.x,$B38,_xlpm.dep,$H$6:$H$29,_xlpm.e,IF(_xlpm.x&lt;=$C$5,$C$12*(_xlpm.x-_xlpm.dep)/_xlpm.x,$C$13*(_xlpm.x-_xlpm.dep)/(_xlpm.x-3*$C$5/7))/$C$14,_xlpm.s,(_xlpm.e&gt;=1)*1+(_xlpm.e&lt;=-1)*(-1)+(ABS(_xlpm.e)&lt;1)*_xlpm.e,AVERAGE(_xlpm.s))</f>
        <v>-0.9457340416765424</v>
      </c>
      <c r="J38" s="24" cm="1">
        <f t="array" ref="J38">_xlfn.LET(_xlpm.x,$B38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1.9871450205007902E-2</v>
      </c>
      <c r="K38" s="24">
        <f t="shared" si="11"/>
        <v>-0.12931870924756714</v>
      </c>
      <c r="L38" s="24" t="str">
        <f t="shared" si="12"/>
        <v/>
      </c>
      <c r="M38" s="24">
        <f t="shared" si="13"/>
        <v>1000000000</v>
      </c>
    </row>
    <row r="39" spans="1:13" x14ac:dyDescent="0.3">
      <c r="A39" s="24">
        <f t="shared" si="14"/>
        <v>0.10999999999999999</v>
      </c>
      <c r="B39" s="20">
        <f t="shared" si="4"/>
        <v>82.499999999999986</v>
      </c>
      <c r="C39" s="20">
        <f t="shared" si="5"/>
        <v>65.999999999999986</v>
      </c>
      <c r="D39" s="24">
        <f t="shared" si="6"/>
        <v>0.60236134403518304</v>
      </c>
      <c r="E39" s="20">
        <f t="shared" si="7"/>
        <v>19053.471079655254</v>
      </c>
      <c r="F39" s="24">
        <f t="shared" si="8"/>
        <v>4.3128236165484168E-2</v>
      </c>
      <c r="G39" s="16">
        <f t="shared" si="9"/>
        <v>335.60984460446491</v>
      </c>
      <c r="H39" s="24">
        <f t="shared" si="10"/>
        <v>1.9299014183417073E-2</v>
      </c>
      <c r="I39" s="24" cm="1">
        <f t="array" ref="I39">_xlfn.LET(_xlpm.x,$B39,_xlpm.dep,$H$6:$H$29,_xlpm.e,IF(_xlpm.x&lt;=$C$5,$C$12*(_xlpm.x-_xlpm.dep)/_xlpm.x,$C$13*(_xlpm.x-_xlpm.dep)/(_xlpm.x-3*$C$5/7))/$C$14,_xlpm.s,(_xlpm.e&gt;=1)*1+(_xlpm.e&lt;=-1)*(-1)+(ABS(_xlpm.e)&lt;1)*_xlpm.e,AVERAGE(_xlpm.s))</f>
        <v>-0.91900897523521541</v>
      </c>
      <c r="J39" s="24" cm="1">
        <f t="array" ref="J39">_xlfn.LET(_xlpm.x,$B39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2.9532540676200578E-2</v>
      </c>
      <c r="K39" s="24">
        <f t="shared" si="11"/>
        <v>-0.12693112592103681</v>
      </c>
      <c r="L39" s="24" t="str">
        <f t="shared" si="12"/>
        <v/>
      </c>
      <c r="M39" s="24">
        <f t="shared" si="13"/>
        <v>1000000000</v>
      </c>
    </row>
    <row r="40" spans="1:13" x14ac:dyDescent="0.3">
      <c r="A40" s="24">
        <f t="shared" si="14"/>
        <v>0.11999999999999998</v>
      </c>
      <c r="B40" s="20">
        <f t="shared" si="4"/>
        <v>89.999999999999986</v>
      </c>
      <c r="C40" s="20">
        <f t="shared" si="5"/>
        <v>71.999999999999986</v>
      </c>
      <c r="D40" s="24">
        <f t="shared" si="6"/>
        <v>0.63004669044584005</v>
      </c>
      <c r="E40" s="20">
        <f t="shared" si="7"/>
        <v>21654.456046644387</v>
      </c>
      <c r="F40" s="24">
        <f t="shared" si="8"/>
        <v>4.9015661792563718E-2</v>
      </c>
      <c r="G40" s="16">
        <f t="shared" si="9"/>
        <v>332.05096562660879</v>
      </c>
      <c r="H40" s="24">
        <f t="shared" si="10"/>
        <v>2.1700930438730743E-2</v>
      </c>
      <c r="I40" s="24" cm="1">
        <f t="array" ref="I40">_xlfn.LET(_xlpm.x,$B40,_xlpm.dep,$H$6:$H$29,_xlpm.e,IF(_xlpm.x&lt;=$C$5,$C$12*(_xlpm.x-_xlpm.dep)/_xlpm.x,$C$13*(_xlpm.x-_xlpm.dep)/(_xlpm.x-3*$C$5/7))/$C$14,_xlpm.s,(_xlpm.e&gt;=1)*1+(_xlpm.e&lt;=-1)*(-1)+(ABS(_xlpm.e)&lt;1)*_xlpm.e,AVERAGE(_xlpm.s))</f>
        <v>-0.88044572729894732</v>
      </c>
      <c r="J40" s="24" cm="1">
        <f t="array" ref="J40">_xlfn.LET(_xlpm.x,$B40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4.2851032276681272E-2</v>
      </c>
      <c r="K40" s="24">
        <f t="shared" si="11"/>
        <v>-0.12580380016252365</v>
      </c>
      <c r="L40" s="24" t="str">
        <f t="shared" si="12"/>
        <v/>
      </c>
      <c r="M40" s="24">
        <f t="shared" si="13"/>
        <v>1000000000</v>
      </c>
    </row>
    <row r="41" spans="1:13" x14ac:dyDescent="0.3">
      <c r="A41" s="24">
        <f t="shared" si="14"/>
        <v>0.12999999999999998</v>
      </c>
      <c r="B41" s="20">
        <f t="shared" si="4"/>
        <v>97.499999999999986</v>
      </c>
      <c r="C41" s="20">
        <f t="shared" si="5"/>
        <v>78</v>
      </c>
      <c r="D41" s="24">
        <f t="shared" si="6"/>
        <v>0.65671836474870404</v>
      </c>
      <c r="E41" s="20">
        <f t="shared" si="7"/>
        <v>24354.233765786619</v>
      </c>
      <c r="F41" s="24">
        <f t="shared" si="8"/>
        <v>5.512670846635357E-2</v>
      </c>
      <c r="G41" s="16">
        <f t="shared" si="9"/>
        <v>328.49599892870606</v>
      </c>
      <c r="H41" s="24">
        <f t="shared" si="10"/>
        <v>2.4145204220408497E-2</v>
      </c>
      <c r="I41" s="24" cm="1">
        <f t="array" ref="I41">_xlfn.LET(_xlpm.x,$B41,_xlpm.dep,$H$6:$H$29,_xlpm.e,IF(_xlpm.x&lt;=$C$5,$C$12*(_xlpm.x-_xlpm.dep)/_xlpm.x,$C$13*(_xlpm.x-_xlpm.dep)/(_xlpm.x-3*$C$5/7))/$C$14,_xlpm.s,(_xlpm.e&gt;=1)*1+(_xlpm.e&lt;=-1)*(-1)+(ABS(_xlpm.e)&lt;1)*_xlpm.e,AVERAGE(_xlpm.s))</f>
        <v>-0.84781528673748996</v>
      </c>
      <c r="J41" s="24" cm="1">
        <f t="array" ref="J41">_xlfn.LET(_xlpm.x,$B41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5.4120525169395674E-2</v>
      </c>
      <c r="K41" s="24">
        <f t="shared" si="11"/>
        <v>-0.12343770311100602</v>
      </c>
      <c r="L41" s="24" t="str">
        <f t="shared" si="12"/>
        <v/>
      </c>
      <c r="M41" s="24">
        <f t="shared" si="13"/>
        <v>1000000000</v>
      </c>
    </row>
    <row r="42" spans="1:13" x14ac:dyDescent="0.3">
      <c r="A42" s="24">
        <f t="shared" si="14"/>
        <v>0.13999999999999999</v>
      </c>
      <c r="B42" s="20">
        <f t="shared" si="4"/>
        <v>104.99999999999999</v>
      </c>
      <c r="C42" s="20">
        <f t="shared" si="5"/>
        <v>84</v>
      </c>
      <c r="D42" s="24">
        <f t="shared" si="6"/>
        <v>0.68249731727597174</v>
      </c>
      <c r="E42" s="20">
        <f t="shared" si="7"/>
        <v>27147.456763194365</v>
      </c>
      <c r="F42" s="24">
        <f t="shared" si="8"/>
        <v>6.1449271982021526E-2</v>
      </c>
      <c r="G42" s="16">
        <f t="shared" si="9"/>
        <v>324.94500367212322</v>
      </c>
      <c r="H42" s="24">
        <f t="shared" si="10"/>
        <v>2.6623511879796377E-2</v>
      </c>
      <c r="I42" s="24" cm="1">
        <f t="array" ref="I42">_xlfn.LET(_xlpm.x,$B42,_xlpm.dep,$H$6:$H$29,_xlpm.e,IF(_xlpm.x&lt;=$C$5,$C$12*(_xlpm.x-_xlpm.dep)/_xlpm.x,$C$13*(_xlpm.x-_xlpm.dep)/(_xlpm.x-3*$C$5/7))/$C$14,_xlpm.s,(_xlpm.e&gt;=1)*1+(_xlpm.e&lt;=-1)*(-1)+(ABS(_xlpm.e)&lt;1)*_xlpm.e,AVERAGE(_xlpm.s))</f>
        <v>-0.81984633768481219</v>
      </c>
      <c r="J42" s="24" cm="1">
        <f t="array" ref="J42">_xlfn.LET(_xlpm.x,$B42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6.378009050600808E-2</v>
      </c>
      <c r="K42" s="24">
        <f t="shared" si="11"/>
        <v>-0.11993687551167596</v>
      </c>
      <c r="L42" s="24" t="str">
        <f t="shared" si="12"/>
        <v/>
      </c>
      <c r="M42" s="24">
        <f t="shared" si="13"/>
        <v>1000000000</v>
      </c>
    </row>
    <row r="43" spans="1:13" x14ac:dyDescent="0.3">
      <c r="A43" s="24">
        <f t="shared" si="14"/>
        <v>0.15</v>
      </c>
      <c r="B43" s="20">
        <f t="shared" si="4"/>
        <v>112.5</v>
      </c>
      <c r="C43" s="20">
        <f t="shared" si="5"/>
        <v>90</v>
      </c>
      <c r="D43" s="24">
        <f t="shared" si="6"/>
        <v>0.70748321177934292</v>
      </c>
      <c r="E43" s="20">
        <f t="shared" si="7"/>
        <v>30029.298296832647</v>
      </c>
      <c r="F43" s="24">
        <f t="shared" si="8"/>
        <v>6.7972426830534394E-2</v>
      </c>
      <c r="G43" s="16">
        <f t="shared" si="9"/>
        <v>321.39804031736242</v>
      </c>
      <c r="H43" s="24">
        <f t="shared" si="10"/>
        <v>2.9128273038598745E-2</v>
      </c>
      <c r="I43" s="24" cm="1">
        <f t="array" ref="I43">_xlfn.LET(_xlpm.x,$B43,_xlpm.dep,$H$6:$H$29,_xlpm.e,IF(_xlpm.x&lt;=$C$5,$C$12*(_xlpm.x-_xlpm.dep)/_xlpm.x,$C$13*(_xlpm.x-_xlpm.dep)/(_xlpm.x-3*$C$5/7))/$C$14,_xlpm.s,(_xlpm.e&gt;=1)*1+(_xlpm.e&lt;=-1)*(-1)+(ABS(_xlpm.e)&lt;1)*_xlpm.e,AVERAGE(_xlpm.s))</f>
        <v>-0.78920751742516126</v>
      </c>
      <c r="J43" s="24" cm="1">
        <f t="array" ref="J43">_xlfn.LET(_xlpm.x,$B43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7.3840980618149782E-2</v>
      </c>
      <c r="K43" s="24">
        <f t="shared" si="11"/>
        <v>-0.11632764674190994</v>
      </c>
      <c r="L43" s="24" t="str">
        <f t="shared" si="12"/>
        <v/>
      </c>
      <c r="M43" s="24">
        <f t="shared" si="13"/>
        <v>1000000000</v>
      </c>
    </row>
    <row r="44" spans="1:13" x14ac:dyDescent="0.3">
      <c r="A44" s="24">
        <f t="shared" si="14"/>
        <v>0.16</v>
      </c>
      <c r="B44" s="20">
        <f t="shared" si="4"/>
        <v>120</v>
      </c>
      <c r="C44" s="20">
        <f t="shared" si="5"/>
        <v>96</v>
      </c>
      <c r="D44" s="24">
        <f t="shared" si="6"/>
        <v>0.73175933890163392</v>
      </c>
      <c r="E44" s="20">
        <f t="shared" si="7"/>
        <v>32995.364649377218</v>
      </c>
      <c r="F44" s="24">
        <f t="shared" si="8"/>
        <v>7.4686227670299976E-2</v>
      </c>
      <c r="G44" s="16">
        <f t="shared" si="9"/>
        <v>317.855170662131</v>
      </c>
      <c r="H44" s="24">
        <f t="shared" si="10"/>
        <v>3.165253818967196E-2</v>
      </c>
      <c r="I44" s="24" cm="1">
        <f t="array" ref="I44">_xlfn.LET(_xlpm.x,$B44,_xlpm.dep,$H$6:$H$29,_xlpm.e,IF(_xlpm.x&lt;=$C$5,$C$12*(_xlpm.x-_xlpm.dep)/_xlpm.x,$C$13*(_xlpm.x-_xlpm.dep)/(_xlpm.x-3*$C$5/7))/$C$14,_xlpm.s,(_xlpm.e&gt;=1)*1+(_xlpm.e&lt;=-1)*(-1)+(ABS(_xlpm.e)&lt;1)*_xlpm.e,AVERAGE(_xlpm.s))</f>
        <v>-0.75480392258608875</v>
      </c>
      <c r="J44" s="24" cm="1">
        <f t="array" ref="J44">_xlfn.LET(_xlpm.x,$B44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8.4649138736660204E-2</v>
      </c>
      <c r="K44" s="24">
        <f t="shared" si="11"/>
        <v>-0.1127350427138554</v>
      </c>
      <c r="L44" s="24" t="str">
        <f t="shared" si="12"/>
        <v/>
      </c>
      <c r="M44" s="24">
        <f t="shared" si="13"/>
        <v>1000000000</v>
      </c>
    </row>
    <row r="45" spans="1:13" x14ac:dyDescent="0.3">
      <c r="A45" s="24">
        <f t="shared" si="14"/>
        <v>0.17</v>
      </c>
      <c r="B45" s="20">
        <f t="shared" si="4"/>
        <v>127.50000000000001</v>
      </c>
      <c r="C45" s="20">
        <f t="shared" si="5"/>
        <v>102.00000000000001</v>
      </c>
      <c r="D45" s="24">
        <f t="shared" si="6"/>
        <v>0.75539616303736257</v>
      </c>
      <c r="E45" s="20">
        <f t="shared" si="7"/>
        <v>36041.62683140998</v>
      </c>
      <c r="F45" s="24">
        <f t="shared" si="8"/>
        <v>8.1581554734825021E-2</v>
      </c>
      <c r="G45" s="16">
        <f t="shared" si="9"/>
        <v>314.31645788082363</v>
      </c>
      <c r="H45" s="24">
        <f t="shared" si="10"/>
        <v>3.4189900416880983E-2</v>
      </c>
      <c r="I45" s="24" cm="1">
        <f t="array" ref="I45">_xlfn.LET(_xlpm.x,$B45,_xlpm.dep,$H$6:$H$29,_xlpm.e,IF(_xlpm.x&lt;=$C$5,$C$12*(_xlpm.x-_xlpm.dep)/_xlpm.x,$C$13*(_xlpm.x-_xlpm.dep)/(_xlpm.x-3*$C$5/7))/$C$14,_xlpm.s,(_xlpm.e&gt;=1)*1+(_xlpm.e&lt;=-1)*(-1)+(ABS(_xlpm.e)&lt;1)*_xlpm.e,AVERAGE(_xlpm.s))</f>
        <v>-0.7244478094927892</v>
      </c>
      <c r="J45" s="24" cm="1">
        <f t="array" ref="J45">_xlfn.LET(_xlpm.x,$B45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9.418574884122824E-2</v>
      </c>
      <c r="K45" s="24">
        <f t="shared" si="11"/>
        <v>-0.10794086801580924</v>
      </c>
      <c r="L45" s="24" t="str">
        <f t="shared" si="12"/>
        <v/>
      </c>
      <c r="M45" s="24">
        <f t="shared" si="13"/>
        <v>1000000000</v>
      </c>
    </row>
    <row r="46" spans="1:13" x14ac:dyDescent="0.3">
      <c r="A46" s="24">
        <f t="shared" si="14"/>
        <v>0.18000000000000002</v>
      </c>
      <c r="B46" s="20">
        <f t="shared" si="4"/>
        <v>135.00000000000003</v>
      </c>
      <c r="C46" s="20">
        <f t="shared" si="5"/>
        <v>108.00000000000003</v>
      </c>
      <c r="D46" s="24">
        <f t="shared" si="6"/>
        <v>0.77845394015561797</v>
      </c>
      <c r="E46" s="20">
        <f t="shared" si="7"/>
        <v>39164.366477380398</v>
      </c>
      <c r="F46" s="24">
        <f t="shared" si="8"/>
        <v>8.8649991366223799E-2</v>
      </c>
      <c r="G46" s="16">
        <f t="shared" si="9"/>
        <v>310.78196656548278</v>
      </c>
      <c r="H46" s="24">
        <f t="shared" si="10"/>
        <v>3.6734424870410801E-2</v>
      </c>
      <c r="I46" s="24" cm="1">
        <f t="array" ref="I46">_xlfn.LET(_xlpm.x,$B46,_xlpm.dep,$H$6:$H$29,_xlpm.e,IF(_xlpm.x&lt;=$C$5,$C$12*(_xlpm.x-_xlpm.dep)/_xlpm.x,$C$13*(_xlpm.x-_xlpm.dep)/(_xlpm.x-3*$C$5/7))/$C$14,_xlpm.s,(_xlpm.e&gt;=1)*1+(_xlpm.e&lt;=-1)*(-1)+(ABS(_xlpm.e)&lt;1)*_xlpm.e,AVERAGE(_xlpm.s))</f>
        <v>-0.69746459785430071</v>
      </c>
      <c r="J46" s="24" cm="1">
        <f t="array" ref="J46">_xlfn.LET(_xlpm.x,$B46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0.10266273560084424</v>
      </c>
      <c r="K46" s="24">
        <f t="shared" si="11"/>
        <v>-0.1019823643755224</v>
      </c>
      <c r="L46" s="24" t="str">
        <f t="shared" si="12"/>
        <v/>
      </c>
      <c r="M46" s="24">
        <f t="shared" si="13"/>
        <v>1000000000</v>
      </c>
    </row>
    <row r="47" spans="1:13" x14ac:dyDescent="0.3">
      <c r="A47" s="24">
        <f t="shared" si="14"/>
        <v>0.19000000000000003</v>
      </c>
      <c r="B47" s="20">
        <f t="shared" si="4"/>
        <v>142.50000000000003</v>
      </c>
      <c r="C47" s="20">
        <f t="shared" si="5"/>
        <v>114.00000000000003</v>
      </c>
      <c r="D47" s="24">
        <f t="shared" si="6"/>
        <v>0.80098468766555209</v>
      </c>
      <c r="E47" s="20">
        <f t="shared" si="7"/>
        <v>42360.132337271818</v>
      </c>
      <c r="F47" s="24">
        <f t="shared" si="8"/>
        <v>9.5883725532496383E-2</v>
      </c>
      <c r="G47" s="16">
        <f t="shared" si="9"/>
        <v>307.25176276830155</v>
      </c>
      <c r="H47" s="24">
        <f t="shared" si="10"/>
        <v>3.9280591587535357E-2</v>
      </c>
      <c r="I47" s="24" cm="1">
        <f t="array" ref="I47">_xlfn.LET(_xlpm.x,$B47,_xlpm.dep,$H$6:$H$29,_xlpm.e,IF(_xlpm.x&lt;=$C$5,$C$12*(_xlpm.x-_xlpm.dep)/_xlpm.x,$C$13*(_xlpm.x-_xlpm.dep)/(_xlpm.x-3*$C$5/7))/$C$14,_xlpm.s,(_xlpm.e&gt;=1)*1+(_xlpm.e&lt;=-1)*(-1)+(ABS(_xlpm.e)&lt;1)*_xlpm.e,AVERAGE(_xlpm.s))</f>
        <v>-0.67332172428302195</v>
      </c>
      <c r="J47" s="24" cm="1">
        <f t="array" ref="J47">_xlfn.LET(_xlpm.x,$B47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0.11024740796471119</v>
      </c>
      <c r="K47" s="24">
        <f t="shared" si="11"/>
        <v>-9.4895727089705978E-2</v>
      </c>
      <c r="L47" s="24" t="str">
        <f t="shared" si="12"/>
        <v/>
      </c>
      <c r="M47" s="24">
        <f t="shared" si="13"/>
        <v>1000000000</v>
      </c>
    </row>
    <row r="48" spans="1:13" x14ac:dyDescent="0.3">
      <c r="A48" s="24">
        <f t="shared" si="14"/>
        <v>0.20000000000000004</v>
      </c>
      <c r="B48" s="20">
        <f t="shared" si="4"/>
        <v>150.00000000000003</v>
      </c>
      <c r="C48" s="20">
        <f t="shared" si="5"/>
        <v>120.00000000000003</v>
      </c>
      <c r="D48" s="24">
        <f t="shared" si="6"/>
        <v>0.82303369213497612</v>
      </c>
      <c r="E48" s="20">
        <f t="shared" si="7"/>
        <v>45625.704823656662</v>
      </c>
      <c r="F48" s="24">
        <f t="shared" si="8"/>
        <v>0.10327546957847739</v>
      </c>
      <c r="G48" s="16">
        <f t="shared" si="9"/>
        <v>303.72591404574473</v>
      </c>
      <c r="H48" s="24">
        <f t="shared" si="10"/>
        <v>4.1823248528302062E-2</v>
      </c>
      <c r="I48" s="24" cm="1">
        <f t="array" ref="I48">_xlfn.LET(_xlpm.x,$B48,_xlpm.dep,$H$6:$H$29,_xlpm.e,IF(_xlpm.x&lt;=$C$5,$C$12*(_xlpm.x-_xlpm.dep)/_xlpm.x,$C$13*(_xlpm.x-_xlpm.dep)/(_xlpm.x-3*$C$5/7))/$C$14,_xlpm.s,(_xlpm.e&gt;=1)*1+(_xlpm.e&lt;=-1)*(-1)+(ABS(_xlpm.e)&lt;1)*_xlpm.e,AVERAGE(_xlpm.s))</f>
        <v>-0.64428758251331508</v>
      </c>
      <c r="J48" s="24" cm="1">
        <f t="array" ref="J48">_xlfn.LET(_xlpm.x,$B48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0.11843731679589518</v>
      </c>
      <c r="K48" s="24">
        <f t="shared" si="11"/>
        <v>-8.7699362953317789E-2</v>
      </c>
      <c r="L48" s="24" t="str">
        <f t="shared" si="12"/>
        <v/>
      </c>
      <c r="M48" s="24">
        <f t="shared" si="13"/>
        <v>1000000000</v>
      </c>
    </row>
    <row r="49" spans="1:13" x14ac:dyDescent="0.3">
      <c r="A49" s="24">
        <f t="shared" si="14"/>
        <v>0.21000000000000005</v>
      </c>
      <c r="B49" s="20">
        <f t="shared" si="4"/>
        <v>157.50000000000003</v>
      </c>
      <c r="C49" s="20">
        <f t="shared" si="5"/>
        <v>126.00000000000003</v>
      </c>
      <c r="D49" s="24">
        <f t="shared" si="6"/>
        <v>0.84464068082071642</v>
      </c>
      <c r="E49" s="20">
        <f t="shared" si="7"/>
        <v>48958.066781818859</v>
      </c>
      <c r="F49" s="24">
        <f t="shared" si="8"/>
        <v>0.11081839406292754</v>
      </c>
      <c r="G49" s="16">
        <f t="shared" si="9"/>
        <v>300.20448950435741</v>
      </c>
      <c r="H49" s="24">
        <f t="shared" si="10"/>
        <v>4.4357572556471825E-2</v>
      </c>
      <c r="I49" s="24" cm="1">
        <f t="array" ref="I49">_xlfn.LET(_xlpm.x,$B49,_xlpm.dep,$H$6:$H$29,_xlpm.e,IF(_xlpm.x&lt;=$C$5,$C$12*(_xlpm.x-_xlpm.dep)/_xlpm.x,$C$13*(_xlpm.x-_xlpm.dep)/(_xlpm.x-3*$C$5/7))/$C$14,_xlpm.s,(_xlpm.e&gt;=1)*1+(_xlpm.e&lt;=-1)*(-1)+(ABS(_xlpm.e)&lt;1)*_xlpm.e,AVERAGE(_xlpm.s))</f>
        <v>-0.6146191262031574</v>
      </c>
      <c r="J49" s="24" cm="1">
        <f t="array" ref="J49">_xlfn.LET(_xlpm.x,$B49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0.12648180221105812</v>
      </c>
      <c r="K49" s="24">
        <f t="shared" si="11"/>
        <v>-7.9660205765411204E-2</v>
      </c>
      <c r="L49" s="24" t="str">
        <f t="shared" si="12"/>
        <v/>
      </c>
      <c r="M49" s="24">
        <f t="shared" si="13"/>
        <v>1000000000</v>
      </c>
    </row>
    <row r="50" spans="1:13" x14ac:dyDescent="0.3">
      <c r="A50" s="24">
        <f t="shared" si="14"/>
        <v>0.22000000000000006</v>
      </c>
      <c r="B50" s="20">
        <f t="shared" si="4"/>
        <v>165.00000000000003</v>
      </c>
      <c r="C50" s="20">
        <f t="shared" si="5"/>
        <v>132.00000000000003</v>
      </c>
      <c r="D50" s="24">
        <f t="shared" si="6"/>
        <v>0.86584074431493285</v>
      </c>
      <c r="E50" s="20">
        <f t="shared" si="7"/>
        <v>52354.379136365205</v>
      </c>
      <c r="F50" s="24">
        <f t="shared" si="8"/>
        <v>0.1185060726337382</v>
      </c>
      <c r="G50" s="16">
        <f t="shared" si="9"/>
        <v>296.68755984834678</v>
      </c>
      <c r="H50" s="24">
        <f t="shared" si="10"/>
        <v>4.6879036689219646E-2</v>
      </c>
      <c r="I50" s="24" cm="1">
        <f t="array" ref="I50">_xlfn.LET(_xlpm.x,$B50,_xlpm.dep,$H$6:$H$29,_xlpm.e,IF(_xlpm.x&lt;=$C$5,$C$12*(_xlpm.x-_xlpm.dep)/_xlpm.x,$C$13*(_xlpm.x-_xlpm.dep)/(_xlpm.x-3*$C$5/7))/$C$14,_xlpm.s,(_xlpm.e&gt;=1)*1+(_xlpm.e&lt;=-1)*(-1)+(ABS(_xlpm.e)&lt;1)*_xlpm.e,AVERAGE(_xlpm.s))</f>
        <v>-0.58764780228483193</v>
      </c>
      <c r="J50" s="24" cm="1">
        <f t="array" ref="J50">_xlfn.LET(_xlpm.x,$B50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0.13379497077029709</v>
      </c>
      <c r="K50" s="24">
        <f t="shared" si="11"/>
        <v>-7.0234258223065948E-2</v>
      </c>
      <c r="L50" s="24" t="str">
        <f t="shared" si="12"/>
        <v/>
      </c>
      <c r="M50" s="24">
        <f t="shared" si="13"/>
        <v>1000000000</v>
      </c>
    </row>
    <row r="51" spans="1:13" x14ac:dyDescent="0.3">
      <c r="A51" s="24">
        <f t="shared" si="14"/>
        <v>0.23000000000000007</v>
      </c>
      <c r="B51" s="20">
        <f t="shared" si="4"/>
        <v>172.50000000000006</v>
      </c>
      <c r="C51" s="20">
        <f t="shared" si="5"/>
        <v>138.00000000000006</v>
      </c>
      <c r="D51" s="24">
        <f t="shared" si="6"/>
        <v>0.88666507202864253</v>
      </c>
      <c r="E51" s="20">
        <f t="shared" si="7"/>
        <v>55811.960408107312</v>
      </c>
      <c r="F51" s="24">
        <f t="shared" si="8"/>
        <v>0.12633243566363642</v>
      </c>
      <c r="G51" s="16">
        <f t="shared" si="9"/>
        <v>293.17519742901635</v>
      </c>
      <c r="H51" s="24">
        <f t="shared" si="10"/>
        <v>4.9383382356500152E-2</v>
      </c>
      <c r="I51" s="24" cm="1">
        <f t="array" ref="I51">_xlfn.LET(_xlpm.x,$B51,_xlpm.dep,$H$6:$H$29,_xlpm.e,IF(_xlpm.x&lt;=$C$5,$C$12*(_xlpm.x-_xlpm.dep)/_xlpm.x,$C$13*(_xlpm.x-_xlpm.dep)/(_xlpm.x-3*$C$5/7))/$C$14,_xlpm.s,(_xlpm.e&gt;=1)*1+(_xlpm.e&lt;=-1)*(-1)+(ABS(_xlpm.e)&lt;1)*_xlpm.e,AVERAGE(_xlpm.s))</f>
        <v>-0.56302181088114345</v>
      </c>
      <c r="J51" s="24" cm="1">
        <f t="array" ref="J51">_xlfn.LET(_xlpm.x,$B51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0.14047221162873275</v>
      </c>
      <c r="K51" s="24">
        <f t="shared" si="11"/>
        <v>-5.9405592844879361E-2</v>
      </c>
      <c r="L51" s="24" t="str">
        <f t="shared" si="12"/>
        <v/>
      </c>
      <c r="M51" s="24">
        <f t="shared" si="13"/>
        <v>1000000000</v>
      </c>
    </row>
    <row r="52" spans="1:13" x14ac:dyDescent="0.3">
      <c r="A52" s="24">
        <f t="shared" si="14"/>
        <v>0.24000000000000007</v>
      </c>
      <c r="B52" s="20">
        <f t="shared" si="4"/>
        <v>180.00000000000006</v>
      </c>
      <c r="C52" s="20">
        <f t="shared" si="5"/>
        <v>144.00000000000006</v>
      </c>
      <c r="D52" s="24">
        <f t="shared" si="6"/>
        <v>0.90714154492811294</v>
      </c>
      <c r="E52" s="20">
        <f t="shared" si="7"/>
        <v>59328.269338010432</v>
      </c>
      <c r="F52" s="24">
        <f t="shared" si="8"/>
        <v>0.13429173091885072</v>
      </c>
      <c r="G52" s="16">
        <f t="shared" si="9"/>
        <v>289.66747629614252</v>
      </c>
      <c r="H52" s="24">
        <f t="shared" si="10"/>
        <v>5.186659571027219E-2</v>
      </c>
      <c r="I52" s="24" cm="1">
        <f t="array" ref="I52">_xlfn.LET(_xlpm.x,$B52,_xlpm.dep,$H$6:$H$29,_xlpm.e,IF(_xlpm.x&lt;=$C$5,$C$12*(_xlpm.x-_xlpm.dep)/_xlpm.x,$C$13*(_xlpm.x-_xlpm.dep)/(_xlpm.x-3*$C$5/7))/$C$14,_xlpm.s,(_xlpm.e&gt;=1)*1+(_xlpm.e&lt;=-1)*(-1)+(ABS(_xlpm.e)&lt;1)*_xlpm.e,AVERAGE(_xlpm.s))</f>
        <v>-0.54044798542776251</v>
      </c>
      <c r="J52" s="24" cm="1">
        <f t="array" ref="J52">_xlfn.LET(_xlpm.x,$B52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0.14659301574896538</v>
      </c>
      <c r="K52" s="24">
        <f t="shared" si="11"/>
        <v>-4.7159671035880424E-2</v>
      </c>
      <c r="L52" s="24" t="str">
        <f t="shared" si="12"/>
        <v/>
      </c>
      <c r="M52" s="24">
        <f t="shared" si="13"/>
        <v>1000000000</v>
      </c>
    </row>
    <row r="53" spans="1:13" x14ac:dyDescent="0.3">
      <c r="A53" s="24">
        <f t="shared" si="14"/>
        <v>0.25000000000000006</v>
      </c>
      <c r="B53" s="20">
        <f t="shared" si="4"/>
        <v>187.50000000000003</v>
      </c>
      <c r="C53" s="20">
        <f t="shared" si="5"/>
        <v>150.00000000000003</v>
      </c>
      <c r="D53" s="24">
        <f t="shared" si="6"/>
        <v>0.92729521800161219</v>
      </c>
      <c r="E53" s="20">
        <f t="shared" si="7"/>
        <v>62900.890031476709</v>
      </c>
      <c r="F53" s="24">
        <f t="shared" si="8"/>
        <v>0.14237848993264701</v>
      </c>
      <c r="G53" s="16">
        <f t="shared" si="9"/>
        <v>286.16447225138597</v>
      </c>
      <c r="H53" s="24">
        <f t="shared" si="10"/>
        <v>5.4324887242033604E-2</v>
      </c>
      <c r="I53" s="24" cm="1">
        <f t="array" ref="I53">_xlfn.LET(_xlpm.x,$B53,_xlpm.dep,$H$6:$H$29,_xlpm.e,IF(_xlpm.x&lt;=$C$5,$C$12*(_xlpm.x-_xlpm.dep)/_xlpm.x,$C$13*(_xlpm.x-_xlpm.dep)/(_xlpm.x-3*$C$5/7))/$C$14,_xlpm.s,(_xlpm.e&gt;=1)*1+(_xlpm.e&lt;=-1)*(-1)+(ABS(_xlpm.e)&lt;1)*_xlpm.e,AVERAGE(_xlpm.s))</f>
        <v>-0.5186575657741116</v>
      </c>
      <c r="J53" s="24" cm="1">
        <f t="array" ref="J53">_xlfn.LET(_xlpm.x,$B53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0.15232295541925245</v>
      </c>
      <c r="K53" s="24">
        <f t="shared" si="11"/>
        <v>-3.3549284420464183E-2</v>
      </c>
      <c r="L53" s="24" t="str">
        <f t="shared" si="12"/>
        <v/>
      </c>
      <c r="M53" s="24">
        <f t="shared" si="13"/>
        <v>1000000000</v>
      </c>
    </row>
    <row r="54" spans="1:13" x14ac:dyDescent="0.3">
      <c r="A54" s="24">
        <f t="shared" si="14"/>
        <v>0.26000000000000006</v>
      </c>
      <c r="B54" s="20">
        <f t="shared" si="4"/>
        <v>195.00000000000006</v>
      </c>
      <c r="C54" s="20">
        <f t="shared" si="5"/>
        <v>156.00000000000006</v>
      </c>
      <c r="D54" s="24">
        <f t="shared" si="6"/>
        <v>0.94714871655134203</v>
      </c>
      <c r="E54" s="20">
        <f t="shared" si="7"/>
        <v>66527.519166348109</v>
      </c>
      <c r="F54" s="24">
        <f t="shared" si="8"/>
        <v>0.15058749905017046</v>
      </c>
      <c r="G54" s="16">
        <f t="shared" si="9"/>
        <v>282.66626290383971</v>
      </c>
      <c r="H54" s="24">
        <f t="shared" si="10"/>
        <v>5.6754674128729601E-2</v>
      </c>
      <c r="I54" s="24" cm="1">
        <f t="array" ref="I54">_xlfn.LET(_xlpm.x,$B54,_xlpm.dep,$H$6:$H$29,_xlpm.e,IF(_xlpm.x&lt;=$C$5,$C$12*(_xlpm.x-_xlpm.dep)/_xlpm.x,$C$13*(_xlpm.x-_xlpm.dep)/(_xlpm.x-3*$C$5/7))/$C$14,_xlpm.s,(_xlpm.e&gt;=1)*1+(_xlpm.e&lt;=-1)*(-1)+(ABS(_xlpm.e)&lt;1)*_xlpm.e,AVERAGE(_xlpm.s))</f>
        <v>-0.4911611209366456</v>
      </c>
      <c r="J54" s="24" cm="1">
        <f t="array" ref="J54">_xlfn.LET(_xlpm.x,$B54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0.15832544240222901</v>
      </c>
      <c r="K54" s="24">
        <f t="shared" si="11"/>
        <v>-1.8713983419390887E-2</v>
      </c>
      <c r="L54" s="24" t="str">
        <f t="shared" si="12"/>
        <v/>
      </c>
      <c r="M54" s="24">
        <f t="shared" si="13"/>
        <v>1000000000</v>
      </c>
    </row>
    <row r="55" spans="1:13" x14ac:dyDescent="0.3">
      <c r="A55" s="24">
        <f t="shared" si="14"/>
        <v>0.27000000000000007</v>
      </c>
      <c r="B55" s="20">
        <f t="shared" si="4"/>
        <v>202.50000000000006</v>
      </c>
      <c r="C55" s="20">
        <f t="shared" si="5"/>
        <v>162.00000000000006</v>
      </c>
      <c r="D55" s="24">
        <f t="shared" si="6"/>
        <v>0.96672256442390436</v>
      </c>
      <c r="E55" s="20">
        <f t="shared" si="7"/>
        <v>70205.954905296618</v>
      </c>
      <c r="F55" s="24">
        <f t="shared" si="8"/>
        <v>0.15891377433123063</v>
      </c>
      <c r="G55" s="16">
        <f t="shared" si="9"/>
        <v>279.17292772781445</v>
      </c>
      <c r="H55" s="24">
        <f t="shared" si="10"/>
        <v>5.9152564848435826E-2</v>
      </c>
      <c r="I55" s="24" cm="1">
        <f t="array" ref="I55">_xlfn.LET(_xlpm.x,$B55,_xlpm.dep,$H$6:$H$29,_xlpm.e,IF(_xlpm.x&lt;=$C$5,$C$12*(_xlpm.x-_xlpm.dep)/_xlpm.x,$C$13*(_xlpm.x-_xlpm.dep)/(_xlpm.x-3*$C$5/7))/$C$14,_xlpm.s,(_xlpm.e&gt;=1)*1+(_xlpm.e&lt;=-1)*(-1)+(ABS(_xlpm.e)&lt;1)*_xlpm.e,AVERAGE(_xlpm.s))</f>
        <v>-0.46570144979084399</v>
      </c>
      <c r="J55" s="24" cm="1">
        <f t="array" ref="J55">_xlfn.LET(_xlpm.x,$B55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0.16388330071979976</v>
      </c>
      <c r="K55" s="24">
        <f t="shared" si="11"/>
        <v>-1.858069784378564E-3</v>
      </c>
      <c r="L55" s="24" t="str">
        <f t="shared" si="12"/>
        <v/>
      </c>
      <c r="M55" s="24">
        <f t="shared" si="13"/>
        <v>1000000000</v>
      </c>
    </row>
    <row r="56" spans="1:13" x14ac:dyDescent="0.3">
      <c r="A56" s="24">
        <f t="shared" si="14"/>
        <v>0.28000000000000008</v>
      </c>
      <c r="B56" s="20">
        <f t="shared" si="4"/>
        <v>210.00000000000006</v>
      </c>
      <c r="C56" s="20">
        <f t="shared" si="5"/>
        <v>168.00000000000006</v>
      </c>
      <c r="D56" s="24">
        <f t="shared" si="6"/>
        <v>0.98603545796151482</v>
      </c>
      <c r="E56" s="20">
        <f t="shared" si="7"/>
        <v>73934.087226926567</v>
      </c>
      <c r="F56" s="24">
        <f t="shared" si="8"/>
        <v>0.16735253966439431</v>
      </c>
      <c r="G56" s="16">
        <f t="shared" si="9"/>
        <v>275.68454812297449</v>
      </c>
      <c r="H56" s="24">
        <f t="shared" si="10"/>
        <v>6.1515345699480944E-2</v>
      </c>
      <c r="I56" s="24" cm="1">
        <f t="array" ref="I56">_xlfn.LET(_xlpm.x,$B56,_xlpm.dep,$H$6:$H$29,_xlpm.e,IF(_xlpm.x&lt;=$C$5,$C$12*(_xlpm.x-_xlpm.dep)/_xlpm.x,$C$13*(_xlpm.x-_xlpm.dep)/(_xlpm.x-3*$C$5/7))/$C$14,_xlpm.s,(_xlpm.e&gt;=1)*1+(_xlpm.e&lt;=-1)*(-1)+(ABS(_xlpm.e)&lt;1)*_xlpm.e,AVERAGE(_xlpm.s))</f>
        <v>-0.44206032658402811</v>
      </c>
      <c r="J56" s="24" cm="1">
        <f t="array" ref="J56">_xlfn.LET(_xlpm.x,$B56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0.16904416915754411</v>
      </c>
      <c r="K56" s="24">
        <f t="shared" si="11"/>
        <v>1.7132185553245829E-2</v>
      </c>
      <c r="L56" s="24">
        <f t="shared" si="12"/>
        <v>6.4411441772182262E-2</v>
      </c>
      <c r="M56" s="24">
        <f t="shared" si="13"/>
        <v>1.097981078505339E-3</v>
      </c>
    </row>
    <row r="57" spans="1:13" x14ac:dyDescent="0.3">
      <c r="A57" s="24">
        <f t="shared" si="14"/>
        <v>0.29000000000000009</v>
      </c>
      <c r="B57" s="20">
        <f t="shared" si="4"/>
        <v>217.50000000000006</v>
      </c>
      <c r="C57" s="20">
        <f t="shared" si="5"/>
        <v>174.00000000000006</v>
      </c>
      <c r="D57" s="24">
        <f t="shared" si="6"/>
        <v>1.0051044962776214</v>
      </c>
      <c r="E57" s="20">
        <f t="shared" si="7"/>
        <v>77709.889446331959</v>
      </c>
      <c r="F57" s="24">
        <f t="shared" si="8"/>
        <v>0.1758992075734534</v>
      </c>
      <c r="G57" s="16">
        <f t="shared" si="9"/>
        <v>272.20120747694062</v>
      </c>
      <c r="H57" s="24">
        <f t="shared" si="10"/>
        <v>6.3839968927641377E-2</v>
      </c>
      <c r="I57" s="24" cm="1">
        <f t="array" ref="I57">_xlfn.LET(_xlpm.x,$B57,_xlpm.dep,$H$6:$H$29,_xlpm.e,IF(_xlpm.x&lt;=$C$5,$C$12*(_xlpm.x-_xlpm.dep)/_xlpm.x,$C$13*(_xlpm.x-_xlpm.dep)/(_xlpm.x-3*$C$5/7))/$C$14,_xlpm.s,(_xlpm.e&gt;=1)*1+(_xlpm.e&lt;=-1)*(-1)+(ABS(_xlpm.e)&lt;1)*_xlpm.e,AVERAGE(_xlpm.s))</f>
        <v>-0.42004962566733745</v>
      </c>
      <c r="J57" s="24" cm="1">
        <f t="array" ref="J57">_xlfn.LET(_xlpm.x,$B57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0.17384911563406472</v>
      </c>
      <c r="K57" s="24">
        <f t="shared" si="11"/>
        <v>3.8376721379562911E-2</v>
      </c>
      <c r="L57" s="24">
        <f t="shared" si="12"/>
        <v>7.051172800041329E-2</v>
      </c>
      <c r="M57" s="24">
        <f t="shared" si="13"/>
        <v>5.0023051497256887E-3</v>
      </c>
    </row>
    <row r="58" spans="1:13" x14ac:dyDescent="0.3">
      <c r="A58" s="24">
        <f t="shared" si="14"/>
        <v>0.3000000000000001</v>
      </c>
      <c r="B58" s="20">
        <f t="shared" si="4"/>
        <v>225.00000000000009</v>
      </c>
      <c r="C58" s="20">
        <f t="shared" si="5"/>
        <v>180.00000000000009</v>
      </c>
      <c r="D58" s="24">
        <f t="shared" si="6"/>
        <v>1.0239453760989528</v>
      </c>
      <c r="E58" s="20">
        <f t="shared" si="7"/>
        <v>81531.41073953209</v>
      </c>
      <c r="F58" s="24">
        <f t="shared" si="8"/>
        <v>0.18454936229620872</v>
      </c>
      <c r="G58" s="16">
        <f t="shared" si="9"/>
        <v>268.72299123048396</v>
      </c>
      <c r="H58" s="24">
        <f t="shared" si="10"/>
        <v>6.612354222122066E-2</v>
      </c>
      <c r="I58" s="24" cm="1">
        <f t="array" ref="I58">_xlfn.LET(_xlpm.x,$B58,_xlpm.dep,$H$6:$H$29,_xlpm.e,IF(_xlpm.x&lt;=$C$5,$C$12*(_xlpm.x-_xlpm.dep)/_xlpm.x,$C$13*(_xlpm.x-_xlpm.dep)/(_xlpm.x-3*$C$5/7))/$C$14,_xlpm.s,(_xlpm.e&gt;=1)*1+(_xlpm.e&lt;=-1)*(-1)+(ABS(_xlpm.e)&lt;1)*_xlpm.e,AVERAGE(_xlpm.s))</f>
        <v>-0.39950630481175953</v>
      </c>
      <c r="J58" s="24" cm="1">
        <f t="array" ref="J58">_xlfn.LET(_xlpm.x,$B58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0.17833373234548394</v>
      </c>
      <c r="K58" s="24">
        <f t="shared" si="11"/>
        <v>6.2002230939138134E-2</v>
      </c>
      <c r="L58" s="24">
        <f t="shared" si="12"/>
        <v>7.7180631478343809E-2</v>
      </c>
      <c r="M58" s="24">
        <f t="shared" si="13"/>
        <v>1.1671208627656207E-2</v>
      </c>
    </row>
    <row r="59" spans="1:13" x14ac:dyDescent="0.3">
      <c r="A59" s="24">
        <f t="shared" si="14"/>
        <v>0.31000000000000011</v>
      </c>
      <c r="B59" s="20">
        <f t="shared" si="4"/>
        <v>232.50000000000009</v>
      </c>
      <c r="C59" s="20">
        <f t="shared" si="5"/>
        <v>186.00000000000009</v>
      </c>
      <c r="D59" s="24">
        <f t="shared" si="6"/>
        <v>1.0425725576412255</v>
      </c>
      <c r="E59" s="20">
        <f t="shared" si="7"/>
        <v>85396.769520355752</v>
      </c>
      <c r="F59" s="24">
        <f t="shared" si="8"/>
        <v>0.19329874479280246</v>
      </c>
      <c r="G59" s="16">
        <f t="shared" si="9"/>
        <v>265.24998694544297</v>
      </c>
      <c r="H59" s="24">
        <f t="shared" si="10"/>
        <v>6.8363319377148485E-2</v>
      </c>
      <c r="I59" s="24" cm="1">
        <f t="array" ref="I59">_xlfn.LET(_xlpm.x,$B59,_xlpm.dep,$H$6:$H$29,_xlpm.e,IF(_xlpm.x&lt;=$C$5,$C$12*(_xlpm.x-_xlpm.dep)/_xlpm.x,$C$13*(_xlpm.x-_xlpm.dep)/(_xlpm.x-3*$C$5/7))/$C$14,_xlpm.s,(_xlpm.e&gt;=1)*1+(_xlpm.e&lt;=-1)*(-1)+(ABS(_xlpm.e)&lt;1)*_xlpm.e,AVERAGE(_xlpm.s))</f>
        <v>-0.37918620895761673</v>
      </c>
      <c r="J59" s="24" cm="1">
        <f t="array" ref="J59">_xlfn.LET(_xlpm.x,$B59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0.18252901894648899</v>
      </c>
      <c r="K59" s="24">
        <f t="shared" si="11"/>
        <v>8.839895512371021E-2</v>
      </c>
      <c r="L59" s="24">
        <f t="shared" si="12"/>
        <v>8.4498693931774019E-2</v>
      </c>
      <c r="M59" s="24">
        <f t="shared" si="13"/>
        <v>1.8989271081086417E-2</v>
      </c>
    </row>
    <row r="60" spans="1:13" x14ac:dyDescent="0.3">
      <c r="A60" s="24">
        <f t="shared" si="14"/>
        <v>0.32000000000000012</v>
      </c>
      <c r="B60" s="20">
        <f t="shared" si="4"/>
        <v>240.00000000000009</v>
      </c>
      <c r="C60" s="20">
        <f t="shared" si="5"/>
        <v>192.00000000000009</v>
      </c>
      <c r="D60" s="24">
        <f t="shared" si="6"/>
        <v>1.0609994066378645</v>
      </c>
      <c r="E60" s="20">
        <f t="shared" si="7"/>
        <v>89304.147545287822</v>
      </c>
      <c r="F60" s="24">
        <f t="shared" si="8"/>
        <v>0.20214323940182058</v>
      </c>
      <c r="G60" s="16">
        <f t="shared" si="9"/>
        <v>261.78228437550325</v>
      </c>
      <c r="H60" s="24">
        <f t="shared" si="10"/>
        <v>7.0556691975563773E-2</v>
      </c>
      <c r="I60" s="24" cm="1">
        <f t="array" ref="I60">_xlfn.LET(_xlpm.x,$B60,_xlpm.dep,$H$6:$H$29,_xlpm.e,IF(_xlpm.x&lt;=$C$5,$C$12*(_xlpm.x-_xlpm.dep)/_xlpm.x,$C$13*(_xlpm.x-_xlpm.dep)/(_xlpm.x-3*$C$5/7))/$C$14,_xlpm.s,(_xlpm.e&gt;=1)*1+(_xlpm.e&lt;=-1)*(-1)+(ABS(_xlpm.e)&lt;1)*_xlpm.e,AVERAGE(_xlpm.s))</f>
        <v>-0.3544069524276911</v>
      </c>
      <c r="J60" s="24" cm="1">
        <f t="array" ref="J60">_xlfn.LET(_xlpm.x,$B60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0.1864621001349312</v>
      </c>
      <c r="K60" s="24">
        <f t="shared" si="11"/>
        <v>0.11953535050031434</v>
      </c>
      <c r="L60" s="24">
        <f t="shared" si="12"/>
        <v>9.2845504470217485E-2</v>
      </c>
      <c r="M60" s="24">
        <f t="shared" si="13"/>
        <v>2.7336081619529884E-2</v>
      </c>
    </row>
    <row r="61" spans="1:13" x14ac:dyDescent="0.3">
      <c r="A61" s="24">
        <f t="shared" si="14"/>
        <v>0.33000000000000013</v>
      </c>
      <c r="B61" s="20">
        <f t="shared" si="4"/>
        <v>247.50000000000009</v>
      </c>
      <c r="C61" s="20">
        <f t="shared" si="5"/>
        <v>198.00000000000009</v>
      </c>
      <c r="D61" s="24">
        <f t="shared" si="6"/>
        <v>1.0792383166073571</v>
      </c>
      <c r="E61" s="20">
        <f t="shared" si="7"/>
        <v>93251.784643224906</v>
      </c>
      <c r="F61" s="24">
        <f t="shared" si="8"/>
        <v>0.21107886191089978</v>
      </c>
      <c r="G61" s="16">
        <f t="shared" si="9"/>
        <v>258.31997553998718</v>
      </c>
      <c r="H61" s="24">
        <f t="shared" si="10"/>
        <v>7.2701181927775957E-2</v>
      </c>
      <c r="I61" s="24" cm="1">
        <f t="array" ref="I61">_xlfn.LET(_xlpm.x,$B61,_xlpm.dep,$H$6:$H$29,_xlpm.e,IF(_xlpm.x&lt;=$C$5,$C$12*(_xlpm.x-_xlpm.dep)/_xlpm.x,$C$13*(_xlpm.x-_xlpm.dep)/(_xlpm.x-3*$C$5/7))/$C$14,_xlpm.s,(_xlpm.e&gt;=1)*1+(_xlpm.e&lt;=-1)*(-1)+(ABS(_xlpm.e)&lt;1)*_xlpm.e,AVERAGE(_xlpm.s))</f>
        <v>-0.33112946902079132</v>
      </c>
      <c r="J61" s="24" cm="1">
        <f t="array" ref="J61">_xlfn.LET(_xlpm.x,$B61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0.19015681276649818</v>
      </c>
      <c r="K61" s="24">
        <f t="shared" si="11"/>
        <v>0.15492363738864456</v>
      </c>
      <c r="L61" s="24">
        <f t="shared" si="12"/>
        <v>0.1021609670357933</v>
      </c>
      <c r="M61" s="24">
        <f t="shared" si="13"/>
        <v>3.6651544185105703E-2</v>
      </c>
    </row>
    <row r="62" spans="1:13" x14ac:dyDescent="0.3">
      <c r="A62" s="24">
        <f t="shared" si="14"/>
        <v>0.34000000000000014</v>
      </c>
      <c r="B62" s="20">
        <f t="shared" si="4"/>
        <v>255.00000000000011</v>
      </c>
      <c r="C62" s="20">
        <f t="shared" si="5"/>
        <v>204.00000000000011</v>
      </c>
      <c r="D62" s="24">
        <f t="shared" si="6"/>
        <v>1.0973008146448406</v>
      </c>
      <c r="E62" s="20">
        <f t="shared" si="7"/>
        <v>97237.973984279204</v>
      </c>
      <c r="F62" s="24">
        <f t="shared" si="8"/>
        <v>0.22010174884749023</v>
      </c>
      <c r="G62" s="16">
        <f t="shared" si="9"/>
        <v>254.8631548008137</v>
      </c>
      <c r="H62" s="24">
        <f t="shared" si="10"/>
        <v>7.4794434784596964E-2</v>
      </c>
      <c r="I62" s="24" cm="1">
        <f t="array" ref="I62">_xlfn.LET(_xlpm.x,$B62,_xlpm.dep,$H$6:$H$29,_xlpm.e,IF(_xlpm.x&lt;=$C$5,$C$12*(_xlpm.x-_xlpm.dep)/_xlpm.x,$C$13*(_xlpm.x-_xlpm.dep)/(_xlpm.x-3*$C$5/7))/$C$14,_xlpm.s,(_xlpm.e&gt;=1)*1+(_xlpm.e&lt;=-1)*(-1)+(ABS(_xlpm.e)&lt;1)*_xlpm.e,AVERAGE(_xlpm.s))</f>
        <v>-0.30964608594501647</v>
      </c>
      <c r="J62" s="24" cm="1">
        <f t="array" ref="J62">_xlfn.LET(_xlpm.x,$B62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0.19347558369642612</v>
      </c>
      <c r="K62" s="24">
        <f t="shared" si="11"/>
        <v>0.19481166228780741</v>
      </c>
      <c r="L62" s="24">
        <f t="shared" si="12"/>
        <v>0.11248573485660154</v>
      </c>
      <c r="M62" s="24">
        <f t="shared" si="13"/>
        <v>4.6976312005913942E-2</v>
      </c>
    </row>
    <row r="63" spans="1:13" x14ac:dyDescent="0.3">
      <c r="A63" s="24">
        <f t="shared" si="14"/>
        <v>0.35000000000000014</v>
      </c>
      <c r="B63" s="20">
        <f t="shared" si="4"/>
        <v>262.50000000000011</v>
      </c>
      <c r="C63" s="20">
        <f t="shared" si="5"/>
        <v>210.00000000000011</v>
      </c>
      <c r="D63" s="24">
        <f t="shared" si="6"/>
        <v>1.1151976533990735</v>
      </c>
      <c r="E63" s="20">
        <f t="shared" si="7"/>
        <v>101261.0578156517</v>
      </c>
      <c r="F63" s="24">
        <f t="shared" si="8"/>
        <v>0.22920814782684687</v>
      </c>
      <c r="G63" s="16">
        <f t="shared" si="9"/>
        <v>251.41191894279103</v>
      </c>
      <c r="H63" s="24">
        <f t="shared" si="10"/>
        <v>7.6834213709960658E-2</v>
      </c>
      <c r="I63" s="24" cm="1">
        <f t="array" ref="I63">_xlfn.LET(_xlpm.x,$B63,_xlpm.dep,$H$6:$H$29,_xlpm.e,IF(_xlpm.x&lt;=$C$5,$C$12*(_xlpm.x-_xlpm.dep)/_xlpm.x,$C$13*(_xlpm.x-_xlpm.dep)/(_xlpm.x-3*$C$5/7))/$C$14,_xlpm.s,(_xlpm.e&gt;=1)*1+(_xlpm.e&lt;=-1)*(-1)+(ABS(_xlpm.e)&lt;1)*_xlpm.e,AVERAGE(_xlpm.s))</f>
        <v>-0.28970381682277785</v>
      </c>
      <c r="J63" s="24" cm="1">
        <f t="array" ref="J63">_xlfn.LET(_xlpm.x,$B63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0.19648767353617833</v>
      </c>
      <c r="K63" s="24">
        <f t="shared" si="11"/>
        <v>0.23965534339401132</v>
      </c>
      <c r="L63" s="24">
        <f t="shared" si="12"/>
        <v>0.12392353458396387</v>
      </c>
      <c r="M63" s="24">
        <f t="shared" si="13"/>
        <v>5.8414111733276264E-2</v>
      </c>
    </row>
    <row r="64" spans="1:13" x14ac:dyDescent="0.3">
      <c r="A64" s="24">
        <f t="shared" si="14"/>
        <v>0.36000000000000015</v>
      </c>
      <c r="B64" s="20">
        <f t="shared" si="4"/>
        <v>270.00000000000011</v>
      </c>
      <c r="C64" s="20">
        <f t="shared" si="5"/>
        <v>216.00000000000011</v>
      </c>
      <c r="D64" s="24">
        <f t="shared" si="6"/>
        <v>1.1329388914046707</v>
      </c>
      <c r="E64" s="20">
        <f t="shared" si="7"/>
        <v>105319.42360388984</v>
      </c>
      <c r="F64" s="24">
        <f t="shared" si="8"/>
        <v>0.23839440881988702</v>
      </c>
      <c r="G64" s="16">
        <f t="shared" si="9"/>
        <v>247.96636725742528</v>
      </c>
      <c r="H64" s="24">
        <f t="shared" si="10"/>
        <v>7.8818394039398512E-2</v>
      </c>
      <c r="I64" s="24" cm="1">
        <f t="array" ref="I64">_xlfn.LET(_xlpm.x,$B64,_xlpm.dep,$H$6:$H$29,_xlpm.e,IF(_xlpm.x&lt;=$C$5,$C$12*(_xlpm.x-_xlpm.dep)/_xlpm.x,$C$13*(_xlpm.x-_xlpm.dep)/(_xlpm.x-3*$C$5/7))/$C$14,_xlpm.s,(_xlpm.e&gt;=1)*1+(_xlpm.e&lt;=-1)*(-1)+(ABS(_xlpm.e)&lt;1)*_xlpm.e,AVERAGE(_xlpm.s))</f>
        <v>-0.27086945154066372</v>
      </c>
      <c r="J64" s="24" cm="1">
        <f t="array" ref="J64">_xlfn.LET(_xlpm.x,$B64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0.19933242505149987</v>
      </c>
      <c r="K64" s="24">
        <f t="shared" si="11"/>
        <v>0.29023327750363448</v>
      </c>
      <c r="L64" s="24">
        <f t="shared" si="12"/>
        <v>0.13667129707484288</v>
      </c>
      <c r="M64" s="24">
        <f t="shared" si="13"/>
        <v>7.1161874224155278E-2</v>
      </c>
    </row>
    <row r="65" spans="1:13" x14ac:dyDescent="0.3">
      <c r="A65" s="24">
        <f t="shared" si="14"/>
        <v>0.37000000000000016</v>
      </c>
      <c r="B65" s="20">
        <f t="shared" si="4"/>
        <v>277.50000000000011</v>
      </c>
      <c r="C65" s="20">
        <f t="shared" si="5"/>
        <v>222.00000000000011</v>
      </c>
      <c r="D65" s="24">
        <f t="shared" si="6"/>
        <v>1.1505339635501028</v>
      </c>
      <c r="E65" s="20">
        <f t="shared" si="7"/>
        <v>109411.50053208618</v>
      </c>
      <c r="F65" s="24">
        <f t="shared" si="8"/>
        <v>0.24765697622447011</v>
      </c>
      <c r="G65" s="16">
        <f t="shared" si="9"/>
        <v>244.52660163042981</v>
      </c>
      <c r="H65" s="24">
        <f t="shared" si="10"/>
        <v>8.074495835498377E-2</v>
      </c>
      <c r="I65" s="24" cm="1">
        <f t="array" ref="I65">_xlfn.LET(_xlpm.x,$B65,_xlpm.dep,$H$6:$H$29,_xlpm.e,IF(_xlpm.x&lt;=$C$5,$C$12*(_xlpm.x-_xlpm.dep)/_xlpm.x,$C$13*(_xlpm.x-_xlpm.dep)/(_xlpm.x-3*$C$5/7))/$C$14,_xlpm.s,(_xlpm.e&gt;=1)*1+(_xlpm.e&lt;=-1)*(-1)+(ABS(_xlpm.e)&lt;1)*_xlpm.e,AVERAGE(_xlpm.s))</f>
        <v>-0.25218679009461825</v>
      </c>
      <c r="J65" s="24" cm="1">
        <f t="array" ref="J65">_xlfn.LET(_xlpm.x,$B65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0.20180727715085092</v>
      </c>
      <c r="K65" s="24">
        <f t="shared" si="11"/>
        <v>0.34846351812428722</v>
      </c>
      <c r="L65" s="24">
        <f t="shared" si="12"/>
        <v>0.15106743213405238</v>
      </c>
      <c r="M65" s="24">
        <f t="shared" si="13"/>
        <v>8.555800928336478E-2</v>
      </c>
    </row>
    <row r="66" spans="1:13" x14ac:dyDescent="0.3">
      <c r="A66" s="24">
        <f t="shared" si="14"/>
        <v>0.38000000000000017</v>
      </c>
      <c r="B66" s="20">
        <f t="shared" si="4"/>
        <v>285.00000000000011</v>
      </c>
      <c r="C66" s="20">
        <f t="shared" si="5"/>
        <v>228.00000000000011</v>
      </c>
      <c r="D66" s="24">
        <f t="shared" si="6"/>
        <v>1.1679917431511839</v>
      </c>
      <c r="E66" s="20">
        <f t="shared" si="7"/>
        <v>113535.75630818657</v>
      </c>
      <c r="F66" s="24">
        <f t="shared" si="8"/>
        <v>0.25699238164088506</v>
      </c>
      <c r="G66" s="16">
        <f t="shared" si="9"/>
        <v>241.09272663313988</v>
      </c>
      <c r="H66" s="24">
        <f t="shared" si="10"/>
        <v>8.2611992018327265E-2</v>
      </c>
      <c r="I66" s="24" cm="1">
        <f t="array" ref="I66">_xlfn.LET(_xlpm.x,$B66,_xlpm.dep,$H$6:$H$29,_xlpm.e,IF(_xlpm.x&lt;=$C$5,$C$12*(_xlpm.x-_xlpm.dep)/_xlpm.x,$C$13*(_xlpm.x-_xlpm.dep)/(_xlpm.x-3*$C$5/7))/$C$14,_xlpm.s,(_xlpm.e&gt;=1)*1+(_xlpm.e&lt;=-1)*(-1)+(ABS(_xlpm.e)&lt;1)*_xlpm.e,AVERAGE(_xlpm.s))</f>
        <v>-0.23094503246054934</v>
      </c>
      <c r="J66" s="24" cm="1">
        <f t="array" ref="J66">_xlfn.LET(_xlpm.x,$B66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0.20332686185594162</v>
      </c>
      <c r="K66" s="24">
        <f t="shared" si="11"/>
        <v>0.42093696704155353</v>
      </c>
      <c r="L66" s="24">
        <f t="shared" si="12"/>
        <v>0.16819978456604429</v>
      </c>
      <c r="M66" s="24">
        <f t="shared" si="13"/>
        <v>0.10269036171535668</v>
      </c>
    </row>
    <row r="67" spans="1:13" x14ac:dyDescent="0.3">
      <c r="A67" s="24">
        <f t="shared" si="14"/>
        <v>0.39000000000000018</v>
      </c>
      <c r="B67" s="20">
        <f t="shared" si="4"/>
        <v>292.50000000000011</v>
      </c>
      <c r="C67" s="20">
        <f t="shared" si="5"/>
        <v>234.00000000000011</v>
      </c>
      <c r="D67" s="24">
        <f t="shared" si="6"/>
        <v>1.1853205968501044</v>
      </c>
      <c r="E67" s="20">
        <f t="shared" si="7"/>
        <v>117690.69424687618</v>
      </c>
      <c r="F67" s="24">
        <f t="shared" si="8"/>
        <v>0.26639723726659176</v>
      </c>
      <c r="G67" s="16">
        <f t="shared" si="9"/>
        <v>237.66484961804497</v>
      </c>
      <c r="H67" s="24">
        <f t="shared" si="10"/>
        <v>8.44176791115029E-2</v>
      </c>
      <c r="I67" s="24" cm="1">
        <f t="array" ref="I67">_xlfn.LET(_xlpm.x,$B67,_xlpm.dep,$H$6:$H$29,_xlpm.e,IF(_xlpm.x&lt;=$C$5,$C$12*(_xlpm.x-_xlpm.dep)/_xlpm.x,$C$13*(_xlpm.x-_xlpm.dep)/(_xlpm.x-3*$C$5/7))/$C$14,_xlpm.s,(_xlpm.e&gt;=1)*1+(_xlpm.e&lt;=-1)*(-1)+(ABS(_xlpm.e)&lt;1)*_xlpm.e,AVERAGE(_xlpm.s))</f>
        <v>-0.21079259573079159</v>
      </c>
      <c r="J67" s="24" cm="1">
        <f t="array" ref="J67">_xlfn.LET(_xlpm.x,$B67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0.20476851914025843</v>
      </c>
      <c r="K67" s="24">
        <f t="shared" si="11"/>
        <v>0.5057964999829887</v>
      </c>
      <c r="L67" s="24">
        <f t="shared" si="12"/>
        <v>0.18798887939934525</v>
      </c>
      <c r="M67" s="24">
        <f t="shared" si="13"/>
        <v>0.12247945654865765</v>
      </c>
    </row>
    <row r="68" spans="1:13" x14ac:dyDescent="0.3">
      <c r="A68" s="24">
        <f t="shared" si="14"/>
        <v>0.40000000000000019</v>
      </c>
      <c r="B68" s="20">
        <f t="shared" si="4"/>
        <v>300.00000000000011</v>
      </c>
      <c r="C68" s="20">
        <f t="shared" si="5"/>
        <v>240.00000000000011</v>
      </c>
      <c r="D68" s="24">
        <f t="shared" si="6"/>
        <v>1.2025284333582569</v>
      </c>
      <c r="E68" s="20">
        <f t="shared" si="7"/>
        <v>121874.85059275795</v>
      </c>
      <c r="F68" s="24">
        <f t="shared" si="8"/>
        <v>0.27586822983713621</v>
      </c>
      <c r="G68" s="16">
        <f t="shared" si="9"/>
        <v>234.24308081866886</v>
      </c>
      <c r="H68" s="24">
        <f t="shared" si="10"/>
        <v>8.6160298742724559E-2</v>
      </c>
      <c r="I68" s="24" cm="1">
        <f t="array" ref="I68">_xlfn.LET(_xlpm.x,$B68,_xlpm.dep,$H$6:$H$29,_xlpm.e,IF(_xlpm.x&lt;=$C$5,$C$12*(_xlpm.x-_xlpm.dep)/_xlpm.x,$C$13*(_xlpm.x-_xlpm.dep)/(_xlpm.x-3*$C$5/7))/$C$14,_xlpm.s,(_xlpm.e&gt;=1)*1+(_xlpm.e&lt;=-1)*(-1)+(ABS(_xlpm.e)&lt;1)*_xlpm.e,AVERAGE(_xlpm.s))</f>
        <v>-0.19164778083752179</v>
      </c>
      <c r="J68" s="24" cm="1">
        <f t="array" ref="J68">_xlfn.LET(_xlpm.x,$B68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0.20613809356035939</v>
      </c>
      <c r="K68" s="24">
        <f t="shared" si="11"/>
        <v>0.60574220690782654</v>
      </c>
      <c r="L68" s="24">
        <f t="shared" si="12"/>
        <v>0.2110268424637487</v>
      </c>
      <c r="M68" s="24">
        <f t="shared" si="13"/>
        <v>0.14551741961306108</v>
      </c>
    </row>
    <row r="69" spans="1:13" x14ac:dyDescent="0.3">
      <c r="A69" s="24">
        <f t="shared" si="14"/>
        <v>0.4100000000000002</v>
      </c>
      <c r="B69" s="20">
        <f t="shared" si="4"/>
        <v>307.50000000000017</v>
      </c>
      <c r="C69" s="20">
        <f t="shared" si="5"/>
        <v>246.00000000000014</v>
      </c>
      <c r="D69" s="24">
        <f t="shared" si="6"/>
        <v>1.2196227468970278</v>
      </c>
      <c r="E69" s="20">
        <f t="shared" si="7"/>
        <v>126086.79205692331</v>
      </c>
      <c r="F69" s="24">
        <f t="shared" si="8"/>
        <v>0.28540211505008745</v>
      </c>
      <c r="G69" s="16">
        <f t="shared" si="9"/>
        <v>230.8275334540412</v>
      </c>
      <c r="H69" s="24">
        <f t="shared" si="10"/>
        <v>8.783822167943757E-2</v>
      </c>
      <c r="I69" s="24" cm="1">
        <f t="array" ref="I69">_xlfn.LET(_xlpm.x,$B69,_xlpm.dep,$H$6:$H$29,_xlpm.e,IF(_xlpm.x&lt;=$C$5,$C$12*(_xlpm.x-_xlpm.dep)/_xlpm.x,$C$13*(_xlpm.x-_xlpm.dep)/(_xlpm.x-3*$C$5/7))/$C$14,_xlpm.s,(_xlpm.e&gt;=1)*1+(_xlpm.e&lt;=-1)*(-1)+(ABS(_xlpm.e)&lt;1)*_xlpm.e,AVERAGE(_xlpm.s))</f>
        <v>-0.1734368593536797</v>
      </c>
      <c r="J69" s="24" cm="1">
        <f t="array" ref="J69">_xlfn.LET(_xlpm.x,$B69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0.20744085947216273</v>
      </c>
      <c r="K69" s="24">
        <f t="shared" si="11"/>
        <v>0.72431566965983518</v>
      </c>
      <c r="L69" s="24">
        <f t="shared" si="12"/>
        <v>0.23809088672282891</v>
      </c>
      <c r="M69" s="24">
        <f t="shared" si="13"/>
        <v>0.17258146387214129</v>
      </c>
    </row>
    <row r="70" spans="1:13" x14ac:dyDescent="0.3">
      <c r="A70" s="24">
        <f t="shared" si="14"/>
        <v>0.42000000000000021</v>
      </c>
      <c r="B70" s="20">
        <f t="shared" si="4"/>
        <v>315.00000000000017</v>
      </c>
      <c r="C70" s="20">
        <f t="shared" si="5"/>
        <v>252.00000000000014</v>
      </c>
      <c r="D70" s="24">
        <f t="shared" si="6"/>
        <v>1.2366106560566177</v>
      </c>
      <c r="E70" s="20">
        <f t="shared" si="7"/>
        <v>130325.11354270337</v>
      </c>
      <c r="F70" s="24">
        <f t="shared" si="8"/>
        <v>0.29499571241719119</v>
      </c>
      <c r="G70" s="16">
        <f t="shared" si="9"/>
        <v>227.4183238380198</v>
      </c>
      <c r="H70" s="24">
        <f t="shared" si="10"/>
        <v>8.9449907276426877E-2</v>
      </c>
      <c r="I70" s="24" cm="1">
        <f t="array" ref="I70">_xlfn.LET(_xlpm.x,$B70,_xlpm.dep,$H$6:$H$29,_xlpm.e,IF(_xlpm.x&lt;=$C$5,$C$12*(_xlpm.x-_xlpm.dep)/_xlpm.x,$C$13*(_xlpm.x-_xlpm.dep)/(_xlpm.x-3*$C$5/7))/$C$14,_xlpm.s,(_xlpm.e&gt;=1)*1+(_xlpm.e&lt;=-1)*(-1)+(ABS(_xlpm.e)&lt;1)*_xlpm.e,AVERAGE(_xlpm.s))</f>
        <v>-0.1560931246071636</v>
      </c>
      <c r="J70" s="24" cm="1">
        <f t="array" ref="J70">_xlfn.LET(_xlpm.x,$B70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0.20868158891197547</v>
      </c>
      <c r="K70" s="24">
        <f t="shared" si="11"/>
        <v>0.86625617005143474</v>
      </c>
      <c r="L70" s="24">
        <f t="shared" si="12"/>
        <v>0.27022162124756266</v>
      </c>
      <c r="M70" s="24">
        <f t="shared" si="13"/>
        <v>0.20471219839687504</v>
      </c>
    </row>
    <row r="71" spans="1:13" x14ac:dyDescent="0.3">
      <c r="A71" s="24">
        <f t="shared" si="14"/>
        <v>0.43000000000000022</v>
      </c>
      <c r="B71" s="20">
        <f t="shared" si="4"/>
        <v>322.50000000000017</v>
      </c>
      <c r="C71" s="20">
        <f t="shared" si="5"/>
        <v>258.00000000000017</v>
      </c>
      <c r="D71" s="24">
        <f t="shared" si="6"/>
        <v>1.2534989386827577</v>
      </c>
      <c r="E71" s="20">
        <f t="shared" si="7"/>
        <v>134588.43603949857</v>
      </c>
      <c r="F71" s="24">
        <f t="shared" si="8"/>
        <v>0.30464590049697554</v>
      </c>
      <c r="G71" s="16">
        <f t="shared" si="9"/>
        <v>224.01557149374275</v>
      </c>
      <c r="H71" s="24">
        <f t="shared" si="10"/>
        <v>9.099390067074116E-2</v>
      </c>
      <c r="I71" s="24" cm="1">
        <f t="array" ref="I71">_xlfn.LET(_xlpm.x,$B71,_xlpm.dep,$H$6:$H$29,_xlpm.e,IF(_xlpm.x&lt;=$C$5,$C$12*(_xlpm.x-_xlpm.dep)/_xlpm.x,$C$13*(_xlpm.x-_xlpm.dep)/(_xlpm.x-3*$C$5/7))/$C$14,_xlpm.s,(_xlpm.e&gt;=1)*1+(_xlpm.e&lt;=-1)*(-1)+(ABS(_xlpm.e)&lt;1)*_xlpm.e,AVERAGE(_xlpm.s))</f>
        <v>-0.1363067211925266</v>
      </c>
      <c r="J71" s="24" cm="1">
        <f t="array" ref="J71">_xlfn.LET(_xlpm.x,$B71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0.20925806392478569</v>
      </c>
      <c r="K71" s="24">
        <f t="shared" si="11"/>
        <v>1.0628002721063912</v>
      </c>
      <c r="L71" s="24">
        <f t="shared" si="12"/>
        <v>0.31339342795045999</v>
      </c>
      <c r="M71" s="24">
        <f t="shared" si="13"/>
        <v>0.24788400509977238</v>
      </c>
    </row>
    <row r="72" spans="1:13" x14ac:dyDescent="0.3">
      <c r="A72" s="24">
        <f t="shared" si="14"/>
        <v>0.44000000000000022</v>
      </c>
      <c r="B72" s="20">
        <f t="shared" si="4"/>
        <v>330.00000000000017</v>
      </c>
      <c r="C72" s="20">
        <f t="shared" si="5"/>
        <v>264.00000000000017</v>
      </c>
      <c r="D72" s="24">
        <f t="shared" si="6"/>
        <v>1.2702940633102178</v>
      </c>
      <c r="E72" s="20">
        <f t="shared" si="7"/>
        <v>138875.40466621891</v>
      </c>
      <c r="F72" s="24">
        <f t="shared" si="8"/>
        <v>0.31434961246600546</v>
      </c>
      <c r="G72" s="16">
        <f t="shared" si="9"/>
        <v>220.61939927350892</v>
      </c>
      <c r="H72" s="24">
        <f t="shared" si="10"/>
        <v>9.2468830218813941E-2</v>
      </c>
      <c r="I72" s="24" cm="1">
        <f t="array" ref="I72">_xlfn.LET(_xlpm.x,$B72,_xlpm.dep,$H$6:$H$29,_xlpm.e,IF(_xlpm.x&lt;=$C$5,$C$12*(_xlpm.x-_xlpm.dep)/_xlpm.x,$C$13*(_xlpm.x-_xlpm.dep)/(_xlpm.x-3*$C$5/7))/$C$14,_xlpm.s,(_xlpm.e&gt;=1)*1+(_xlpm.e&lt;=-1)*(-1)+(ABS(_xlpm.e)&lt;1)*_xlpm.e,AVERAGE(_xlpm.s))</f>
        <v>-0.11565202298360554</v>
      </c>
      <c r="J72" s="24" cm="1">
        <f t="array" ref="J72">_xlfn.LET(_xlpm.x,$B72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0.20947836919795643</v>
      </c>
      <c r="K72" s="24">
        <f t="shared" si="11"/>
        <v>1.3365138659467166</v>
      </c>
      <c r="L72" s="24">
        <f t="shared" si="12"/>
        <v>0.37243957526778826</v>
      </c>
      <c r="M72" s="24">
        <f t="shared" si="13"/>
        <v>0.30693015241710064</v>
      </c>
    </row>
    <row r="73" spans="1:13" x14ac:dyDescent="0.3">
      <c r="A73" s="24">
        <f t="shared" si="14"/>
        <v>0.45000000000000023</v>
      </c>
      <c r="B73" s="20">
        <f t="shared" si="4"/>
        <v>337.50000000000017</v>
      </c>
      <c r="C73" s="20">
        <f t="shared" si="5"/>
        <v>270.00000000000017</v>
      </c>
      <c r="D73" s="24">
        <f t="shared" si="6"/>
        <v>1.2870022175865692</v>
      </c>
      <c r="E73" s="20">
        <f t="shared" si="7"/>
        <v>143184.68684811136</v>
      </c>
      <c r="F73" s="24">
        <f t="shared" si="8"/>
        <v>0.32410383199206427</v>
      </c>
      <c r="G73" s="16">
        <f t="shared" si="9"/>
        <v>217.22993348440093</v>
      </c>
      <c r="H73" s="24">
        <f t="shared" si="10"/>
        <v>9.3873405154234105E-2</v>
      </c>
      <c r="I73" s="24" cm="1">
        <f t="array" ref="I73">_xlfn.LET(_xlpm.x,$B73,_xlpm.dep,$H$6:$H$29,_xlpm.e,IF(_xlpm.x&lt;=$C$5,$C$12*(_xlpm.x-_xlpm.dep)/_xlpm.x,$C$13*(_xlpm.x-_xlpm.dep)/(_xlpm.x-3*$C$5/7))/$C$14,_xlpm.s,(_xlpm.e&gt;=1)*1+(_xlpm.e&lt;=-1)*(-1)+(ABS(_xlpm.e)&lt;1)*_xlpm.e,AVERAGE(_xlpm.s))</f>
        <v>-9.5915311361747621E-2</v>
      </c>
      <c r="J73" s="24" cm="1">
        <f t="array" ref="J73">_xlfn.LET(_xlpm.x,$B73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0.20968888312565287</v>
      </c>
      <c r="K73" s="24">
        <f t="shared" si="11"/>
        <v>1.7132275289049523</v>
      </c>
      <c r="L73" s="24">
        <f t="shared" si="12"/>
        <v>0.45311817223043571</v>
      </c>
      <c r="M73" s="24">
        <f t="shared" si="13"/>
        <v>0.3876087493797481</v>
      </c>
    </row>
    <row r="74" spans="1:13" x14ac:dyDescent="0.3">
      <c r="A74" s="24">
        <f t="shared" si="14"/>
        <v>0.46000000000000024</v>
      </c>
      <c r="B74" s="20">
        <f t="shared" si="4"/>
        <v>345.00000000000017</v>
      </c>
      <c r="C74" s="20">
        <f t="shared" si="5"/>
        <v>276.00000000000017</v>
      </c>
      <c r="D74" s="24">
        <f t="shared" si="6"/>
        <v>1.3036293340668403</v>
      </c>
      <c r="E74" s="20">
        <f t="shared" si="7"/>
        <v>147514.97061266023</v>
      </c>
      <c r="F74" s="24">
        <f t="shared" si="8"/>
        <v>0.33390558937686121</v>
      </c>
      <c r="G74" s="16">
        <f t="shared" si="9"/>
        <v>213.84730401999499</v>
      </c>
      <c r="H74" s="24">
        <f t="shared" si="10"/>
        <v>9.5206413447265673E-2</v>
      </c>
      <c r="I74" s="24" cm="1">
        <f t="array" ref="I74">_xlfn.LET(_xlpm.x,$B74,_xlpm.dep,$H$6:$H$29,_xlpm.e,IF(_xlpm.x&lt;=$C$5,$C$12*(_xlpm.x-_xlpm.dep)/_xlpm.x,$C$13*(_xlpm.x-_xlpm.dep)/(_xlpm.x-3*$C$5/7))/$C$14,_xlpm.s,(_xlpm.e&gt;=1)*1+(_xlpm.e&lt;=-1)*(-1)+(ABS(_xlpm.e)&lt;1)*_xlpm.e,AVERAGE(_xlpm.s))</f>
        <v>-7.7036717636492266E-2</v>
      </c>
      <c r="J74" s="24" cm="1">
        <f t="array" ref="J74">_xlfn.LET(_xlpm.x,$B74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0.20989024427388431</v>
      </c>
      <c r="K74" s="24">
        <f t="shared" si="11"/>
        <v>2.2603054049482147</v>
      </c>
      <c r="L74" s="24">
        <f t="shared" si="12"/>
        <v>0.56962246702542751</v>
      </c>
      <c r="M74" s="24">
        <f t="shared" si="13"/>
        <v>0.5041130441747399</v>
      </c>
    </row>
    <row r="75" spans="1:13" x14ac:dyDescent="0.3">
      <c r="A75" s="24">
        <f t="shared" si="14"/>
        <v>0.47000000000000025</v>
      </c>
      <c r="B75" s="20">
        <f t="shared" si="4"/>
        <v>352.50000000000017</v>
      </c>
      <c r="C75" s="20">
        <f t="shared" si="5"/>
        <v>282.00000000000017</v>
      </c>
      <c r="D75" s="24">
        <f t="shared" si="6"/>
        <v>1.3201811137071817</v>
      </c>
      <c r="E75" s="20">
        <f t="shared" si="7"/>
        <v>151864.96299188409</v>
      </c>
      <c r="F75" s="24">
        <f t="shared" si="8"/>
        <v>0.34375195793957131</v>
      </c>
      <c r="G75" s="16">
        <f t="shared" si="9"/>
        <v>210.47164449851974</v>
      </c>
      <c r="H75" s="24">
        <f t="shared" si="10"/>
        <v>9.6466719849503418E-2</v>
      </c>
      <c r="I75" s="24" cm="1">
        <f t="array" ref="I75">_xlfn.LET(_xlpm.x,$B75,_xlpm.dep,$H$6:$H$29,_xlpm.e,IF(_xlpm.x&lt;=$C$5,$C$12*(_xlpm.x-_xlpm.dep)/_xlpm.x,$C$13*(_xlpm.x-_xlpm.dep)/(_xlpm.x-3*$C$5/7))/$C$14,_xlpm.s,(_xlpm.e&gt;=1)*1+(_xlpm.e&lt;=-1)*(-1)+(ABS(_xlpm.e)&lt;1)*_xlpm.e,AVERAGE(_xlpm.s))</f>
        <v>-5.9358454619646082E-2</v>
      </c>
      <c r="J75" s="24" cm="1">
        <f t="array" ref="J75">_xlfn.LET(_xlpm.x,$B75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0.20995468478195758</v>
      </c>
      <c r="K75" s="24">
        <f t="shared" si="11"/>
        <v>3.0993542368108224</v>
      </c>
      <c r="L75" s="24">
        <f t="shared" si="12"/>
        <v>0.7471906616667443</v>
      </c>
      <c r="M75" s="24">
        <f t="shared" si="13"/>
        <v>0.68168123881605669</v>
      </c>
    </row>
    <row r="76" spans="1:13" x14ac:dyDescent="0.3">
      <c r="A76" s="24">
        <f t="shared" si="14"/>
        <v>0.48000000000000026</v>
      </c>
      <c r="B76" s="20">
        <f t="shared" si="4"/>
        <v>360.00000000000017</v>
      </c>
      <c r="C76" s="20">
        <f t="shared" si="5"/>
        <v>288.00000000000017</v>
      </c>
      <c r="D76" s="24">
        <f t="shared" si="6"/>
        <v>1.3366630473416077</v>
      </c>
      <c r="E76" s="20">
        <f t="shared" si="7"/>
        <v>156233.3885197581</v>
      </c>
      <c r="F76" s="24">
        <f t="shared" si="8"/>
        <v>0.35364005061569531</v>
      </c>
      <c r="G76" s="16">
        <f t="shared" si="9"/>
        <v>207.10309240785634</v>
      </c>
      <c r="H76" s="24">
        <f t="shared" si="10"/>
        <v>9.7653264109041779E-2</v>
      </c>
      <c r="I76" s="24" cm="1">
        <f t="array" ref="I76">_xlfn.LET(_xlpm.x,$B76,_xlpm.dep,$H$6:$H$29,_xlpm.e,IF(_xlpm.x&lt;=$C$5,$C$12*(_xlpm.x-_xlpm.dep)/_xlpm.x,$C$13*(_xlpm.x-_xlpm.dep)/(_xlpm.x-3*$C$5/7))/$C$14,_xlpm.s,(_xlpm.e&gt;=1)*1+(_xlpm.e&lt;=-1)*(-1)+(ABS(_xlpm.e)&lt;1)*_xlpm.e,AVERAGE(_xlpm.s))</f>
        <v>-3.9131944444444067E-2</v>
      </c>
      <c r="J76" s="24" cm="1">
        <f t="array" ref="J76">_xlfn.LET(_xlpm.x,$B76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0.20875561031343579</v>
      </c>
      <c r="K76" s="24">
        <f t="shared" si="11"/>
        <v>4.9540336736216366</v>
      </c>
      <c r="L76" s="24">
        <f t="shared" si="12"/>
        <v>1.1318355871592389</v>
      </c>
      <c r="M76" s="24">
        <f t="shared" si="13"/>
        <v>1.0663261643085513</v>
      </c>
    </row>
    <row r="77" spans="1:13" x14ac:dyDescent="0.3">
      <c r="A77" s="24">
        <f t="shared" si="14"/>
        <v>0.49000000000000027</v>
      </c>
      <c r="B77" s="20">
        <f t="shared" si="4"/>
        <v>367.50000000000023</v>
      </c>
      <c r="C77" s="20">
        <f t="shared" si="5"/>
        <v>294.00000000000017</v>
      </c>
      <c r="D77" s="24">
        <f t="shared" si="6"/>
        <v>1.3530804353887878</v>
      </c>
      <c r="E77" s="20">
        <f t="shared" si="7"/>
        <v>160618.98781469758</v>
      </c>
      <c r="F77" s="24">
        <f t="shared" si="8"/>
        <v>0.36356701674845904</v>
      </c>
      <c r="G77" s="16">
        <f t="shared" si="9"/>
        <v>203.74178925779756</v>
      </c>
      <c r="H77" s="24">
        <f t="shared" si="10"/>
        <v>9.8765059343267597E-2</v>
      </c>
      <c r="I77" s="24" cm="1">
        <f t="array" ref="I77">_xlfn.LET(_xlpm.x,$B77,_xlpm.dep,$H$6:$H$29,_xlpm.e,IF(_xlpm.x&lt;=$C$5,$C$12*(_xlpm.x-_xlpm.dep)/_xlpm.x,$C$13*(_xlpm.x-_xlpm.dep)/(_xlpm.x-3*$C$5/7))/$C$14,_xlpm.s,(_xlpm.e&gt;=1)*1+(_xlpm.e&lt;=-1)*(-1)+(ABS(_xlpm.e)&lt;1)*_xlpm.e,AVERAGE(_xlpm.s))</f>
        <v>-1.916666666666611E-2</v>
      </c>
      <c r="J77" s="24" cm="1">
        <f t="array" ref="J77">_xlfn.LET(_xlpm.x,$B77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0.20745649964681506</v>
      </c>
      <c r="K77" s="24">
        <f t="shared" si="11"/>
        <v>10.632414084774087</v>
      </c>
      <c r="L77" s="24">
        <f t="shared" si="12"/>
        <v>2.3045284681659943</v>
      </c>
      <c r="M77" s="24">
        <f t="shared" si="13"/>
        <v>2.2390190453153069</v>
      </c>
    </row>
    <row r="78" spans="1:13" x14ac:dyDescent="0.3">
      <c r="A78" s="24">
        <f t="shared" si="14"/>
        <v>0.50000000000000022</v>
      </c>
      <c r="B78" s="20">
        <f t="shared" si="4"/>
        <v>375.00000000000017</v>
      </c>
      <c r="C78" s="20">
        <f t="shared" si="5"/>
        <v>300.00000000000017</v>
      </c>
      <c r="D78" s="24">
        <f t="shared" si="6"/>
        <v>1.3694384060045661</v>
      </c>
      <c r="E78" s="20">
        <f t="shared" si="7"/>
        <v>165020.51623808139</v>
      </c>
      <c r="F78" s="24">
        <f t="shared" si="8"/>
        <v>0.37353003905233118</v>
      </c>
      <c r="G78" s="16">
        <f t="shared" si="9"/>
        <v>200.38788074001835</v>
      </c>
      <c r="H78" s="24">
        <f t="shared" si="10"/>
        <v>9.9801190557910577E-2</v>
      </c>
      <c r="I78" s="24" cm="1">
        <f t="array" ref="I78">_xlfn.LET(_xlpm.x,$B78,_xlpm.dep,$H$6:$H$29,_xlpm.e,IF(_xlpm.x&lt;=$C$5,$C$12*(_xlpm.x-_xlpm.dep)/_xlpm.x,$C$13*(_xlpm.x-_xlpm.dep)/(_xlpm.x-3*$C$5/7))/$C$14,_xlpm.s,(_xlpm.e&gt;=1)*1+(_xlpm.e&lt;=-1)*(-1)+(ABS(_xlpm.e)&lt;1)*_xlpm.e,AVERAGE(_xlpm.s))</f>
        <v>3.793262000802618E-16</v>
      </c>
      <c r="J78" s="24" cm="1">
        <f t="array" ref="J78">_xlfn.LET(_xlpm.x,$B78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0.20620935340685911</v>
      </c>
      <c r="K78" s="24">
        <f t="shared" si="11"/>
        <v>-563501700867156.63</v>
      </c>
      <c r="L78" s="24" t="str">
        <f t="shared" si="12"/>
        <v/>
      </c>
      <c r="M78" s="24">
        <f t="shared" si="13"/>
        <v>1000000000</v>
      </c>
    </row>
    <row r="79" spans="1:13" x14ac:dyDescent="0.3">
      <c r="A79" s="24">
        <f t="shared" si="14"/>
        <v>0.51000000000000023</v>
      </c>
      <c r="B79" s="20">
        <f t="shared" si="4"/>
        <v>382.50000000000017</v>
      </c>
      <c r="C79" s="20">
        <f t="shared" si="5"/>
        <v>306.00000000000017</v>
      </c>
      <c r="D79" s="24">
        <f t="shared" si="6"/>
        <v>1.3857419318694051</v>
      </c>
      <c r="E79" s="20">
        <f t="shared" si="7"/>
        <v>169436.74262069204</v>
      </c>
      <c r="F79" s="24">
        <f t="shared" si="8"/>
        <v>0.38352633073027359</v>
      </c>
      <c r="G79" s="16">
        <f t="shared" si="9"/>
        <v>197.04151689623956</v>
      </c>
      <c r="H79" s="24">
        <f t="shared" si="10"/>
        <v>0.10076081330232262</v>
      </c>
      <c r="I79" s="24" cm="1">
        <f t="array" ref="I79">_xlfn.LET(_xlpm.x,$B79,_xlpm.dep,$H$6:$H$29,_xlpm.e,IF(_xlpm.x&lt;=$C$5,$C$12*(_xlpm.x-_xlpm.dep)/_xlpm.x,$C$13*(_xlpm.x-_xlpm.dep)/(_xlpm.x-3*$C$5/7))/$C$14,_xlpm.s,(_xlpm.e&gt;=1)*1+(_xlpm.e&lt;=-1)*(-1)+(ABS(_xlpm.e)&lt;1)*_xlpm.e,AVERAGE(_xlpm.s))</f>
        <v>1.9323692369058249E-2</v>
      </c>
      <c r="J79" s="24" cm="1">
        <f t="array" ref="J79">_xlfn.LET(_xlpm.x,$B79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0.20471733050949872</v>
      </c>
      <c r="K79" s="24">
        <f t="shared" si="11"/>
        <v>-11.578907712529981</v>
      </c>
      <c r="L79" s="24" t="str">
        <f t="shared" si="12"/>
        <v/>
      </c>
      <c r="M79" s="24">
        <f t="shared" si="13"/>
        <v>1000000000</v>
      </c>
    </row>
    <row r="80" spans="1:13" x14ac:dyDescent="0.3">
      <c r="A80" s="24">
        <f t="shared" si="14"/>
        <v>0.52000000000000024</v>
      </c>
      <c r="B80" s="20">
        <f t="shared" si="4"/>
        <v>390.00000000000017</v>
      </c>
      <c r="C80" s="20">
        <f t="shared" si="5"/>
        <v>312.00000000000017</v>
      </c>
      <c r="D80" s="24">
        <f t="shared" si="6"/>
        <v>1.4019958457774899</v>
      </c>
      <c r="E80" s="20">
        <f t="shared" si="7"/>
        <v>173866.44804972652</v>
      </c>
      <c r="F80" s="24">
        <f t="shared" si="8"/>
        <v>0.39355313272809533</v>
      </c>
      <c r="G80" s="16">
        <f t="shared" si="9"/>
        <v>193.70285229510824</v>
      </c>
      <c r="H80" s="24">
        <f t="shared" si="10"/>
        <v>0.10164315245214317</v>
      </c>
      <c r="I80" s="24" cm="1">
        <f t="array" ref="I80">_xlfn.LET(_xlpm.x,$B80,_xlpm.dep,$H$6:$H$29,_xlpm.e,IF(_xlpm.x&lt;=$C$5,$C$12*(_xlpm.x-_xlpm.dep)/_xlpm.x,$C$13*(_xlpm.x-_xlpm.dep)/(_xlpm.x-3*$C$5/7))/$C$14,_xlpm.s,(_xlpm.e&gt;=1)*1+(_xlpm.e&lt;=-1)*(-1)+(ABS(_xlpm.e)&lt;1)*_xlpm.e,AVERAGE(_xlpm.s))</f>
        <v>4.1195672644012214E-2</v>
      </c>
      <c r="J80" s="24" cm="1">
        <f t="array" ref="J80">_xlfn.LET(_xlpm.x,$B80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0.20221849578550305</v>
      </c>
      <c r="K80" s="24">
        <f t="shared" si="11"/>
        <v>-5.6747235231379589</v>
      </c>
      <c r="L80" s="24" t="str">
        <f t="shared" si="12"/>
        <v/>
      </c>
      <c r="M80" s="24">
        <f t="shared" si="13"/>
        <v>1000000000</v>
      </c>
    </row>
    <row r="81" spans="1:13" x14ac:dyDescent="0.3">
      <c r="A81" s="24">
        <f t="shared" si="14"/>
        <v>0.53000000000000025</v>
      </c>
      <c r="B81" s="20">
        <f t="shared" si="4"/>
        <v>397.50000000000017</v>
      </c>
      <c r="C81" s="20">
        <f t="shared" si="5"/>
        <v>318.00000000000017</v>
      </c>
      <c r="D81" s="24">
        <f t="shared" si="6"/>
        <v>1.4182048551751854</v>
      </c>
      <c r="E81" s="20">
        <f t="shared" si="7"/>
        <v>178308.42470970517</v>
      </c>
      <c r="F81" s="24">
        <f t="shared" si="8"/>
        <v>0.40360771111080723</v>
      </c>
      <c r="G81" s="16">
        <f t="shared" si="9"/>
        <v>190.37204621835198</v>
      </c>
      <c r="H81" s="24">
        <f t="shared" si="10"/>
        <v>0.1024475011115598</v>
      </c>
      <c r="I81" s="24" cm="1">
        <f t="array" ref="I81">_xlfn.LET(_xlpm.x,$B81,_xlpm.dep,$H$6:$H$29,_xlpm.e,IF(_xlpm.x&lt;=$C$5,$C$12*(_xlpm.x-_xlpm.dep)/_xlpm.x,$C$13*(_xlpm.x-_xlpm.dep)/(_xlpm.x-3*$C$5/7))/$C$14,_xlpm.s,(_xlpm.e&gt;=1)*1+(_xlpm.e&lt;=-1)*(-1)+(ABS(_xlpm.e)&lt;1)*_xlpm.e,AVERAGE(_xlpm.s))</f>
        <v>6.2242295172741539E-2</v>
      </c>
      <c r="J81" s="24" cm="1">
        <f t="array" ref="J81">_xlfn.LET(_xlpm.x,$B81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0.19981395671146948</v>
      </c>
      <c r="K81" s="24">
        <f t="shared" si="11"/>
        <v>-3.9174106660186516</v>
      </c>
      <c r="L81" s="24" t="str">
        <f t="shared" si="12"/>
        <v/>
      </c>
      <c r="M81" s="24">
        <f t="shared" si="13"/>
        <v>1000000000</v>
      </c>
    </row>
    <row r="82" spans="1:13" x14ac:dyDescent="0.3">
      <c r="A82" s="24">
        <f t="shared" si="14"/>
        <v>0.54000000000000026</v>
      </c>
      <c r="B82" s="20">
        <f t="shared" si="4"/>
        <v>405.00000000000017</v>
      </c>
      <c r="C82" s="20">
        <f t="shared" si="5"/>
        <v>324.00000000000017</v>
      </c>
      <c r="D82" s="24">
        <f t="shared" si="6"/>
        <v>1.434373555780329</v>
      </c>
      <c r="E82" s="20">
        <f t="shared" si="7"/>
        <v>182761.47477118365</v>
      </c>
      <c r="F82" s="24">
        <f t="shared" si="8"/>
        <v>0.41368735454718014</v>
      </c>
      <c r="G82" s="16">
        <f t="shared" si="9"/>
        <v>187.04926285681432</v>
      </c>
      <c r="H82" s="24">
        <f t="shared" si="10"/>
        <v>0.10317321962831418</v>
      </c>
      <c r="I82" s="24" cm="1">
        <f t="array" ref="I82">_xlfn.LET(_xlpm.x,$B82,_xlpm.dep,$H$6:$H$29,_xlpm.e,IF(_xlpm.x&lt;=$C$5,$C$12*(_xlpm.x-_xlpm.dep)/_xlpm.x,$C$13*(_xlpm.x-_xlpm.dep)/(_xlpm.x-3*$C$5/7))/$C$14,_xlpm.s,(_xlpm.e&gt;=1)*1+(_xlpm.e&lt;=-1)*(-1)+(ABS(_xlpm.e)&lt;1)*_xlpm.e,AVERAGE(_xlpm.s))</f>
        <v>8.6441643103470259E-2</v>
      </c>
      <c r="J82" s="24" cm="1">
        <f t="array" ref="J82">_xlfn.LET(_xlpm.x,$B82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0.19607719225546713</v>
      </c>
      <c r="K82" s="24">
        <f t="shared" si="11"/>
        <v>-2.9373374372306271</v>
      </c>
      <c r="L82" s="24" t="str">
        <f t="shared" si="12"/>
        <v/>
      </c>
      <c r="M82" s="24">
        <f t="shared" si="13"/>
        <v>1000000000</v>
      </c>
    </row>
    <row r="83" spans="1:13" x14ac:dyDescent="0.3">
      <c r="A83" s="24">
        <f t="shared" si="14"/>
        <v>0.55000000000000027</v>
      </c>
      <c r="B83" s="20">
        <f t="shared" si="4"/>
        <v>412.50000000000023</v>
      </c>
      <c r="C83" s="20">
        <f t="shared" si="5"/>
        <v>330.00000000000023</v>
      </c>
      <c r="D83" s="24">
        <f t="shared" si="6"/>
        <v>1.450506444400109</v>
      </c>
      <c r="E83" s="20">
        <f t="shared" si="7"/>
        <v>187224.40932167775</v>
      </c>
      <c r="F83" s="24">
        <f t="shared" si="8"/>
        <v>0.42378937188985377</v>
      </c>
      <c r="G83" s="16">
        <f t="shared" si="9"/>
        <v>183.73467151702053</v>
      </c>
      <c r="H83" s="24">
        <f t="shared" si="10"/>
        <v>0.10381973471544899</v>
      </c>
      <c r="I83" s="24" cm="1">
        <f t="array" ref="I83">_xlfn.LET(_xlpm.x,$B83,_xlpm.dep,$H$6:$H$29,_xlpm.e,IF(_xlpm.x&lt;=$C$5,$C$12*(_xlpm.x-_xlpm.dep)/_xlpm.x,$C$13*(_xlpm.x-_xlpm.dep)/(_xlpm.x-3*$C$5/7))/$C$14,_xlpm.s,(_xlpm.e&gt;=1)*1+(_xlpm.e&lt;=-1)*(-1)+(ABS(_xlpm.e)&lt;1)*_xlpm.e,AVERAGE(_xlpm.s))</f>
        <v>0.11183209807734677</v>
      </c>
      <c r="J83" s="24" cm="1">
        <f t="array" ref="J83">_xlfn.LET(_xlpm.x,$B83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0.19170751144658679</v>
      </c>
      <c r="K83" s="24">
        <f t="shared" si="11"/>
        <v>-2.360773841367326</v>
      </c>
      <c r="L83" s="24" t="str">
        <f t="shared" si="12"/>
        <v/>
      </c>
      <c r="M83" s="24">
        <f t="shared" si="13"/>
        <v>1000000000</v>
      </c>
    </row>
    <row r="84" spans="1:13" x14ac:dyDescent="0.3">
      <c r="A84" s="24">
        <f t="shared" si="14"/>
        <v>0.56000000000000028</v>
      </c>
      <c r="B84" s="20">
        <f t="shared" si="4"/>
        <v>420.00000000000023</v>
      </c>
      <c r="C84" s="20">
        <f t="shared" si="5"/>
        <v>336.00000000000023</v>
      </c>
      <c r="D84" s="24">
        <f t="shared" si="6"/>
        <v>1.4666079310536013</v>
      </c>
      <c r="E84" s="20">
        <f t="shared" si="7"/>
        <v>191696.04733363958</v>
      </c>
      <c r="F84" s="24">
        <f t="shared" si="8"/>
        <v>0.43391108983931287</v>
      </c>
      <c r="G84" s="16">
        <f t="shared" si="9"/>
        <v>180.42844683897917</v>
      </c>
      <c r="H84" s="24">
        <f t="shared" si="10"/>
        <v>0.10438653867455464</v>
      </c>
      <c r="I84" s="24" cm="1">
        <f t="array" ref="I84">_xlfn.LET(_xlpm.x,$B84,_xlpm.dep,$H$6:$H$29,_xlpm.e,IF(_xlpm.x&lt;=$C$5,$C$12*(_xlpm.x-_xlpm.dep)/_xlpm.x,$C$13*(_xlpm.x-_xlpm.dep)/(_xlpm.x-3*$C$5/7))/$C$14,_xlpm.s,(_xlpm.e&gt;=1)*1+(_xlpm.e&lt;=-1)*(-1)+(ABS(_xlpm.e)&lt;1)*_xlpm.e,AVERAGE(_xlpm.s))</f>
        <v>0.13631575108787033</v>
      </c>
      <c r="J84" s="24" cm="1">
        <f t="array" ref="J84">_xlfn.LET(_xlpm.x,$B84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0.18749389066659505</v>
      </c>
      <c r="K84" s="24">
        <f t="shared" si="11"/>
        <v>-2.0110075873695377</v>
      </c>
      <c r="L84" s="24" t="str">
        <f t="shared" si="12"/>
        <v/>
      </c>
      <c r="M84" s="24">
        <f t="shared" si="13"/>
        <v>1000000000</v>
      </c>
    </row>
    <row r="85" spans="1:13" x14ac:dyDescent="0.3">
      <c r="A85" s="24">
        <f t="shared" si="14"/>
        <v>0.57000000000000028</v>
      </c>
      <c r="B85" s="20">
        <f t="shared" si="4"/>
        <v>427.50000000000023</v>
      </c>
      <c r="C85" s="20">
        <f t="shared" si="5"/>
        <v>342.00000000000023</v>
      </c>
      <c r="D85" s="24">
        <f t="shared" si="6"/>
        <v>1.4826823504951778</v>
      </c>
      <c r="E85" s="20">
        <f t="shared" si="7"/>
        <v>196175.21466469593</v>
      </c>
      <c r="F85" s="24">
        <f t="shared" si="8"/>
        <v>0.44404985068088937</v>
      </c>
      <c r="G85" s="16">
        <f t="shared" si="9"/>
        <v>177.13076902597828</v>
      </c>
      <c r="H85" s="24">
        <f t="shared" si="10"/>
        <v>0.10487318871596901</v>
      </c>
      <c r="I85" s="24" cm="1">
        <f t="array" ref="I85">_xlfn.LET(_xlpm.x,$B85,_xlpm.dep,$H$6:$H$29,_xlpm.e,IF(_xlpm.x&lt;=$C$5,$C$12*(_xlpm.x-_xlpm.dep)/_xlpm.x,$C$13*(_xlpm.x-_xlpm.dep)/(_xlpm.x-3*$C$5/7))/$C$14,_xlpm.s,(_xlpm.e&gt;=1)*1+(_xlpm.e&lt;=-1)*(-1)+(ABS(_xlpm.e)&lt;1)*_xlpm.e,AVERAGE(_xlpm.s))</f>
        <v>0.15994032855416498</v>
      </c>
      <c r="J85" s="24" cm="1">
        <f t="array" ref="J85">_xlfn.LET(_xlpm.x,$B85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0.18342811622976088</v>
      </c>
      <c r="K85" s="24">
        <f t="shared" si="11"/>
        <v>-1.7773551744392639</v>
      </c>
      <c r="L85" s="24" t="str">
        <f t="shared" si="12"/>
        <v/>
      </c>
      <c r="M85" s="24">
        <f t="shared" si="13"/>
        <v>1000000000</v>
      </c>
    </row>
    <row r="86" spans="1:13" x14ac:dyDescent="0.3">
      <c r="A86" s="24">
        <f t="shared" si="14"/>
        <v>0.58000000000000029</v>
      </c>
      <c r="B86" s="20">
        <f t="shared" si="4"/>
        <v>435.00000000000023</v>
      </c>
      <c r="C86" s="20">
        <f t="shared" si="5"/>
        <v>348.00000000000023</v>
      </c>
      <c r="D86" s="24">
        <f t="shared" si="6"/>
        <v>1.4987339732266935</v>
      </c>
      <c r="E86" s="20">
        <f t="shared" si="7"/>
        <v>200660.74308567421</v>
      </c>
      <c r="F86" s="24">
        <f t="shared" si="8"/>
        <v>0.45420301008466363</v>
      </c>
      <c r="G86" s="16">
        <f t="shared" si="9"/>
        <v>173.84182408720017</v>
      </c>
      <c r="H86" s="24">
        <f t="shared" si="10"/>
        <v>0.10527930637201986</v>
      </c>
      <c r="I86" s="24" cm="1">
        <f t="array" ref="I86">_xlfn.LET(_xlpm.x,$B86,_xlpm.dep,$H$6:$H$29,_xlpm.e,IF(_xlpm.x&lt;=$C$5,$C$12*(_xlpm.x-_xlpm.dep)/_xlpm.x,$C$13*(_xlpm.x-_xlpm.dep)/(_xlpm.x-3*$C$5/7))/$C$14,_xlpm.s,(_xlpm.e&gt;=1)*1+(_xlpm.e&lt;=-1)*(-1)+(ABS(_xlpm.e)&lt;1)*_xlpm.e,AVERAGE(_xlpm.s))</f>
        <v>0.18275026541817366</v>
      </c>
      <c r="J86" s="24" cm="1">
        <f t="array" ref="J86">_xlfn.LET(_xlpm.x,$B86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0.17950254091143827</v>
      </c>
      <c r="K86" s="24">
        <f t="shared" si="11"/>
        <v>-1.6110725162960899</v>
      </c>
      <c r="L86" s="24" t="str">
        <f t="shared" si="12"/>
        <v/>
      </c>
      <c r="M86" s="24">
        <f t="shared" si="13"/>
        <v>1000000000</v>
      </c>
    </row>
    <row r="87" spans="1:13" x14ac:dyDescent="0.3">
      <c r="A87" s="24">
        <f t="shared" si="14"/>
        <v>0.5900000000000003</v>
      </c>
      <c r="B87" s="20">
        <f t="shared" si="4"/>
        <v>442.50000000000023</v>
      </c>
      <c r="C87" s="20">
        <f t="shared" si="5"/>
        <v>354.00000000000023</v>
      </c>
      <c r="D87" s="24">
        <f t="shared" si="6"/>
        <v>1.5147670160794133</v>
      </c>
      <c r="E87" s="20">
        <f t="shared" si="7"/>
        <v>205151.46933220894</v>
      </c>
      <c r="F87" s="24">
        <f t="shared" si="8"/>
        <v>0.46436793495874029</v>
      </c>
      <c r="G87" s="16">
        <f t="shared" si="9"/>
        <v>170.56180409404473</v>
      </c>
      <c r="H87" s="24">
        <f t="shared" si="10"/>
        <v>0.10560457699998502</v>
      </c>
      <c r="I87" s="24" cm="1">
        <f t="array" ref="I87">_xlfn.LET(_xlpm.x,$B87,_xlpm.dep,$H$6:$H$29,_xlpm.e,IF(_xlpm.x&lt;=$C$5,$C$12*(_xlpm.x-_xlpm.dep)/_xlpm.x,$C$13*(_xlpm.x-_xlpm.dep)/(_xlpm.x-3*$C$5/7))/$C$14,_xlpm.s,(_xlpm.e&gt;=1)*1+(_xlpm.e&lt;=-1)*(-1)+(ABS(_xlpm.e)&lt;1)*_xlpm.e,AVERAGE(_xlpm.s))</f>
        <v>0.20478698408340223</v>
      </c>
      <c r="J87" s="24" cm="1">
        <f t="array" ref="J87">_xlfn.LET(_xlpm.x,$B87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0.17571003594288934</v>
      </c>
      <c r="K87" s="24">
        <f t="shared" si="11"/>
        <v>-1.4873447948775109</v>
      </c>
      <c r="L87" s="24" t="str">
        <f t="shared" si="12"/>
        <v/>
      </c>
      <c r="M87" s="24">
        <f t="shared" si="13"/>
        <v>1000000000</v>
      </c>
    </row>
    <row r="88" spans="1:13" x14ac:dyDescent="0.3">
      <c r="A88" s="24">
        <f t="shared" si="14"/>
        <v>0.60000000000000031</v>
      </c>
      <c r="B88" s="20">
        <f t="shared" si="4"/>
        <v>450.00000000000023</v>
      </c>
      <c r="C88" s="20">
        <f t="shared" si="5"/>
        <v>360.00000000000023</v>
      </c>
      <c r="D88" s="24">
        <f t="shared" si="6"/>
        <v>1.5307856524409083</v>
      </c>
      <c r="E88" s="20">
        <f t="shared" si="7"/>
        <v>209646.23417594424</v>
      </c>
      <c r="F88" s="24">
        <f t="shared" si="8"/>
        <v>0.47454200134688101</v>
      </c>
      <c r="G88" s="16">
        <f t="shared" si="9"/>
        <v>167.29090745112805</v>
      </c>
      <c r="H88" s="24">
        <f t="shared" si="10"/>
        <v>0.10584874937199219</v>
      </c>
      <c r="I88" s="24" cm="1">
        <f t="array" ref="I88">_xlfn.LET(_xlpm.x,$B88,_xlpm.dep,$H$6:$H$29,_xlpm.e,IF(_xlpm.x&lt;=$C$5,$C$12*(_xlpm.x-_xlpm.dep)/_xlpm.x,$C$13*(_xlpm.x-_xlpm.dep)/(_xlpm.x-3*$C$5/7))/$C$14,_xlpm.s,(_xlpm.e&gt;=1)*1+(_xlpm.e&lt;=-1)*(-1)+(ABS(_xlpm.e)&lt;1)*_xlpm.e,AVERAGE(_xlpm.s))</f>
        <v>0.22608914545978998</v>
      </c>
      <c r="J88" s="24" cm="1">
        <f t="array" ref="J88">_xlfn.LET(_xlpm.x,$B88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0.17204394780662532</v>
      </c>
      <c r="K88" s="24">
        <f t="shared" si="11"/>
        <v>-1.392207133974211</v>
      </c>
      <c r="L88" s="24" t="str">
        <f t="shared" si="12"/>
        <v/>
      </c>
      <c r="M88" s="24">
        <f t="shared" si="13"/>
        <v>1000000000</v>
      </c>
    </row>
    <row r="89" spans="1:13" x14ac:dyDescent="0.3">
      <c r="A89" s="24">
        <f t="shared" si="14"/>
        <v>0.61000000000000032</v>
      </c>
      <c r="B89" s="20">
        <f t="shared" si="4"/>
        <v>457.50000000000023</v>
      </c>
      <c r="C89" s="20">
        <f t="shared" si="5"/>
        <v>366.00000000000023</v>
      </c>
      <c r="D89" s="24">
        <f t="shared" si="6"/>
        <v>1.5467940221974956</v>
      </c>
      <c r="E89" s="20">
        <f t="shared" si="7"/>
        <v>214143.88151153125</v>
      </c>
      <c r="F89" s="24">
        <f t="shared" si="8"/>
        <v>0.48472259236188925</v>
      </c>
      <c r="G89" s="16">
        <f t="shared" si="9"/>
        <v>164.02933918300411</v>
      </c>
      <c r="H89" s="24">
        <f t="shared" si="10"/>
        <v>0.10601163534959115</v>
      </c>
      <c r="I89" s="24" cm="1">
        <f t="array" ref="I89">_xlfn.LET(_xlpm.x,$B89,_xlpm.dep,$H$6:$H$29,_xlpm.e,IF(_xlpm.x&lt;=$C$5,$C$12*(_xlpm.x-_xlpm.dep)/_xlpm.x,$C$13*(_xlpm.x-_xlpm.dep)/(_xlpm.x-3*$C$5/7))/$C$14,_xlpm.s,(_xlpm.e&gt;=1)*1+(_xlpm.e&lt;=-1)*(-1)+(ABS(_xlpm.e)&lt;1)*_xlpm.e,AVERAGE(_xlpm.s))</f>
        <v>0.24669287531564046</v>
      </c>
      <c r="J89" s="24" cm="1">
        <f t="array" ref="J89">_xlfn.LET(_xlpm.x,$B89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0.16849805928138639</v>
      </c>
      <c r="K89" s="24">
        <f t="shared" si="11"/>
        <v>-1.3171986090903509</v>
      </c>
      <c r="L89" s="24" t="str">
        <f t="shared" si="12"/>
        <v/>
      </c>
      <c r="M89" s="24">
        <f t="shared" si="13"/>
        <v>1000000000</v>
      </c>
    </row>
    <row r="90" spans="1:13" x14ac:dyDescent="0.3">
      <c r="A90" s="24">
        <f t="shared" si="14"/>
        <v>0.62000000000000033</v>
      </c>
      <c r="B90" s="20">
        <f t="shared" si="4"/>
        <v>465.00000000000023</v>
      </c>
      <c r="C90" s="20">
        <f t="shared" si="5"/>
        <v>372.00000000000023</v>
      </c>
      <c r="D90" s="24">
        <f t="shared" si="6"/>
        <v>1.5627962414591061</v>
      </c>
      <c r="E90" s="20">
        <f t="shared" si="7"/>
        <v>218643.25745576288</v>
      </c>
      <c r="F90" s="24">
        <f t="shared" si="8"/>
        <v>0.49490709614646849</v>
      </c>
      <c r="G90" s="16">
        <f t="shared" si="9"/>
        <v>160.77731123774947</v>
      </c>
      <c r="H90" s="24">
        <f t="shared" si="10"/>
        <v>0.10609310964121543</v>
      </c>
      <c r="I90" s="24" cm="1">
        <f t="array" ref="I90">_xlfn.LET(_xlpm.x,$B90,_xlpm.dep,$H$6:$H$29,_xlpm.e,IF(_xlpm.x&lt;=$C$5,$C$12*(_xlpm.x-_xlpm.dep)/_xlpm.x,$C$13*(_xlpm.x-_xlpm.dep)/(_xlpm.x-3*$C$5/7))/$C$14,_xlpm.s,(_xlpm.e&gt;=1)*1+(_xlpm.e&lt;=-1)*(-1)+(ABS(_xlpm.e)&lt;1)*_xlpm.e,AVERAGE(_xlpm.s))</f>
        <v>0.26663196872452799</v>
      </c>
      <c r="J90" s="24" cm="1">
        <f t="array" ref="J90">_xlfn.LET(_xlpm.x,$B90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0.1650665542569616</v>
      </c>
      <c r="K90" s="24">
        <f t="shared" si="11"/>
        <v>-1.2568936036664051</v>
      </c>
      <c r="L90" s="24" t="str">
        <f t="shared" si="12"/>
        <v/>
      </c>
      <c r="M90" s="24">
        <f t="shared" si="13"/>
        <v>1000000000</v>
      </c>
    </row>
    <row r="91" spans="1:13" x14ac:dyDescent="0.3">
      <c r="A91" s="24">
        <f t="shared" si="14"/>
        <v>0.63000000000000034</v>
      </c>
      <c r="B91" s="20">
        <f t="shared" si="4"/>
        <v>472.50000000000023</v>
      </c>
      <c r="C91" s="20">
        <f t="shared" si="5"/>
        <v>378.00000000000023</v>
      </c>
      <c r="D91" s="24">
        <f t="shared" si="6"/>
        <v>1.5787964121306881</v>
      </c>
      <c r="E91" s="20">
        <f t="shared" si="7"/>
        <v>223143.20945530207</v>
      </c>
      <c r="F91" s="24">
        <f t="shared" si="8"/>
        <v>0.50509290385353223</v>
      </c>
      <c r="G91" s="16">
        <f t="shared" si="9"/>
        <v>157.53504280865005</v>
      </c>
      <c r="H91" s="24">
        <f t="shared" si="10"/>
        <v>0.10609310964121541</v>
      </c>
      <c r="I91" s="24" cm="1">
        <f t="array" ref="I91">_xlfn.LET(_xlpm.x,$B91,_xlpm.dep,$H$6:$H$29,_xlpm.e,IF(_xlpm.x&lt;=$C$5,$C$12*(_xlpm.x-_xlpm.dep)/_xlpm.x,$C$13*(_xlpm.x-_xlpm.dep)/(_xlpm.x-3*$C$5/7))/$C$14,_xlpm.s,(_xlpm.e&gt;=1)*1+(_xlpm.e&lt;=-1)*(-1)+(ABS(_xlpm.e)&lt;1)*_xlpm.e,AVERAGE(_xlpm.s))</f>
        <v>0.28536686922821347</v>
      </c>
      <c r="J91" s="24" cm="1">
        <f t="array" ref="J91">_xlfn.LET(_xlpm.x,$B91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0.16159319525858862</v>
      </c>
      <c r="K91" s="24">
        <f t="shared" si="11"/>
        <v>-1.2100697767187183</v>
      </c>
      <c r="L91" s="24" t="str">
        <f t="shared" si="12"/>
        <v/>
      </c>
      <c r="M91" s="24">
        <f t="shared" si="13"/>
        <v>1000000000</v>
      </c>
    </row>
    <row r="92" spans="1:13" x14ac:dyDescent="0.3">
      <c r="A92" s="24">
        <f t="shared" si="14"/>
        <v>0.64000000000000035</v>
      </c>
      <c r="B92" s="20">
        <f t="shared" si="4"/>
        <v>480.00000000000028</v>
      </c>
      <c r="C92" s="20">
        <f t="shared" si="5"/>
        <v>384.00000000000023</v>
      </c>
      <c r="D92" s="24">
        <f t="shared" si="6"/>
        <v>1.5947986313922988</v>
      </c>
      <c r="E92" s="20">
        <f t="shared" si="7"/>
        <v>227642.5853995338</v>
      </c>
      <c r="F92" s="24">
        <f t="shared" si="8"/>
        <v>0.5152774076381117</v>
      </c>
      <c r="G92" s="16">
        <f t="shared" si="9"/>
        <v>154.30276067534038</v>
      </c>
      <c r="H92" s="24">
        <f t="shared" si="10"/>
        <v>0.10601163534959115</v>
      </c>
      <c r="I92" s="24" cm="1">
        <f t="array" ref="I92">_xlfn.LET(_xlpm.x,$B92,_xlpm.dep,$H$6:$H$29,_xlpm.e,IF(_xlpm.x&lt;=$C$5,$C$12*(_xlpm.x-_xlpm.dep)/_xlpm.x,$C$13*(_xlpm.x-_xlpm.dep)/(_xlpm.x-3*$C$5/7))/$C$14,_xlpm.s,(_xlpm.e&gt;=1)*1+(_xlpm.e&lt;=-1)*(-1)+(ABS(_xlpm.e)&lt;1)*_xlpm.e,AVERAGE(_xlpm.s))</f>
        <v>0.30328431397985606</v>
      </c>
      <c r="J92" s="24" cm="1">
        <f t="array" ref="J92">_xlfn.LET(_xlpm.x,$B92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0.15816713646405642</v>
      </c>
      <c r="K92" s="24">
        <f t="shared" si="11"/>
        <v>-1.1721619323117891</v>
      </c>
      <c r="L92" s="24" t="str">
        <f t="shared" si="12"/>
        <v/>
      </c>
      <c r="M92" s="24">
        <f t="shared" si="13"/>
        <v>1000000000</v>
      </c>
    </row>
    <row r="93" spans="1:13" x14ac:dyDescent="0.3">
      <c r="A93" s="24">
        <f t="shared" si="14"/>
        <v>0.65000000000000036</v>
      </c>
      <c r="B93" s="20">
        <f t="shared" si="4"/>
        <v>487.50000000000028</v>
      </c>
      <c r="C93" s="20">
        <f t="shared" si="5"/>
        <v>390.00000000000023</v>
      </c>
      <c r="D93" s="24">
        <f t="shared" si="6"/>
        <v>1.6108070011488862</v>
      </c>
      <c r="E93" s="20">
        <f t="shared" si="7"/>
        <v>232140.23273512078</v>
      </c>
      <c r="F93" s="24">
        <f t="shared" si="8"/>
        <v>0.52545799865311982</v>
      </c>
      <c r="G93" s="16">
        <f t="shared" si="9"/>
        <v>151.08069956586777</v>
      </c>
      <c r="H93" s="24">
        <f t="shared" si="10"/>
        <v>0.10584874937199219</v>
      </c>
      <c r="I93" s="24" cm="1">
        <f t="array" ref="I93">_xlfn.LET(_xlpm.x,$B93,_xlpm.dep,$H$6:$H$29,_xlpm.e,IF(_xlpm.x&lt;=$C$5,$C$12*(_xlpm.x-_xlpm.dep)/_xlpm.x,$C$13*(_xlpm.x-_xlpm.dep)/(_xlpm.x-3*$C$5/7))/$C$14,_xlpm.s,(_xlpm.e&gt;=1)*1+(_xlpm.e&lt;=-1)*(-1)+(ABS(_xlpm.e)&lt;1)*_xlpm.e,AVERAGE(_xlpm.s))</f>
        <v>0.32065045273914039</v>
      </c>
      <c r="J93" s="24" cm="1">
        <f t="array" ref="J93">_xlfn.LET(_xlpm.x,$B93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0.15484649486320223</v>
      </c>
      <c r="K93" s="24">
        <f t="shared" si="11"/>
        <v>-1.1404285115012243</v>
      </c>
      <c r="L93" s="24" t="str">
        <f t="shared" si="12"/>
        <v/>
      </c>
      <c r="M93" s="24">
        <f t="shared" si="13"/>
        <v>1000000000</v>
      </c>
    </row>
    <row r="94" spans="1:13" x14ac:dyDescent="0.3">
      <c r="A94" s="24">
        <f t="shared" si="14"/>
        <v>0.66000000000000036</v>
      </c>
      <c r="B94" s="20">
        <f t="shared" si="4"/>
        <v>495.00000000000028</v>
      </c>
      <c r="C94" s="20">
        <f t="shared" si="5"/>
        <v>396.00000000000023</v>
      </c>
      <c r="D94" s="24">
        <f t="shared" si="6"/>
        <v>1.6268256375103811</v>
      </c>
      <c r="E94" s="20">
        <f t="shared" si="7"/>
        <v>236634.99757885607</v>
      </c>
      <c r="F94" s="24">
        <f t="shared" si="8"/>
        <v>0.53563206504126049</v>
      </c>
      <c r="G94" s="16">
        <f t="shared" si="9"/>
        <v>147.86910254128941</v>
      </c>
      <c r="H94" s="24">
        <f t="shared" si="10"/>
        <v>0.105604576999985</v>
      </c>
      <c r="I94" s="24" cm="1">
        <f t="array" ref="I94">_xlfn.LET(_xlpm.x,$B94,_xlpm.dep,$H$6:$H$29,_xlpm.e,IF(_xlpm.x&lt;=$C$5,$C$12*(_xlpm.x-_xlpm.dep)/_xlpm.x,$C$13*(_xlpm.x-_xlpm.dep)/(_xlpm.x-3*$C$5/7))/$C$14,_xlpm.s,(_xlpm.e&gt;=1)*1+(_xlpm.e&lt;=-1)*(-1)+(ABS(_xlpm.e)&lt;1)*_xlpm.e,AVERAGE(_xlpm.s))</f>
        <v>0.33749034486935536</v>
      </c>
      <c r="J94" s="24" cm="1">
        <f t="array" ref="J94">_xlfn.LET(_xlpm.x,$B94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0.15162647876540414</v>
      </c>
      <c r="K94" s="24">
        <f t="shared" si="11"/>
        <v>-1.1136703334820652</v>
      </c>
      <c r="L94" s="24" t="str">
        <f t="shared" si="12"/>
        <v/>
      </c>
      <c r="M94" s="24">
        <f t="shared" si="13"/>
        <v>1000000000</v>
      </c>
    </row>
    <row r="95" spans="1:13" x14ac:dyDescent="0.3">
      <c r="A95" s="24">
        <f t="shared" si="14"/>
        <v>0.67000000000000037</v>
      </c>
      <c r="B95" s="20">
        <f t="shared" si="4"/>
        <v>502.50000000000028</v>
      </c>
      <c r="C95" s="20">
        <f t="shared" si="5"/>
        <v>402.00000000000023</v>
      </c>
      <c r="D95" s="24">
        <f t="shared" si="6"/>
        <v>1.6428586803631007</v>
      </c>
      <c r="E95" s="20">
        <f t="shared" si="7"/>
        <v>241125.72382539074</v>
      </c>
      <c r="F95" s="24">
        <f t="shared" si="8"/>
        <v>0.54579698991533709</v>
      </c>
      <c r="G95" s="16">
        <f t="shared" si="9"/>
        <v>144.66822140456088</v>
      </c>
      <c r="H95" s="24">
        <f t="shared" si="10"/>
        <v>0.10527930637201982</v>
      </c>
      <c r="I95" s="24" cm="1">
        <f t="array" ref="I95">_xlfn.LET(_xlpm.x,$B95,_xlpm.dep,$H$6:$H$29,_xlpm.e,IF(_xlpm.x&lt;=$C$5,$C$12*(_xlpm.x-_xlpm.dep)/_xlpm.x,$C$13*(_xlpm.x-_xlpm.dep)/(_xlpm.x-3*$C$5/7))/$C$14,_xlpm.s,(_xlpm.e&gt;=1)*1+(_xlpm.e&lt;=-1)*(-1)+(ABS(_xlpm.e)&lt;1)*_xlpm.e,AVERAGE(_xlpm.s))</f>
        <v>0.35382755365239982</v>
      </c>
      <c r="J95" s="24" cm="1">
        <f t="array" ref="J95">_xlfn.LET(_xlpm.x,$B95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0.14850258255112248</v>
      </c>
      <c r="K95" s="24">
        <f t="shared" si="11"/>
        <v>-1.0909775279144394</v>
      </c>
      <c r="L95" s="24" t="str">
        <f t="shared" si="12"/>
        <v/>
      </c>
      <c r="M95" s="24">
        <f t="shared" si="13"/>
        <v>1000000000</v>
      </c>
    </row>
    <row r="96" spans="1:13" x14ac:dyDescent="0.3">
      <c r="A96" s="24">
        <f t="shared" si="14"/>
        <v>0.68000000000000038</v>
      </c>
      <c r="B96" s="20">
        <f t="shared" si="4"/>
        <v>510.00000000000028</v>
      </c>
      <c r="C96" s="20">
        <f t="shared" si="5"/>
        <v>408.00000000000023</v>
      </c>
      <c r="D96" s="24">
        <f t="shared" si="6"/>
        <v>1.6589103030946164</v>
      </c>
      <c r="E96" s="20">
        <f t="shared" si="7"/>
        <v>245611.25224636903</v>
      </c>
      <c r="F96" s="24">
        <f t="shared" si="8"/>
        <v>0.55595014931911135</v>
      </c>
      <c r="G96" s="16">
        <f t="shared" si="9"/>
        <v>141.47831713564199</v>
      </c>
      <c r="H96" s="24">
        <f t="shared" si="10"/>
        <v>0.104873188715969</v>
      </c>
      <c r="I96" s="24" cm="1">
        <f t="array" ref="I96">_xlfn.LET(_xlpm.x,$B96,_xlpm.dep,$H$6:$H$29,_xlpm.e,IF(_xlpm.x&lt;=$C$5,$C$12*(_xlpm.x-_xlpm.dep)/_xlpm.x,$C$13*(_xlpm.x-_xlpm.dep)/(_xlpm.x-3*$C$5/7))/$C$14,_xlpm.s,(_xlpm.e&gt;=1)*1+(_xlpm.e&lt;=-1)*(-1)+(ABS(_xlpm.e)&lt;1)*_xlpm.e,AVERAGE(_xlpm.s))</f>
        <v>0.36968425629476648</v>
      </c>
      <c r="J96" s="24" cm="1">
        <f t="array" ref="J96">_xlfn.LET(_xlpm.x,$B96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0.14547056563726082</v>
      </c>
      <c r="K96" s="24">
        <f t="shared" si="11"/>
        <v>-1.0716471216983539</v>
      </c>
      <c r="L96" s="24" t="str">
        <f t="shared" si="12"/>
        <v/>
      </c>
      <c r="M96" s="24">
        <f t="shared" si="13"/>
        <v>1000000000</v>
      </c>
    </row>
    <row r="97" spans="1:13" x14ac:dyDescent="0.3">
      <c r="A97" s="24">
        <f t="shared" si="14"/>
        <v>0.69000000000000039</v>
      </c>
      <c r="B97" s="20">
        <f t="shared" si="4"/>
        <v>517.50000000000034</v>
      </c>
      <c r="C97" s="20">
        <f t="shared" si="5"/>
        <v>414.00000000000028</v>
      </c>
      <c r="D97" s="24">
        <f t="shared" si="6"/>
        <v>1.6749847225361931</v>
      </c>
      <c r="E97" s="20">
        <f t="shared" si="7"/>
        <v>250090.4195774254</v>
      </c>
      <c r="F97" s="24">
        <f t="shared" si="8"/>
        <v>0.56608891016068796</v>
      </c>
      <c r="G97" s="16">
        <f t="shared" si="9"/>
        <v>138.29966035493058</v>
      </c>
      <c r="H97" s="24">
        <f t="shared" si="10"/>
        <v>0.10438653867455461</v>
      </c>
      <c r="I97" s="24" cm="1">
        <f t="array" ref="I97">_xlfn.LET(_xlpm.x,$B97,_xlpm.dep,$H$6:$H$29,_xlpm.e,IF(_xlpm.x&lt;=$C$5,$C$12*(_xlpm.x-_xlpm.dep)/_xlpm.x,$C$13*(_xlpm.x-_xlpm.dep)/(_xlpm.x-3*$C$5/7))/$C$14,_xlpm.s,(_xlpm.e&gt;=1)*1+(_xlpm.e&lt;=-1)*(-1)+(ABS(_xlpm.e)&lt;1)*_xlpm.e,AVERAGE(_xlpm.s))</f>
        <v>0.38508134436778924</v>
      </c>
      <c r="J97" s="24" cm="1">
        <f t="array" ref="J97">_xlfn.LET(_xlpm.x,$B97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0.14252643327162712</v>
      </c>
      <c r="K97" s="24">
        <f t="shared" si="11"/>
        <v>-1.0551272763008619</v>
      </c>
      <c r="L97" s="24" t="str">
        <f t="shared" si="12"/>
        <v/>
      </c>
      <c r="M97" s="24">
        <f t="shared" si="13"/>
        <v>1000000000</v>
      </c>
    </row>
    <row r="98" spans="1:13" x14ac:dyDescent="0.3">
      <c r="A98" s="24">
        <f t="shared" si="14"/>
        <v>0.7000000000000004</v>
      </c>
      <c r="B98" s="20">
        <f t="shared" ref="B98:B161" si="15">A98*$C$5</f>
        <v>525.00000000000034</v>
      </c>
      <c r="C98" s="20">
        <f t="shared" ref="C98:C161" si="16">MIN(0.8*B98,$C$5)</f>
        <v>420.00000000000028</v>
      </c>
      <c r="D98" s="24">
        <f t="shared" ref="D98:D161" si="17">ACOS(MAX(-1,($C$7-C98)/$C$7))</f>
        <v>1.6910862091896854</v>
      </c>
      <c r="E98" s="20">
        <f t="shared" ref="E98:E161" si="18">$C$7^2*(D98-SIN(D98)*COS(D98))</f>
        <v>254562.05758938729</v>
      </c>
      <c r="F98" s="24">
        <f t="shared" ref="F98:F161" si="19">E98/$C$9</f>
        <v>0.57621062811014712</v>
      </c>
      <c r="G98" s="16">
        <f t="shared" ref="G98:G161" si="20">IF(E98&gt;0,2*$C$7^3*SIN(D98)^3/(3*E98),0)</f>
        <v>135.13253181734484</v>
      </c>
      <c r="H98" s="24">
        <f t="shared" ref="H98:H161" si="21">F98*G98/$C$5</f>
        <v>0.10381973471544895</v>
      </c>
      <c r="I98" s="24" cm="1">
        <f t="array" ref="I98">_xlfn.LET(_xlpm.x,$B98,_xlpm.dep,$H$6:$H$29,_xlpm.e,IF(_xlpm.x&lt;=$C$5,$C$12*(_xlpm.x-_xlpm.dep)/_xlpm.x,$C$13*(_xlpm.x-_xlpm.dep)/(_xlpm.x-3*$C$5/7))/$C$14,_xlpm.s,(_xlpm.e&gt;=1)*1+(_xlpm.e&lt;=-1)*(-1)+(ABS(_xlpm.e)&lt;1)*_xlpm.e,AVERAGE(_xlpm.s))</f>
        <v>0.40003851563872567</v>
      </c>
      <c r="J98" s="24" cm="1">
        <f t="array" ref="J98">_xlfn.LET(_xlpm.x,$B98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0.1396664189735829</v>
      </c>
      <c r="K98" s="24">
        <f t="shared" ref="K98:K161" si="22">IFERROR(($C$15-F98)/I98,"")</f>
        <v>-1.0409786350737229</v>
      </c>
      <c r="L98" s="24" t="str">
        <f t="shared" ref="L98:L161" si="23">IF(AND(ISNUMBER(K98),N(K98)&gt;0),H98+K98*J98,"")</f>
        <v/>
      </c>
      <c r="M98" s="24">
        <f t="shared" ref="M98:M161" si="24">IF(ISNUMBER(L98),ABS(L98-$C$16),1000000000)</f>
        <v>1000000000</v>
      </c>
    </row>
    <row r="99" spans="1:13" x14ac:dyDescent="0.3">
      <c r="A99" s="24">
        <f t="shared" ref="A99:A162" si="25">A98+0.01</f>
        <v>0.71000000000000041</v>
      </c>
      <c r="B99" s="20">
        <f t="shared" si="15"/>
        <v>532.50000000000034</v>
      </c>
      <c r="C99" s="20">
        <f t="shared" si="16"/>
        <v>426.00000000000028</v>
      </c>
      <c r="D99" s="24">
        <f t="shared" si="17"/>
        <v>1.7072190978094655</v>
      </c>
      <c r="E99" s="20">
        <f t="shared" si="18"/>
        <v>259024.99213988136</v>
      </c>
      <c r="F99" s="24">
        <f t="shared" si="19"/>
        <v>0.58631264545282069</v>
      </c>
      <c r="G99" s="16">
        <f t="shared" si="20"/>
        <v>131.97722293960345</v>
      </c>
      <c r="H99" s="24">
        <f t="shared" si="21"/>
        <v>0.10317321962831412</v>
      </c>
      <c r="I99" s="24" cm="1">
        <f t="array" ref="I99">_xlfn.LET(_xlpm.x,$B99,_xlpm.dep,$H$6:$H$29,_xlpm.e,IF(_xlpm.x&lt;=$C$5,$C$12*(_xlpm.x-_xlpm.dep)/_xlpm.x,$C$13*(_xlpm.x-_xlpm.dep)/(_xlpm.x-3*$C$5/7))/$C$14,_xlpm.s,(_xlpm.e&gt;=1)*1+(_xlpm.e&lt;=-1)*(-1)+(ABS(_xlpm.e)&lt;1)*_xlpm.e,AVERAGE(_xlpm.s))</f>
        <v>0.41457435814146654</v>
      </c>
      <c r="J99" s="24" cm="1">
        <f t="array" ref="J99">_xlfn.LET(_xlpm.x,$B99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0.13688696845858211</v>
      </c>
      <c r="K99" s="24">
        <f t="shared" si="22"/>
        <v>-1.0288469533941724</v>
      </c>
      <c r="L99" s="24" t="str">
        <f t="shared" si="23"/>
        <v/>
      </c>
      <c r="M99" s="24">
        <f t="shared" si="24"/>
        <v>1000000000</v>
      </c>
    </row>
    <row r="100" spans="1:13" x14ac:dyDescent="0.3">
      <c r="A100" s="24">
        <f t="shared" si="25"/>
        <v>0.72000000000000042</v>
      </c>
      <c r="B100" s="20">
        <f t="shared" si="15"/>
        <v>540.00000000000034</v>
      </c>
      <c r="C100" s="20">
        <f t="shared" si="16"/>
        <v>432.00000000000028</v>
      </c>
      <c r="D100" s="24">
        <f t="shared" si="17"/>
        <v>1.7233877984146089</v>
      </c>
      <c r="E100" s="20">
        <f t="shared" si="18"/>
        <v>263478.04220135981</v>
      </c>
      <c r="F100" s="24">
        <f t="shared" si="19"/>
        <v>0.5963922888891936</v>
      </c>
      <c r="G100" s="16">
        <f t="shared" si="20"/>
        <v>128.8340363635142</v>
      </c>
      <c r="H100" s="24">
        <f t="shared" si="21"/>
        <v>0.10244750111155979</v>
      </c>
      <c r="I100" s="24" cm="1">
        <f t="array" ref="I100">_xlfn.LET(_xlpm.x,$B100,_xlpm.dep,$H$6:$H$29,_xlpm.e,IF(_xlpm.x&lt;=$C$5,$C$12*(_xlpm.x-_xlpm.dep)/_xlpm.x,$C$13*(_xlpm.x-_xlpm.dep)/(_xlpm.x-3*$C$5/7))/$C$14,_xlpm.s,(_xlpm.e&gt;=1)*1+(_xlpm.e&lt;=-1)*(-1)+(ABS(_xlpm.e)&lt;1)*_xlpm.e,AVERAGE(_xlpm.s))</f>
        <v>0.4287064272413536</v>
      </c>
      <c r="J100" s="24" cm="1">
        <f t="array" ref="J100">_xlfn.LET(_xlpm.x,$B100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0.13418472490233146</v>
      </c>
      <c r="K100" s="24">
        <f t="shared" si="22"/>
        <v>-1.0184433472926693</v>
      </c>
      <c r="L100" s="24" t="str">
        <f t="shared" si="23"/>
        <v/>
      </c>
      <c r="M100" s="24">
        <f t="shared" si="24"/>
        <v>1000000000</v>
      </c>
    </row>
    <row r="101" spans="1:13" x14ac:dyDescent="0.3">
      <c r="A101" s="24">
        <f t="shared" si="25"/>
        <v>0.73000000000000043</v>
      </c>
      <c r="B101" s="20">
        <f t="shared" si="15"/>
        <v>547.50000000000034</v>
      </c>
      <c r="C101" s="20">
        <f t="shared" si="16"/>
        <v>438.00000000000028</v>
      </c>
      <c r="D101" s="24">
        <f t="shared" si="17"/>
        <v>1.7395968078123043</v>
      </c>
      <c r="E101" s="20">
        <f t="shared" si="18"/>
        <v>267920.01886133838</v>
      </c>
      <c r="F101" s="24">
        <f t="shared" si="19"/>
        <v>0.60644686727190522</v>
      </c>
      <c r="G101" s="16">
        <f t="shared" si="20"/>
        <v>125.70328655837206</v>
      </c>
      <c r="H101" s="24">
        <f t="shared" si="21"/>
        <v>0.10164315245214309</v>
      </c>
      <c r="I101" s="24" cm="1">
        <f t="array" ref="I101">_xlfn.LET(_xlpm.x,$B101,_xlpm.dep,$H$6:$H$29,_xlpm.e,IF(_xlpm.x&lt;=$C$5,$C$12*(_xlpm.x-_xlpm.dep)/_xlpm.x,$C$13*(_xlpm.x-_xlpm.dep)/(_xlpm.x-3*$C$5/7))/$C$14,_xlpm.s,(_xlpm.e&gt;=1)*1+(_xlpm.e&lt;=-1)*(-1)+(ABS(_xlpm.e)&lt;1)*_xlpm.e,AVERAGE(_xlpm.s))</f>
        <v>0.44245131636590118</v>
      </c>
      <c r="J101" s="24" cm="1">
        <f t="array" ref="J101">_xlfn.LET(_xlpm.x,$B101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0.13155651541611499</v>
      </c>
      <c r="K101" s="24">
        <f t="shared" si="22"/>
        <v>-1.0095297959942982</v>
      </c>
      <c r="L101" s="24" t="str">
        <f t="shared" si="23"/>
        <v/>
      </c>
      <c r="M101" s="24">
        <f t="shared" si="24"/>
        <v>1000000000</v>
      </c>
    </row>
    <row r="102" spans="1:13" x14ac:dyDescent="0.3">
      <c r="A102" s="24">
        <f t="shared" si="25"/>
        <v>0.74000000000000044</v>
      </c>
      <c r="B102" s="20">
        <f t="shared" si="15"/>
        <v>555.00000000000034</v>
      </c>
      <c r="C102" s="20">
        <f t="shared" si="16"/>
        <v>444.00000000000028</v>
      </c>
      <c r="D102" s="24">
        <f t="shared" si="17"/>
        <v>1.7558507217203894</v>
      </c>
      <c r="E102" s="20">
        <f t="shared" si="18"/>
        <v>272349.72429037298</v>
      </c>
      <c r="F102" s="24">
        <f t="shared" si="19"/>
        <v>0.61647366926972724</v>
      </c>
      <c r="G102" s="16">
        <f t="shared" si="20"/>
        <v>122.58530046589438</v>
      </c>
      <c r="H102" s="24">
        <f t="shared" si="21"/>
        <v>0.10076081330232255</v>
      </c>
      <c r="I102" s="24" cm="1">
        <f t="array" ref="I102">_xlfn.LET(_xlpm.x,$B102,_xlpm.dep,$H$6:$H$29,_xlpm.e,IF(_xlpm.x&lt;=$C$5,$C$12*(_xlpm.x-_xlpm.dep)/_xlpm.x,$C$13*(_xlpm.x-_xlpm.dep)/(_xlpm.x-3*$C$5/7))/$C$14,_xlpm.s,(_xlpm.e&gt;=1)*1+(_xlpm.e&lt;=-1)*(-1)+(ABS(_xlpm.e)&lt;1)*_xlpm.e,AVERAGE(_xlpm.s))</f>
        <v>0.45582472200059626</v>
      </c>
      <c r="J102" s="24" cm="1">
        <f t="array" ref="J102">_xlfn.LET(_xlpm.x,$B102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0.12899933861871524</v>
      </c>
      <c r="K102" s="24">
        <f t="shared" si="22"/>
        <v>-1.0019083369188158</v>
      </c>
      <c r="L102" s="24" t="str">
        <f t="shared" si="23"/>
        <v/>
      </c>
      <c r="M102" s="24">
        <f t="shared" si="24"/>
        <v>1000000000</v>
      </c>
    </row>
    <row r="103" spans="1:13" x14ac:dyDescent="0.3">
      <c r="A103" s="24">
        <f t="shared" si="25"/>
        <v>0.75000000000000044</v>
      </c>
      <c r="B103" s="20">
        <f t="shared" si="15"/>
        <v>562.50000000000034</v>
      </c>
      <c r="C103" s="20">
        <f t="shared" si="16"/>
        <v>450.00000000000028</v>
      </c>
      <c r="D103" s="24">
        <f t="shared" si="17"/>
        <v>1.7721542475852281</v>
      </c>
      <c r="E103" s="20">
        <f t="shared" si="18"/>
        <v>276765.95067298354</v>
      </c>
      <c r="F103" s="24">
        <f t="shared" si="19"/>
        <v>0.62646996094766949</v>
      </c>
      <c r="G103" s="16">
        <f t="shared" si="20"/>
        <v>119.48041819148828</v>
      </c>
      <c r="H103" s="24">
        <f t="shared" si="21"/>
        <v>9.9801190557910521E-2</v>
      </c>
      <c r="I103" s="24" cm="1">
        <f t="array" ref="I103">_xlfn.LET(_xlpm.x,$B103,_xlpm.dep,$H$6:$H$29,_xlpm.e,IF(_xlpm.x&lt;=$C$5,$C$12*(_xlpm.x-_xlpm.dep)/_xlpm.x,$C$13*(_xlpm.x-_xlpm.dep)/(_xlpm.x-3*$C$5/7))/$C$14,_xlpm.s,(_xlpm.e&gt;=1)*1+(_xlpm.e&lt;=-1)*(-1)+(ABS(_xlpm.e)&lt;1)*_xlpm.e,AVERAGE(_xlpm.s))</f>
        <v>0.46884150348503278</v>
      </c>
      <c r="J103" s="24" cm="1">
        <f t="array" ref="J103">_xlfn.LET(_xlpm.x,$B103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0.12651035320257945</v>
      </c>
      <c r="K103" s="24">
        <f t="shared" si="22"/>
        <v>-0.99541290042582542</v>
      </c>
      <c r="L103" s="24" t="str">
        <f t="shared" si="23"/>
        <v/>
      </c>
      <c r="M103" s="24">
        <f t="shared" si="24"/>
        <v>1000000000</v>
      </c>
    </row>
    <row r="104" spans="1:13" x14ac:dyDescent="0.3">
      <c r="A104" s="24">
        <f t="shared" si="25"/>
        <v>0.76000000000000045</v>
      </c>
      <c r="B104" s="20">
        <f t="shared" si="15"/>
        <v>570.00000000000034</v>
      </c>
      <c r="C104" s="20">
        <f t="shared" si="16"/>
        <v>456.00000000000028</v>
      </c>
      <c r="D104" s="24">
        <f t="shared" si="17"/>
        <v>1.7885122182010067</v>
      </c>
      <c r="E104" s="20">
        <f t="shared" si="18"/>
        <v>281167.47909636743</v>
      </c>
      <c r="F104" s="24">
        <f t="shared" si="19"/>
        <v>0.63643298325154185</v>
      </c>
      <c r="G104" s="16">
        <f t="shared" si="20"/>
        <v>116.388993746061</v>
      </c>
      <c r="H104" s="24">
        <f t="shared" si="21"/>
        <v>9.8765059343267542E-2</v>
      </c>
      <c r="I104" s="24" cm="1">
        <f t="array" ref="I104">_xlfn.LET(_xlpm.x,$B104,_xlpm.dep,$H$6:$H$29,_xlpm.e,IF(_xlpm.x&lt;=$C$5,$C$12*(_xlpm.x-_xlpm.dep)/_xlpm.x,$C$13*(_xlpm.x-_xlpm.dep)/(_xlpm.x-3*$C$5/7))/$C$14,_xlpm.s,(_xlpm.e&gt;=1)*1+(_xlpm.e&lt;=-1)*(-1)+(ABS(_xlpm.e)&lt;1)*_xlpm.e,AVERAGE(_xlpm.s))</f>
        <v>0.48151573808829989</v>
      </c>
      <c r="J104" s="24" cm="1">
        <f t="array" ref="J104">_xlfn.LET(_xlpm.x,$B104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0.12408686740265779</v>
      </c>
      <c r="K104" s="24">
        <f t="shared" si="22"/>
        <v>-0.98990306115499227</v>
      </c>
      <c r="L104" s="24" t="str">
        <f t="shared" si="23"/>
        <v/>
      </c>
      <c r="M104" s="24">
        <f t="shared" si="24"/>
        <v>1000000000</v>
      </c>
    </row>
    <row r="105" spans="1:13" x14ac:dyDescent="0.3">
      <c r="A105" s="24">
        <f t="shared" si="25"/>
        <v>0.77000000000000046</v>
      </c>
      <c r="B105" s="20">
        <f t="shared" si="15"/>
        <v>577.50000000000034</v>
      </c>
      <c r="C105" s="20">
        <f t="shared" si="16"/>
        <v>462.00000000000028</v>
      </c>
      <c r="D105" s="24">
        <f t="shared" si="17"/>
        <v>1.8049296062481868</v>
      </c>
      <c r="E105" s="20">
        <f t="shared" si="18"/>
        <v>285553.07839130692</v>
      </c>
      <c r="F105" s="24">
        <f t="shared" si="19"/>
        <v>0.64635994938430552</v>
      </c>
      <c r="G105" s="16">
        <f t="shared" si="20"/>
        <v>113.3113958430538</v>
      </c>
      <c r="H105" s="24">
        <f t="shared" si="21"/>
        <v>9.7653264109041682E-2</v>
      </c>
      <c r="I105" s="24" cm="1">
        <f t="array" ref="I105">_xlfn.LET(_xlpm.x,$B105,_xlpm.dep,$H$6:$H$29,_xlpm.e,IF(_xlpm.x&lt;=$C$5,$C$12*(_xlpm.x-_xlpm.dep)/_xlpm.x,$C$13*(_xlpm.x-_xlpm.dep)/(_xlpm.x-3*$C$5/7))/$C$14,_xlpm.s,(_xlpm.e&gt;=1)*1+(_xlpm.e&lt;=-1)*(-1)+(ABS(_xlpm.e)&lt;1)*_xlpm.e,AVERAGE(_xlpm.s))</f>
        <v>0.49386077179278082</v>
      </c>
      <c r="J105" s="24" cm="1">
        <f t="array" ref="J105">_xlfn.LET(_xlpm.x,$B105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0.12172632928585093</v>
      </c>
      <c r="K105" s="24">
        <f t="shared" si="22"/>
        <v>-0.9852592006737515</v>
      </c>
      <c r="L105" s="24" t="str">
        <f t="shared" si="23"/>
        <v/>
      </c>
      <c r="M105" s="24">
        <f t="shared" si="24"/>
        <v>1000000000</v>
      </c>
    </row>
    <row r="106" spans="1:13" x14ac:dyDescent="0.3">
      <c r="A106" s="24">
        <f t="shared" si="25"/>
        <v>0.78000000000000047</v>
      </c>
      <c r="B106" s="20">
        <f t="shared" si="15"/>
        <v>585.00000000000034</v>
      </c>
      <c r="C106" s="20">
        <f t="shared" si="16"/>
        <v>468.00000000000028</v>
      </c>
      <c r="D106" s="24">
        <f t="shared" si="17"/>
        <v>1.8214115398826127</v>
      </c>
      <c r="E106" s="20">
        <f t="shared" si="18"/>
        <v>289921.50391918089</v>
      </c>
      <c r="F106" s="24">
        <f t="shared" si="19"/>
        <v>0.65624804206042953</v>
      </c>
      <c r="G106" s="16">
        <f t="shared" si="20"/>
        <v>110.2480087559107</v>
      </c>
      <c r="H106" s="24">
        <f t="shared" si="21"/>
        <v>9.6466719849503321E-2</v>
      </c>
      <c r="I106" s="24" cm="1">
        <f t="array" ref="I106">_xlfn.LET(_xlpm.x,$B106,_xlpm.dep,$H$6:$H$29,_xlpm.e,IF(_xlpm.x&lt;=$C$5,$C$12*(_xlpm.x-_xlpm.dep)/_xlpm.x,$C$13*(_xlpm.x-_xlpm.dep)/(_xlpm.x-3*$C$5/7))/$C$14,_xlpm.s,(_xlpm.e&gt;=1)*1+(_xlpm.e&lt;=-1)*(-1)+(ABS(_xlpm.e)&lt;1)*_xlpm.e,AVERAGE(_xlpm.s))</f>
        <v>0.50588926617150587</v>
      </c>
      <c r="J106" s="24" cm="1">
        <f t="array" ref="J106">_xlfn.LET(_xlpm.x,$B106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0.11942631778742374</v>
      </c>
      <c r="K106" s="24">
        <f t="shared" si="22"/>
        <v>-0.9813787228458194</v>
      </c>
      <c r="L106" s="24" t="str">
        <f t="shared" si="23"/>
        <v/>
      </c>
      <c r="M106" s="24">
        <f t="shared" si="24"/>
        <v>1000000000</v>
      </c>
    </row>
    <row r="107" spans="1:13" x14ac:dyDescent="0.3">
      <c r="A107" s="24">
        <f t="shared" si="25"/>
        <v>0.79000000000000048</v>
      </c>
      <c r="B107" s="20">
        <f t="shared" si="15"/>
        <v>592.50000000000034</v>
      </c>
      <c r="C107" s="20">
        <f t="shared" si="16"/>
        <v>474.00000000000028</v>
      </c>
      <c r="D107" s="24">
        <f t="shared" si="17"/>
        <v>1.8379633195229541</v>
      </c>
      <c r="E107" s="20">
        <f t="shared" si="18"/>
        <v>294271.49629840476</v>
      </c>
      <c r="F107" s="24">
        <f t="shared" si="19"/>
        <v>0.66609441062313957</v>
      </c>
      <c r="G107" s="16">
        <f t="shared" si="20"/>
        <v>107.19923324179989</v>
      </c>
      <c r="H107" s="24">
        <f t="shared" si="21"/>
        <v>9.5206413447265562E-2</v>
      </c>
      <c r="I107" s="24" cm="1">
        <f t="array" ref="I107">_xlfn.LET(_xlpm.x,$B107,_xlpm.dep,$H$6:$H$29,_xlpm.e,IF(_xlpm.x&lt;=$C$5,$C$12*(_xlpm.x-_xlpm.dep)/_xlpm.x,$C$13*(_xlpm.x-_xlpm.dep)/(_xlpm.x-3*$C$5/7))/$C$14,_xlpm.s,(_xlpm.e&gt;=1)*1+(_xlpm.e&lt;=-1)*(-1)+(ABS(_xlpm.e)&lt;1)*_xlpm.e,AVERAGE(_xlpm.s))</f>
        <v>0.51761324170519984</v>
      </c>
      <c r="J107" s="24" cm="1">
        <f t="array" ref="J107">_xlfn.LET(_xlpm.x,$B107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0.11718453442819723</v>
      </c>
      <c r="K107" s="24">
        <f t="shared" si="22"/>
        <v>-0.97817306379475666</v>
      </c>
      <c r="L107" s="24" t="str">
        <f t="shared" si="23"/>
        <v/>
      </c>
      <c r="M107" s="24">
        <f t="shared" si="24"/>
        <v>1000000000</v>
      </c>
    </row>
    <row r="108" spans="1:13" x14ac:dyDescent="0.3">
      <c r="A108" s="24">
        <f t="shared" si="25"/>
        <v>0.80000000000000049</v>
      </c>
      <c r="B108" s="20">
        <f t="shared" si="15"/>
        <v>600.00000000000034</v>
      </c>
      <c r="C108" s="20">
        <f t="shared" si="16"/>
        <v>480.00000000000028</v>
      </c>
      <c r="D108" s="24">
        <f t="shared" si="17"/>
        <v>1.8545904360032253</v>
      </c>
      <c r="E108" s="20">
        <f t="shared" si="18"/>
        <v>298601.78006295365</v>
      </c>
      <c r="F108" s="24">
        <f t="shared" si="19"/>
        <v>0.67589616800793662</v>
      </c>
      <c r="G108" s="16">
        <f t="shared" si="20"/>
        <v>104.16548753809298</v>
      </c>
      <c r="H108" s="24">
        <f t="shared" si="21"/>
        <v>9.3873405154234021E-2</v>
      </c>
      <c r="I108" s="24" cm="1">
        <f t="array" ref="I108">_xlfn.LET(_xlpm.x,$B108,_xlpm.dep,$H$6:$H$29,_xlpm.e,IF(_xlpm.x&lt;=$C$5,$C$12*(_xlpm.x-_xlpm.dep)/_xlpm.x,$C$13*(_xlpm.x-_xlpm.dep)/(_xlpm.x-3*$C$5/7))/$C$14,_xlpm.s,(_xlpm.e&gt;=1)*1+(_xlpm.e&lt;=-1)*(-1)+(ABS(_xlpm.e)&lt;1)*_xlpm.e,AVERAGE(_xlpm.s))</f>
        <v>0.5290441178505515</v>
      </c>
      <c r="J108" s="24" cm="1">
        <f t="array" ref="J108">_xlfn.LET(_xlpm.x,$B108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0.11499879565295144</v>
      </c>
      <c r="K108" s="24">
        <f t="shared" si="22"/>
        <v>-0.97556530820385212</v>
      </c>
      <c r="L108" s="24" t="str">
        <f t="shared" si="23"/>
        <v/>
      </c>
      <c r="M108" s="24">
        <f t="shared" si="24"/>
        <v>1000000000</v>
      </c>
    </row>
    <row r="109" spans="1:13" x14ac:dyDescent="0.3">
      <c r="A109" s="24">
        <f t="shared" si="25"/>
        <v>0.8100000000000005</v>
      </c>
      <c r="B109" s="20">
        <f t="shared" si="15"/>
        <v>607.50000000000034</v>
      </c>
      <c r="C109" s="20">
        <f t="shared" si="16"/>
        <v>486.00000000000028</v>
      </c>
      <c r="D109" s="24">
        <f t="shared" si="17"/>
        <v>1.8712985902795767</v>
      </c>
      <c r="E109" s="20">
        <f t="shared" si="18"/>
        <v>302911.06224484608</v>
      </c>
      <c r="F109" s="24">
        <f t="shared" si="19"/>
        <v>0.68565038753399532</v>
      </c>
      <c r="G109" s="16">
        <f t="shared" si="20"/>
        <v>101.1472084388953</v>
      </c>
      <c r="H109" s="24">
        <f t="shared" si="21"/>
        <v>9.2468830218813816E-2</v>
      </c>
      <c r="I109" s="24" cm="1">
        <f t="array" ref="I109">_xlfn.LET(_xlpm.x,$B109,_xlpm.dep,$H$6:$H$29,_xlpm.e,IF(_xlpm.x&lt;=$C$5,$C$12*(_xlpm.x-_xlpm.dep)/_xlpm.x,$C$13*(_xlpm.x-_xlpm.dep)/(_xlpm.x-3*$C$5/7))/$C$14,_xlpm.s,(_xlpm.e&gt;=1)*1+(_xlpm.e&lt;=-1)*(-1)+(ABS(_xlpm.e)&lt;1)*_xlpm.e,AVERAGE(_xlpm.s))</f>
        <v>0.54019275014046242</v>
      </c>
      <c r="J109" s="24" cm="1">
        <f t="array" ref="J109">_xlfn.LET(_xlpm.x,$B109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0.11286702573635368</v>
      </c>
      <c r="K109" s="24">
        <f t="shared" si="22"/>
        <v>-0.97348827297965124</v>
      </c>
      <c r="L109" s="24" t="str">
        <f t="shared" si="23"/>
        <v/>
      </c>
      <c r="M109" s="24">
        <f t="shared" si="24"/>
        <v>1000000000</v>
      </c>
    </row>
    <row r="110" spans="1:13" x14ac:dyDescent="0.3">
      <c r="A110" s="24">
        <f t="shared" si="25"/>
        <v>0.82000000000000051</v>
      </c>
      <c r="B110" s="20">
        <f t="shared" si="15"/>
        <v>615.00000000000034</v>
      </c>
      <c r="C110" s="20">
        <f t="shared" si="16"/>
        <v>492.00000000000028</v>
      </c>
      <c r="D110" s="24">
        <f t="shared" si="17"/>
        <v>1.8880937149070367</v>
      </c>
      <c r="E110" s="20">
        <f t="shared" si="18"/>
        <v>307198.03087156639</v>
      </c>
      <c r="F110" s="24">
        <f t="shared" si="19"/>
        <v>0.69535409950302518</v>
      </c>
      <c r="G110" s="16">
        <f t="shared" si="20"/>
        <v>98.144852459820555</v>
      </c>
      <c r="H110" s="24">
        <f t="shared" si="21"/>
        <v>9.0993900670741049E-2</v>
      </c>
      <c r="I110" s="24" cm="1">
        <f t="array" ref="I110">_xlfn.LET(_xlpm.x,$B110,_xlpm.dep,$H$6:$H$29,_xlpm.e,IF(_xlpm.x&lt;=$C$5,$C$12*(_xlpm.x-_xlpm.dep)/_xlpm.x,$C$13*(_xlpm.x-_xlpm.dep)/(_xlpm.x-3*$C$5/7))/$C$14,_xlpm.s,(_xlpm.e&gt;=1)*1+(_xlpm.e&lt;=-1)*(-1)+(ABS(_xlpm.e)&lt;1)*_xlpm.e,AVERAGE(_xlpm.s))</f>
        <v>0.55106946456964379</v>
      </c>
      <c r="J110" s="24" cm="1">
        <f t="array" ref="J110">_xlfn.LET(_xlpm.x,$B110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0.11078725020796559</v>
      </c>
      <c r="K110" s="24">
        <f t="shared" si="22"/>
        <v>-0.97188295453396745</v>
      </c>
      <c r="L110" s="24" t="str">
        <f t="shared" si="23"/>
        <v/>
      </c>
      <c r="M110" s="24">
        <f t="shared" si="24"/>
        <v>1000000000</v>
      </c>
    </row>
    <row r="111" spans="1:13" x14ac:dyDescent="0.3">
      <c r="A111" s="24">
        <f t="shared" si="25"/>
        <v>0.83000000000000052</v>
      </c>
      <c r="B111" s="20">
        <f t="shared" si="15"/>
        <v>622.50000000000034</v>
      </c>
      <c r="C111" s="20">
        <f t="shared" si="16"/>
        <v>498.00000000000028</v>
      </c>
      <c r="D111" s="24">
        <f t="shared" si="17"/>
        <v>1.9049819975331765</v>
      </c>
      <c r="E111" s="20">
        <f t="shared" si="18"/>
        <v>311461.3533683616</v>
      </c>
      <c r="F111" s="24">
        <f t="shared" si="19"/>
        <v>0.70500428758280953</v>
      </c>
      <c r="G111" s="16">
        <f t="shared" si="20"/>
        <v>95.158897100239258</v>
      </c>
      <c r="H111" s="24">
        <f t="shared" si="21"/>
        <v>8.9449907276426738E-2</v>
      </c>
      <c r="I111" s="24" cm="1">
        <f t="array" ref="I111">_xlfn.LET(_xlpm.x,$B111,_xlpm.dep,$H$6:$H$29,_xlpm.e,IF(_xlpm.x&lt;=$C$5,$C$12*(_xlpm.x-_xlpm.dep)/_xlpm.x,$C$13*(_xlpm.x-_xlpm.dep)/(_xlpm.x-3*$C$5/7))/$C$14,_xlpm.s,(_xlpm.e&gt;=1)*1+(_xlpm.e&lt;=-1)*(-1)+(ABS(_xlpm.e)&lt;1)*_xlpm.e,AVERAGE(_xlpm.s))</f>
        <v>0.56150001988272702</v>
      </c>
      <c r="J111" s="24" cm="1">
        <f t="array" ref="J111">_xlfn.LET(_xlpm.x,$B111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0.10872323009168502</v>
      </c>
      <c r="K111" s="24">
        <f t="shared" si="22"/>
        <v>-0.97101547311263692</v>
      </c>
      <c r="L111" s="24" t="str">
        <f t="shared" si="23"/>
        <v/>
      </c>
      <c r="M111" s="24">
        <f t="shared" si="24"/>
        <v>1000000000</v>
      </c>
    </row>
    <row r="112" spans="1:13" x14ac:dyDescent="0.3">
      <c r="A112" s="24">
        <f t="shared" si="25"/>
        <v>0.84000000000000052</v>
      </c>
      <c r="B112" s="20">
        <f t="shared" si="15"/>
        <v>630.00000000000034</v>
      </c>
      <c r="C112" s="20">
        <f t="shared" si="16"/>
        <v>504.00000000000028</v>
      </c>
      <c r="D112" s="24">
        <f t="shared" si="17"/>
        <v>1.9219699066927665</v>
      </c>
      <c r="E112" s="20">
        <f t="shared" si="18"/>
        <v>315699.67485414166</v>
      </c>
      <c r="F112" s="24">
        <f t="shared" si="19"/>
        <v>0.71459788494991339</v>
      </c>
      <c r="G112" s="16">
        <f t="shared" si="20"/>
        <v>92.189842213422708</v>
      </c>
      <c r="H112" s="24">
        <f t="shared" si="21"/>
        <v>8.7838221679437486E-2</v>
      </c>
      <c r="I112" s="24" cm="1">
        <f t="array" ref="I112">_xlfn.LET(_xlpm.x,$B112,_xlpm.dep,$H$6:$H$29,_xlpm.e,IF(_xlpm.x&lt;=$C$5,$C$12*(_xlpm.x-_xlpm.dep)/_xlpm.x,$C$13*(_xlpm.x-_xlpm.dep)/(_xlpm.x-3*$C$5/7))/$C$14,_xlpm.s,(_xlpm.e&gt;=1)*1+(_xlpm.e&lt;=-1)*(-1)+(ABS(_xlpm.e)&lt;1)*_xlpm.e,AVERAGE(_xlpm.s))</f>
        <v>0.57125894821745637</v>
      </c>
      <c r="J112" s="24" cm="1">
        <f t="array" ref="J112">_xlfn.LET(_xlpm.x,$B112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0.10662934096582742</v>
      </c>
      <c r="K112" s="24">
        <f t="shared" si="22"/>
        <v>-0.97122120635051623</v>
      </c>
      <c r="L112" s="24" t="str">
        <f t="shared" si="23"/>
        <v/>
      </c>
      <c r="M112" s="24">
        <f t="shared" si="24"/>
        <v>1000000000</v>
      </c>
    </row>
    <row r="113" spans="1:13" x14ac:dyDescent="0.3">
      <c r="A113" s="24">
        <f t="shared" si="25"/>
        <v>0.85000000000000053</v>
      </c>
      <c r="B113" s="20">
        <f t="shared" si="15"/>
        <v>637.50000000000045</v>
      </c>
      <c r="C113" s="20">
        <f t="shared" si="16"/>
        <v>510.0000000000004</v>
      </c>
      <c r="D113" s="24">
        <f t="shared" si="17"/>
        <v>1.9390642202315376</v>
      </c>
      <c r="E113" s="20">
        <f t="shared" si="18"/>
        <v>319911.616318307</v>
      </c>
      <c r="F113" s="24">
        <f t="shared" si="19"/>
        <v>0.72413177016286445</v>
      </c>
      <c r="G113" s="16">
        <f t="shared" si="20"/>
        <v>89.238211496382192</v>
      </c>
      <c r="H113" s="24">
        <f t="shared" si="21"/>
        <v>8.616029874272442E-2</v>
      </c>
      <c r="I113" s="24" cm="1">
        <f t="array" ref="I113">_xlfn.LET(_xlpm.x,$B113,_xlpm.dep,$H$6:$H$29,_xlpm.e,IF(_xlpm.x&lt;=$C$5,$C$12*(_xlpm.x-_xlpm.dep)/_xlpm.x,$C$13*(_xlpm.x-_xlpm.dep)/(_xlpm.x-3*$C$5/7))/$C$14,_xlpm.s,(_xlpm.e&gt;=1)*1+(_xlpm.e&lt;=-1)*(-1)+(ABS(_xlpm.e)&lt;1)*_xlpm.e,AVERAGE(_xlpm.s))</f>
        <v>0.58078825470901596</v>
      </c>
      <c r="J113" s="24" cm="1">
        <f t="array" ref="J113">_xlfn.LET(_xlpm.x,$B113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0.10458471981940164</v>
      </c>
      <c r="K113" s="24">
        <f t="shared" si="22"/>
        <v>-0.97170127918992732</v>
      </c>
      <c r="L113" s="24" t="str">
        <f t="shared" si="23"/>
        <v/>
      </c>
      <c r="M113" s="24">
        <f t="shared" si="24"/>
        <v>1000000000</v>
      </c>
    </row>
    <row r="114" spans="1:13" x14ac:dyDescent="0.3">
      <c r="A114" s="24">
        <f t="shared" si="25"/>
        <v>0.86000000000000054</v>
      </c>
      <c r="B114" s="20">
        <f t="shared" si="15"/>
        <v>645.00000000000045</v>
      </c>
      <c r="C114" s="20">
        <f t="shared" si="16"/>
        <v>516.00000000000034</v>
      </c>
      <c r="D114" s="24">
        <f t="shared" si="17"/>
        <v>1.9562720567396901</v>
      </c>
      <c r="E114" s="20">
        <f t="shared" si="18"/>
        <v>324095.77266418881</v>
      </c>
      <c r="F114" s="24">
        <f t="shared" si="19"/>
        <v>0.73360276273340908</v>
      </c>
      <c r="G114" s="16">
        <f t="shared" si="20"/>
        <v>86.304554112802705</v>
      </c>
      <c r="H114" s="24">
        <f t="shared" si="21"/>
        <v>8.4417679111502761E-2</v>
      </c>
      <c r="I114" s="24" cm="1">
        <f t="array" ref="I114">_xlfn.LET(_xlpm.x,$B114,_xlpm.dep,$H$6:$H$29,_xlpm.e,IF(_xlpm.x&lt;=$C$5,$C$12*(_xlpm.x-_xlpm.dep)/_xlpm.x,$C$13*(_xlpm.x-_xlpm.dep)/(_xlpm.x-3*$C$5/7))/$C$14,_xlpm.s,(_xlpm.e&gt;=1)*1+(_xlpm.e&lt;=-1)*(-1)+(ABS(_xlpm.e)&lt;1)*_xlpm.e,AVERAGE(_xlpm.s))</f>
        <v>0.59009594942170174</v>
      </c>
      <c r="J114" s="24" cm="1">
        <f t="array" ref="J114">_xlfn.LET(_xlpm.x,$B114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0.1025876480019626</v>
      </c>
      <c r="K114" s="24">
        <f t="shared" si="22"/>
        <v>-0.97242437127747128</v>
      </c>
      <c r="L114" s="24" t="str">
        <f t="shared" si="23"/>
        <v/>
      </c>
      <c r="M114" s="24">
        <f t="shared" si="24"/>
        <v>1000000000</v>
      </c>
    </row>
    <row r="115" spans="1:13" x14ac:dyDescent="0.3">
      <c r="A115" s="24">
        <f t="shared" si="25"/>
        <v>0.87000000000000055</v>
      </c>
      <c r="B115" s="20">
        <f t="shared" si="15"/>
        <v>652.50000000000045</v>
      </c>
      <c r="C115" s="20">
        <f t="shared" si="16"/>
        <v>522.00000000000034</v>
      </c>
      <c r="D115" s="24">
        <f t="shared" si="17"/>
        <v>1.9736009104386105</v>
      </c>
      <c r="E115" s="20">
        <f t="shared" si="18"/>
        <v>328250.71060287836</v>
      </c>
      <c r="F115" s="24">
        <f t="shared" si="19"/>
        <v>0.74300761835911555</v>
      </c>
      <c r="G115" s="16">
        <f t="shared" si="20"/>
        <v>83.389446464328032</v>
      </c>
      <c r="H115" s="24">
        <f t="shared" si="21"/>
        <v>8.2611992018327113E-2</v>
      </c>
      <c r="I115" s="24" cm="1">
        <f t="array" ref="I115">_xlfn.LET(_xlpm.x,$B115,_xlpm.dep,$H$6:$H$29,_xlpm.e,IF(_xlpm.x&lt;=$C$5,$C$12*(_xlpm.x-_xlpm.dep)/_xlpm.x,$C$13*(_xlpm.x-_xlpm.dep)/(_xlpm.x-3*$C$5/7))/$C$14,_xlpm.s,(_xlpm.e&gt;=1)*1+(_xlpm.e&lt;=-1)*(-1)+(ABS(_xlpm.e)&lt;1)*_xlpm.e,AVERAGE(_xlpm.s))</f>
        <v>0.59918967414099245</v>
      </c>
      <c r="J115" s="24" cm="1">
        <f t="array" ref="J115">_xlfn.LET(_xlpm.x,$B115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0.10063648588147618</v>
      </c>
      <c r="K115" s="24">
        <f t="shared" si="22"/>
        <v>-0.9733621312343419</v>
      </c>
      <c r="L115" s="24" t="str">
        <f t="shared" si="23"/>
        <v/>
      </c>
      <c r="M115" s="24">
        <f t="shared" si="24"/>
        <v>1000000000</v>
      </c>
    </row>
    <row r="116" spans="1:13" x14ac:dyDescent="0.3">
      <c r="A116" s="24">
        <f t="shared" si="25"/>
        <v>0.88000000000000056</v>
      </c>
      <c r="B116" s="20">
        <f t="shared" si="15"/>
        <v>660.00000000000045</v>
      </c>
      <c r="C116" s="20">
        <f t="shared" si="16"/>
        <v>528.00000000000034</v>
      </c>
      <c r="D116" s="24">
        <f t="shared" si="17"/>
        <v>1.9910586900396916</v>
      </c>
      <c r="E116" s="20">
        <f t="shared" si="18"/>
        <v>332374.9663789788</v>
      </c>
      <c r="F116" s="24">
        <f t="shared" si="19"/>
        <v>0.75234302377553064</v>
      </c>
      <c r="G116" s="16">
        <f t="shared" si="20"/>
        <v>80.493494127628196</v>
      </c>
      <c r="H116" s="24">
        <f t="shared" si="21"/>
        <v>8.0744958354983618E-2</v>
      </c>
      <c r="I116" s="24" cm="1">
        <f t="array" ref="I116">_xlfn.LET(_xlpm.x,$B116,_xlpm.dep,$H$6:$H$29,_xlpm.e,IF(_xlpm.x&lt;=$C$5,$C$12*(_xlpm.x-_xlpm.dep)/_xlpm.x,$C$13*(_xlpm.x-_xlpm.dep)/(_xlpm.x-3*$C$5/7))/$C$14,_xlpm.s,(_xlpm.e&gt;=1)*1+(_xlpm.e&lt;=-1)*(-1)+(ABS(_xlpm.e)&lt;1)*_xlpm.e,AVERAGE(_xlpm.s))</f>
        <v>0.60807672329848128</v>
      </c>
      <c r="J116" s="24" cm="1">
        <f t="array" ref="J116">_xlfn.LET(_xlpm.x,$B116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9.8729668354637146E-2</v>
      </c>
      <c r="K116" s="24">
        <f t="shared" si="22"/>
        <v>-0.97448877904348874</v>
      </c>
      <c r="L116" s="24" t="str">
        <f t="shared" si="23"/>
        <v/>
      </c>
      <c r="M116" s="24">
        <f t="shared" si="24"/>
        <v>1000000000</v>
      </c>
    </row>
    <row r="117" spans="1:13" x14ac:dyDescent="0.3">
      <c r="A117" s="24">
        <f t="shared" si="25"/>
        <v>0.89000000000000057</v>
      </c>
      <c r="B117" s="20">
        <f t="shared" si="15"/>
        <v>667.50000000000045</v>
      </c>
      <c r="C117" s="20">
        <f t="shared" si="16"/>
        <v>534.00000000000034</v>
      </c>
      <c r="D117" s="24">
        <f t="shared" si="17"/>
        <v>2.0086537621851237</v>
      </c>
      <c r="E117" s="20">
        <f t="shared" si="18"/>
        <v>336467.0433071751</v>
      </c>
      <c r="F117" s="24">
        <f t="shared" si="19"/>
        <v>0.76160559118011362</v>
      </c>
      <c r="G117" s="16">
        <f t="shared" si="20"/>
        <v>77.617333977225044</v>
      </c>
      <c r="H117" s="24">
        <f t="shared" si="21"/>
        <v>7.8818394039398401E-2</v>
      </c>
      <c r="I117" s="24" cm="1">
        <f t="array" ref="I117">_xlfn.LET(_xlpm.x,$B117,_xlpm.dep,$H$6:$H$29,_xlpm.e,IF(_xlpm.x&lt;=$C$5,$C$12*(_xlpm.x-_xlpm.dep)/_xlpm.x,$C$13*(_xlpm.x-_xlpm.dep)/(_xlpm.x-3*$C$5/7))/$C$14,_xlpm.s,(_xlpm.e&gt;=1)*1+(_xlpm.e&lt;=-1)*(-1)+(ABS(_xlpm.e)&lt;1)*_xlpm.e,AVERAGE(_xlpm.s))</f>
        <v>0.61676406348613877</v>
      </c>
      <c r="J117" s="24" cm="1">
        <f t="array" ref="J117">_xlfn.LET(_xlpm.x,$B117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9.6865700659861928E-2</v>
      </c>
      <c r="K117" s="24">
        <f t="shared" si="22"/>
        <v>-0.97578076721068696</v>
      </c>
      <c r="L117" s="24" t="str">
        <f t="shared" si="23"/>
        <v/>
      </c>
      <c r="M117" s="24">
        <f t="shared" si="24"/>
        <v>1000000000</v>
      </c>
    </row>
    <row r="118" spans="1:13" x14ac:dyDescent="0.3">
      <c r="A118" s="24">
        <f t="shared" si="25"/>
        <v>0.90000000000000058</v>
      </c>
      <c r="B118" s="20">
        <f t="shared" si="15"/>
        <v>675.00000000000045</v>
      </c>
      <c r="C118" s="20">
        <f t="shared" si="16"/>
        <v>540.00000000000034</v>
      </c>
      <c r="D118" s="24">
        <f t="shared" si="17"/>
        <v>2.0263950001907207</v>
      </c>
      <c r="E118" s="20">
        <f t="shared" si="18"/>
        <v>340525.40909541317</v>
      </c>
      <c r="F118" s="24">
        <f t="shared" si="19"/>
        <v>0.7707918521731536</v>
      </c>
      <c r="G118" s="16">
        <f t="shared" si="20"/>
        <v>74.761636517046568</v>
      </c>
      <c r="H118" s="24">
        <f t="shared" si="21"/>
        <v>7.6834213709960533E-2</v>
      </c>
      <c r="I118" s="24" cm="1">
        <f t="array" ref="I118">_xlfn.LET(_xlpm.x,$B118,_xlpm.dep,$H$6:$H$29,_xlpm.e,IF(_xlpm.x&lt;=$C$5,$C$12*(_xlpm.x-_xlpm.dep)/_xlpm.x,$C$13*(_xlpm.x-_xlpm.dep)/(_xlpm.x-3*$C$5/7))/$C$14,_xlpm.s,(_xlpm.e&gt;=1)*1+(_xlpm.e&lt;=-1)*(-1)+(ABS(_xlpm.e)&lt;1)*_xlpm.e,AVERAGE(_xlpm.s))</f>
        <v>0.62525835166962607</v>
      </c>
      <c r="J118" s="24" cm="1">
        <f t="array" ref="J118">_xlfn.LET(_xlpm.x,$B118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9.5043154469415039E-2</v>
      </c>
      <c r="K118" s="24">
        <f t="shared" si="22"/>
        <v>-0.97721649046020609</v>
      </c>
      <c r="L118" s="24" t="str">
        <f t="shared" si="23"/>
        <v/>
      </c>
      <c r="M118" s="24">
        <f t="shared" si="24"/>
        <v>1000000000</v>
      </c>
    </row>
    <row r="119" spans="1:13" x14ac:dyDescent="0.3">
      <c r="A119" s="24">
        <f t="shared" si="25"/>
        <v>0.91000000000000059</v>
      </c>
      <c r="B119" s="20">
        <f t="shared" si="15"/>
        <v>682.50000000000045</v>
      </c>
      <c r="C119" s="20">
        <f t="shared" si="16"/>
        <v>546.00000000000034</v>
      </c>
      <c r="D119" s="24">
        <f t="shared" si="17"/>
        <v>2.0442918389449538</v>
      </c>
      <c r="E119" s="20">
        <f t="shared" si="18"/>
        <v>344548.49292678572</v>
      </c>
      <c r="F119" s="24">
        <f t="shared" si="19"/>
        <v>0.77989825115251044</v>
      </c>
      <c r="G119" s="16">
        <f t="shared" si="20"/>
        <v>71.927108447224839</v>
      </c>
      <c r="H119" s="24">
        <f t="shared" si="21"/>
        <v>7.4794434784596811E-2</v>
      </c>
      <c r="I119" s="24" cm="1">
        <f t="array" ref="I119">_xlfn.LET(_xlpm.x,$B119,_xlpm.dep,$H$6:$H$29,_xlpm.e,IF(_xlpm.x&lt;=$C$5,$C$12*(_xlpm.x-_xlpm.dep)/_xlpm.x,$C$13*(_xlpm.x-_xlpm.dep)/(_xlpm.x-3*$C$5/7))/$C$14,_xlpm.s,(_xlpm.e&gt;=1)*1+(_xlpm.e&lt;=-1)*(-1)+(ABS(_xlpm.e)&lt;1)*_xlpm.e,AVERAGE(_xlpm.s))</f>
        <v>0.63356595220072909</v>
      </c>
      <c r="J119" s="24" cm="1">
        <f t="array" ref="J119">_xlfn.LET(_xlpm.x,$B119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9.3260664239197752E-2</v>
      </c>
      <c r="K119" s="24">
        <f t="shared" si="22"/>
        <v>-0.97877603566741744</v>
      </c>
      <c r="L119" s="24" t="str">
        <f t="shared" si="23"/>
        <v/>
      </c>
      <c r="M119" s="24">
        <f t="shared" si="24"/>
        <v>1000000000</v>
      </c>
    </row>
    <row r="120" spans="1:13" x14ac:dyDescent="0.3">
      <c r="A120" s="24">
        <f t="shared" si="25"/>
        <v>0.9200000000000006</v>
      </c>
      <c r="B120" s="20">
        <f t="shared" si="15"/>
        <v>690.00000000000045</v>
      </c>
      <c r="C120" s="20">
        <f t="shared" si="16"/>
        <v>552.00000000000034</v>
      </c>
      <c r="D120" s="24">
        <f t="shared" si="17"/>
        <v>2.0623543369824375</v>
      </c>
      <c r="E120" s="20">
        <f t="shared" si="18"/>
        <v>348534.68226784008</v>
      </c>
      <c r="F120" s="24">
        <f t="shared" si="19"/>
        <v>0.78892113808910103</v>
      </c>
      <c r="G120" s="16">
        <f t="shared" si="20"/>
        <v>69.114495496853678</v>
      </c>
      <c r="H120" s="24">
        <f t="shared" si="21"/>
        <v>7.2701181927775804E-2</v>
      </c>
      <c r="I120" s="24" cm="1">
        <f t="array" ref="I120">_xlfn.LET(_xlpm.x,$B120,_xlpm.dep,$H$6:$H$29,_xlpm.e,IF(_xlpm.x&lt;=$C$5,$C$12*(_xlpm.x-_xlpm.dep)/_xlpm.x,$C$13*(_xlpm.x-_xlpm.dep)/(_xlpm.x-3*$C$5/7))/$C$14,_xlpm.s,(_xlpm.e&gt;=1)*1+(_xlpm.e&lt;=-1)*(-1)+(ABS(_xlpm.e)&lt;1)*_xlpm.e,AVERAGE(_xlpm.s))</f>
        <v>0.64169295272028648</v>
      </c>
      <c r="J120" s="24" cm="1">
        <f t="array" ref="J120">_xlfn.LET(_xlpm.x,$B120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9.1516923796593902E-2</v>
      </c>
      <c r="K120" s="24">
        <f t="shared" si="22"/>
        <v>-0.98044096525977487</v>
      </c>
      <c r="L120" s="24" t="str">
        <f t="shared" si="23"/>
        <v/>
      </c>
      <c r="M120" s="24">
        <f t="shared" si="24"/>
        <v>1000000000</v>
      </c>
    </row>
    <row r="121" spans="1:13" x14ac:dyDescent="0.3">
      <c r="A121" s="24">
        <f t="shared" si="25"/>
        <v>0.9300000000000006</v>
      </c>
      <c r="B121" s="20">
        <f t="shared" si="15"/>
        <v>697.50000000000045</v>
      </c>
      <c r="C121" s="20">
        <f t="shared" si="16"/>
        <v>558.00000000000034</v>
      </c>
      <c r="D121" s="24">
        <f t="shared" si="17"/>
        <v>2.0805932469519299</v>
      </c>
      <c r="E121" s="20">
        <f t="shared" si="18"/>
        <v>352482.31936577708</v>
      </c>
      <c r="F121" s="24">
        <f t="shared" si="19"/>
        <v>0.79785676059818</v>
      </c>
      <c r="G121" s="16">
        <f t="shared" si="20"/>
        <v>66.324585558438656</v>
      </c>
      <c r="H121" s="24">
        <f t="shared" si="21"/>
        <v>7.0556691975563593E-2</v>
      </c>
      <c r="I121" s="24" cm="1">
        <f t="array" ref="I121">_xlfn.LET(_xlpm.x,$B121,_xlpm.dep,$H$6:$H$29,_xlpm.e,IF(_xlpm.x&lt;=$C$5,$C$12*(_xlpm.x-_xlpm.dep)/_xlpm.x,$C$13*(_xlpm.x-_xlpm.dep)/(_xlpm.x-3*$C$5/7))/$C$14,_xlpm.s,(_xlpm.e&gt;=1)*1+(_xlpm.e&lt;=-1)*(-1)+(ABS(_xlpm.e)&lt;1)*_xlpm.e,AVERAGE(_xlpm.s))</f>
        <v>0.64964517903512209</v>
      </c>
      <c r="J121" s="24" cm="1">
        <f t="array" ref="J121">_xlfn.LET(_xlpm.x,$B121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8.9810683148454681E-2</v>
      </c>
      <c r="K121" s="24">
        <f t="shared" si="22"/>
        <v>-0.98219412852758969</v>
      </c>
      <c r="L121" s="24" t="str">
        <f t="shared" si="23"/>
        <v/>
      </c>
      <c r="M121" s="24">
        <f t="shared" si="24"/>
        <v>1000000000</v>
      </c>
    </row>
    <row r="122" spans="1:13" x14ac:dyDescent="0.3">
      <c r="A122" s="24">
        <f t="shared" si="25"/>
        <v>0.94000000000000061</v>
      </c>
      <c r="B122" s="20">
        <f t="shared" si="15"/>
        <v>705.00000000000045</v>
      </c>
      <c r="C122" s="20">
        <f t="shared" si="16"/>
        <v>564.00000000000034</v>
      </c>
      <c r="D122" s="24">
        <f t="shared" si="17"/>
        <v>2.0990200959485685</v>
      </c>
      <c r="E122" s="20">
        <f t="shared" si="18"/>
        <v>356389.69739070907</v>
      </c>
      <c r="F122" s="24">
        <f t="shared" si="19"/>
        <v>0.80670125520719793</v>
      </c>
      <c r="G122" s="16">
        <f t="shared" si="20"/>
        <v>63.558212165781441</v>
      </c>
      <c r="H122" s="24">
        <f t="shared" si="21"/>
        <v>6.8363319377148388E-2</v>
      </c>
      <c r="I122" s="24" cm="1">
        <f t="array" ref="I122">_xlfn.LET(_xlpm.x,$B122,_xlpm.dep,$H$6:$H$29,_xlpm.e,IF(_xlpm.x&lt;=$C$5,$C$12*(_xlpm.x-_xlpm.dep)/_xlpm.x,$C$13*(_xlpm.x-_xlpm.dep)/(_xlpm.x-3*$C$5/7))/$C$14,_xlpm.s,(_xlpm.e&gt;=1)*1+(_xlpm.e&lt;=-1)*(-1)+(ABS(_xlpm.e)&lt;1)*_xlpm.e,AVERAGE(_xlpm.s))</f>
        <v>0.65742820904538668</v>
      </c>
      <c r="J122" s="24" cm="1">
        <f t="array" ref="J122">_xlfn.LET(_xlpm.x,$B122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8.8140745492828979E-2</v>
      </c>
      <c r="K122" s="24">
        <f t="shared" si="22"/>
        <v>-0.98401949624724461</v>
      </c>
      <c r="L122" s="24" t="str">
        <f t="shared" si="23"/>
        <v/>
      </c>
      <c r="M122" s="24">
        <f t="shared" si="24"/>
        <v>1000000000</v>
      </c>
    </row>
    <row r="123" spans="1:13" x14ac:dyDescent="0.3">
      <c r="A123" s="24">
        <f t="shared" si="25"/>
        <v>0.95000000000000062</v>
      </c>
      <c r="B123" s="20">
        <f t="shared" si="15"/>
        <v>712.50000000000045</v>
      </c>
      <c r="C123" s="20">
        <f t="shared" si="16"/>
        <v>570.00000000000034</v>
      </c>
      <c r="D123" s="24">
        <f t="shared" si="17"/>
        <v>2.1176472774908417</v>
      </c>
      <c r="E123" s="20">
        <f t="shared" si="18"/>
        <v>360255.05617153284</v>
      </c>
      <c r="F123" s="24">
        <f t="shared" si="19"/>
        <v>0.81545063770379189</v>
      </c>
      <c r="G123" s="16">
        <f t="shared" si="20"/>
        <v>60.81625836428573</v>
      </c>
      <c r="H123" s="24">
        <f t="shared" si="21"/>
        <v>6.612354222122048E-2</v>
      </c>
      <c r="I123" s="24" cm="1">
        <f t="array" ref="I123">_xlfn.LET(_xlpm.x,$B123,_xlpm.dep,$H$6:$H$29,_xlpm.e,IF(_xlpm.x&lt;=$C$5,$C$12*(_xlpm.x-_xlpm.dep)/_xlpm.x,$C$13*(_xlpm.x-_xlpm.dep)/(_xlpm.x-3*$C$5/7))/$C$14,_xlpm.s,(_xlpm.e&gt;=1)*1+(_xlpm.e&lt;=-1)*(-1)+(ABS(_xlpm.e)&lt;1)*_xlpm.e,AVERAGE(_xlpm.s))</f>
        <v>0.6650473857922774</v>
      </c>
      <c r="J123" s="24" cm="1">
        <f t="array" ref="J123">_xlfn.LET(_xlpm.x,$B123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8.6505964419427012E-2</v>
      </c>
      <c r="K123" s="24">
        <f t="shared" si="22"/>
        <v>-0.98590201478509043</v>
      </c>
      <c r="L123" s="24" t="str">
        <f t="shared" si="23"/>
        <v/>
      </c>
      <c r="M123" s="24">
        <f t="shared" si="24"/>
        <v>1000000000</v>
      </c>
    </row>
    <row r="124" spans="1:13" x14ac:dyDescent="0.3">
      <c r="A124" s="24">
        <f t="shared" si="25"/>
        <v>0.96000000000000063</v>
      </c>
      <c r="B124" s="20">
        <f t="shared" si="15"/>
        <v>720.00000000000045</v>
      </c>
      <c r="C124" s="20">
        <f t="shared" si="16"/>
        <v>576.00000000000034</v>
      </c>
      <c r="D124" s="24">
        <f t="shared" si="17"/>
        <v>2.136488157312173</v>
      </c>
      <c r="E124" s="20">
        <f t="shared" si="18"/>
        <v>364076.57746473292</v>
      </c>
      <c r="F124" s="24">
        <f t="shared" si="19"/>
        <v>0.82410079242654721</v>
      </c>
      <c r="G124" s="16">
        <f t="shared" si="20"/>
        <v>58.099661031449024</v>
      </c>
      <c r="H124" s="24">
        <f t="shared" si="21"/>
        <v>6.3839968927641239E-2</v>
      </c>
      <c r="I124" s="24" cm="1">
        <f t="array" ref="I124">_xlfn.LET(_xlpm.x,$B124,_xlpm.dep,$H$6:$H$29,_xlpm.e,IF(_xlpm.x&lt;=$C$5,$C$12*(_xlpm.x-_xlpm.dep)/_xlpm.x,$C$13*(_xlpm.x-_xlpm.dep)/(_xlpm.x-3*$C$5/7))/$C$14,_xlpm.s,(_xlpm.e&gt;=1)*1+(_xlpm.e&lt;=-1)*(-1)+(ABS(_xlpm.e)&lt;1)*_xlpm.e,AVERAGE(_xlpm.s))</f>
        <v>0.67250782969027434</v>
      </c>
      <c r="J124" s="24" cm="1">
        <f t="array" ref="J124">_xlfn.LET(_xlpm.x,$B124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8.4905241285054278E-2</v>
      </c>
      <c r="K124" s="24">
        <f t="shared" si="22"/>
        <v>-0.98782747646057067</v>
      </c>
      <c r="L124" s="24" t="str">
        <f t="shared" si="23"/>
        <v/>
      </c>
      <c r="M124" s="24">
        <f t="shared" si="24"/>
        <v>1000000000</v>
      </c>
    </row>
    <row r="125" spans="1:13" x14ac:dyDescent="0.3">
      <c r="A125" s="24">
        <f t="shared" si="25"/>
        <v>0.97000000000000064</v>
      </c>
      <c r="B125" s="20">
        <f t="shared" si="15"/>
        <v>727.50000000000045</v>
      </c>
      <c r="C125" s="20">
        <f t="shared" si="16"/>
        <v>582.00000000000034</v>
      </c>
      <c r="D125" s="24">
        <f t="shared" si="17"/>
        <v>2.1555571956282797</v>
      </c>
      <c r="E125" s="20">
        <f t="shared" si="18"/>
        <v>367852.3796841384</v>
      </c>
      <c r="F125" s="24">
        <f t="shared" si="19"/>
        <v>0.83264746033560644</v>
      </c>
      <c r="G125" s="16">
        <f t="shared" si="20"/>
        <v>55.409415716004041</v>
      </c>
      <c r="H125" s="24">
        <f t="shared" si="21"/>
        <v>6.1515345699480806E-2</v>
      </c>
      <c r="I125" s="24" cm="1">
        <f t="array" ref="I125">_xlfn.LET(_xlpm.x,$B125,_xlpm.dep,$H$6:$H$29,_xlpm.e,IF(_xlpm.x&lt;=$C$5,$C$12*(_xlpm.x-_xlpm.dep)/_xlpm.x,$C$13*(_xlpm.x-_xlpm.dep)/(_xlpm.x-3*$C$5/7))/$C$14,_xlpm.s,(_xlpm.e&gt;=1)*1+(_xlpm.e&lt;=-1)*(-1)+(ABS(_xlpm.e)&lt;1)*_xlpm.e,AVERAGE(_xlpm.s))</f>
        <v>0.67981445000274598</v>
      </c>
      <c r="J125" s="24" cm="1">
        <f t="array" ref="J125">_xlfn.LET(_xlpm.x,$B125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8.3337522751390239E-2</v>
      </c>
      <c r="K125" s="24">
        <f t="shared" si="22"/>
        <v>-0.98978240343267232</v>
      </c>
      <c r="L125" s="24" t="str">
        <f t="shared" si="23"/>
        <v/>
      </c>
      <c r="M125" s="24">
        <f t="shared" si="24"/>
        <v>1000000000</v>
      </c>
    </row>
    <row r="126" spans="1:13" x14ac:dyDescent="0.3">
      <c r="A126" s="24">
        <f t="shared" si="25"/>
        <v>0.98000000000000065</v>
      </c>
      <c r="B126" s="20">
        <f t="shared" si="15"/>
        <v>735.00000000000045</v>
      </c>
      <c r="C126" s="20">
        <f t="shared" si="16"/>
        <v>588.00000000000034</v>
      </c>
      <c r="D126" s="24">
        <f t="shared" si="17"/>
        <v>2.1748700891658901</v>
      </c>
      <c r="E126" s="20">
        <f t="shared" si="18"/>
        <v>371580.51200576825</v>
      </c>
      <c r="F126" s="24">
        <f t="shared" si="19"/>
        <v>0.84108622566876989</v>
      </c>
      <c r="G126" s="16">
        <f t="shared" si="20"/>
        <v>52.74658207730301</v>
      </c>
      <c r="H126" s="24">
        <f t="shared" si="21"/>
        <v>5.9152564848435701E-2</v>
      </c>
      <c r="I126" s="24" cm="1">
        <f t="array" ref="I126">_xlfn.LET(_xlpm.x,$B126,_xlpm.dep,$H$6:$H$29,_xlpm.e,IF(_xlpm.x&lt;=$C$5,$C$12*(_xlpm.x-_xlpm.dep)/_xlpm.x,$C$13*(_xlpm.x-_xlpm.dep)/(_xlpm.x-3*$C$5/7))/$C$14,_xlpm.s,(_xlpm.e&gt;=1)*1+(_xlpm.e&lt;=-1)*(-1)+(ABS(_xlpm.e)&lt;1)*_xlpm.e,AVERAGE(_xlpm.s))</f>
        <v>0.6869719556149626</v>
      </c>
      <c r="J126" s="24" cm="1">
        <f t="array" ref="J126">_xlfn.LET(_xlpm.x,$B126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8.1801798473515264E-2</v>
      </c>
      <c r="K126" s="24">
        <f t="shared" si="22"/>
        <v>-0.99175394275775064</v>
      </c>
      <c r="L126" s="24" t="str">
        <f t="shared" si="23"/>
        <v/>
      </c>
      <c r="M126" s="24">
        <f t="shared" si="24"/>
        <v>1000000000</v>
      </c>
    </row>
    <row r="127" spans="1:13" x14ac:dyDescent="0.3">
      <c r="A127" s="24">
        <f t="shared" si="25"/>
        <v>0.99000000000000066</v>
      </c>
      <c r="B127" s="20">
        <f t="shared" si="15"/>
        <v>742.50000000000045</v>
      </c>
      <c r="C127" s="20">
        <f t="shared" si="16"/>
        <v>594.00000000000034</v>
      </c>
      <c r="D127" s="24">
        <f t="shared" si="17"/>
        <v>2.1944439370384528</v>
      </c>
      <c r="E127" s="20">
        <f t="shared" si="18"/>
        <v>375258.94774471683</v>
      </c>
      <c r="F127" s="24">
        <f t="shared" si="19"/>
        <v>0.84941250094983023</v>
      </c>
      <c r="G127" s="16">
        <f t="shared" si="20"/>
        <v>50.112290022749718</v>
      </c>
      <c r="H127" s="24">
        <f t="shared" si="21"/>
        <v>5.6754674128729421E-2</v>
      </c>
      <c r="I127" s="24" cm="1">
        <f t="array" ref="I127">_xlfn.LET(_xlpm.x,$B127,_xlpm.dep,$H$6:$H$29,_xlpm.e,IF(_xlpm.x&lt;=$C$5,$C$12*(_xlpm.x-_xlpm.dep)/_xlpm.x,$C$13*(_xlpm.x-_xlpm.dep)/(_xlpm.x-3*$C$5/7))/$C$14,_xlpm.s,(_xlpm.e&gt;=1)*1+(_xlpm.e&lt;=-1)*(-1)+(ABS(_xlpm.e)&lt;1)*_xlpm.e,AVERAGE(_xlpm.s))</f>
        <v>0.69398486515420554</v>
      </c>
      <c r="J127" s="24" cm="1">
        <f t="array" ref="J127">_xlfn.LET(_xlpm.x,$B127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8.0297098928526656E-2</v>
      </c>
      <c r="K127" s="24">
        <f t="shared" si="22"/>
        <v>-0.99372977056634126</v>
      </c>
      <c r="L127" s="24" t="str">
        <f t="shared" si="23"/>
        <v/>
      </c>
      <c r="M127" s="24">
        <f t="shared" si="24"/>
        <v>1000000000</v>
      </c>
    </row>
    <row r="128" spans="1:13" x14ac:dyDescent="0.3">
      <c r="A128" s="24">
        <f t="shared" si="25"/>
        <v>1.0000000000000007</v>
      </c>
      <c r="B128" s="20">
        <f t="shared" si="15"/>
        <v>750.00000000000045</v>
      </c>
      <c r="C128" s="20">
        <f t="shared" si="16"/>
        <v>600.00000000000034</v>
      </c>
      <c r="D128" s="24">
        <f t="shared" si="17"/>
        <v>2.2142974355881822</v>
      </c>
      <c r="E128" s="20">
        <f t="shared" si="18"/>
        <v>378885.57687958819</v>
      </c>
      <c r="F128" s="24">
        <f t="shared" si="19"/>
        <v>0.85762151006735354</v>
      </c>
      <c r="G128" s="16">
        <f t="shared" si="20"/>
        <v>47.507746661257691</v>
      </c>
      <c r="H128" s="24">
        <f t="shared" si="21"/>
        <v>5.4324887242033458E-2</v>
      </c>
      <c r="I128" s="24" cm="1">
        <f t="array" ref="I128">_xlfn.LET(_xlpm.x,$B128,_xlpm.dep,$H$6:$H$29,_xlpm.e,IF(_xlpm.x&lt;=$C$5,$C$12*(_xlpm.x-_xlpm.dep)/_xlpm.x,$C$13*(_xlpm.x-_xlpm.dep)/(_xlpm.x-3*$C$5/7))/$C$14,_xlpm.s,(_xlpm.e&gt;=1)*1+(_xlpm.e&lt;=-1)*(-1)+(ABS(_xlpm.e)&lt;1)*_xlpm.e,AVERAGE(_xlpm.s))</f>
        <v>0.70085751650266348</v>
      </c>
      <c r="J128" s="24" cm="1">
        <f t="array" ref="J128">_xlfn.LET(_xlpm.x,$B128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7.8822493374437808E-2</v>
      </c>
      <c r="K128" s="24">
        <f t="shared" si="22"/>
        <v>-0.99569800353432214</v>
      </c>
      <c r="L128" s="24" t="str">
        <f t="shared" si="23"/>
        <v/>
      </c>
      <c r="M128" s="24">
        <f t="shared" si="24"/>
        <v>1000000000</v>
      </c>
    </row>
    <row r="129" spans="1:13" x14ac:dyDescent="0.3">
      <c r="A129" s="24">
        <f t="shared" si="25"/>
        <v>1.0100000000000007</v>
      </c>
      <c r="B129" s="20">
        <f t="shared" si="15"/>
        <v>757.50000000000045</v>
      </c>
      <c r="C129" s="20">
        <f t="shared" si="16"/>
        <v>606.00000000000034</v>
      </c>
      <c r="D129" s="24">
        <f t="shared" si="17"/>
        <v>2.2344511086616814</v>
      </c>
      <c r="E129" s="20">
        <f t="shared" si="18"/>
        <v>382458.19757305447</v>
      </c>
      <c r="F129" s="24">
        <f t="shared" si="19"/>
        <v>0.86570826908114984</v>
      </c>
      <c r="G129" s="16">
        <f t="shared" si="20"/>
        <v>44.934244216001169</v>
      </c>
      <c r="H129" s="24">
        <f t="shared" si="21"/>
        <v>5.1866595710272058E-2</v>
      </c>
      <c r="I129" s="24" cm="1">
        <f t="array" ref="I129">_xlfn.LET(_xlpm.x,$B129,_xlpm.dep,$H$6:$H$29,_xlpm.e,IF(_xlpm.x&lt;=$C$5,$C$12*(_xlpm.x-_xlpm.dep)/_xlpm.x,$C$13*(_xlpm.x-_xlpm.dep)/(_xlpm.x-3*$C$5/7))/$C$14,_xlpm.s,(_xlpm.e&gt;=1)*1+(_xlpm.e&lt;=-1)*(-1)+(ABS(_xlpm.e)&lt;1)*_xlpm.e,AVERAGE(_xlpm.s))</f>
        <v>0.7051425223613399</v>
      </c>
      <c r="J129" s="24" cm="1">
        <f t="array" ref="J129">_xlfn.LET(_xlpm.x,$B129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7.7618318439569137E-2</v>
      </c>
      <c r="K129" s="24">
        <f t="shared" si="22"/>
        <v>-1.0011156136117665</v>
      </c>
      <c r="L129" s="24" t="str">
        <f t="shared" si="23"/>
        <v/>
      </c>
      <c r="M129" s="24">
        <f t="shared" si="24"/>
        <v>1000000000</v>
      </c>
    </row>
    <row r="130" spans="1:13" x14ac:dyDescent="0.3">
      <c r="A130" s="24">
        <f t="shared" si="25"/>
        <v>1.0200000000000007</v>
      </c>
      <c r="B130" s="20">
        <f t="shared" si="15"/>
        <v>765.00000000000057</v>
      </c>
      <c r="C130" s="20">
        <f t="shared" si="16"/>
        <v>612.00000000000045</v>
      </c>
      <c r="D130" s="24">
        <f t="shared" si="17"/>
        <v>2.2549275815611525</v>
      </c>
      <c r="E130" s="20">
        <f t="shared" si="18"/>
        <v>385974.50650295767</v>
      </c>
      <c r="F130" s="24">
        <f t="shared" si="19"/>
        <v>0.87366756433636439</v>
      </c>
      <c r="G130" s="16">
        <f t="shared" si="20"/>
        <v>42.393169071703561</v>
      </c>
      <c r="H130" s="24">
        <f t="shared" si="21"/>
        <v>4.938338235649993E-2</v>
      </c>
      <c r="I130" s="24" cm="1">
        <f t="array" ref="I130">_xlfn.LET(_xlpm.x,$B130,_xlpm.dep,$H$6:$H$29,_xlpm.e,IF(_xlpm.x&lt;=$C$5,$C$12*(_xlpm.x-_xlpm.dep)/_xlpm.x,$C$13*(_xlpm.x-_xlpm.dep)/(_xlpm.x-3*$C$5/7))/$C$14,_xlpm.s,(_xlpm.e&gt;=1)*1+(_xlpm.e&lt;=-1)*(-1)+(ABS(_xlpm.e)&lt;1)*_xlpm.e,AVERAGE(_xlpm.s))</f>
        <v>0.70928262464025449</v>
      </c>
      <c r="J130" s="24" cm="1">
        <f t="array" ref="J130">_xlfn.LET(_xlpm.x,$B130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7.6454864396217723E-2</v>
      </c>
      <c r="K130" s="24">
        <f t="shared" si="22"/>
        <v>-1.0064936873010497</v>
      </c>
      <c r="L130" s="24" t="str">
        <f t="shared" si="23"/>
        <v/>
      </c>
      <c r="M130" s="24">
        <f t="shared" si="24"/>
        <v>1000000000</v>
      </c>
    </row>
    <row r="131" spans="1:13" x14ac:dyDescent="0.3">
      <c r="A131" s="24">
        <f t="shared" si="25"/>
        <v>1.0300000000000007</v>
      </c>
      <c r="B131" s="20">
        <f t="shared" si="15"/>
        <v>772.50000000000057</v>
      </c>
      <c r="C131" s="20">
        <f t="shared" si="16"/>
        <v>618.00000000000045</v>
      </c>
      <c r="D131" s="24">
        <f t="shared" si="17"/>
        <v>2.2757519092748622</v>
      </c>
      <c r="E131" s="20">
        <f t="shared" si="18"/>
        <v>389432.08777469979</v>
      </c>
      <c r="F131" s="24">
        <f t="shared" si="19"/>
        <v>0.88149392736626264</v>
      </c>
      <c r="G131" s="16">
        <f t="shared" si="20"/>
        <v>39.886012172498859</v>
      </c>
      <c r="H131" s="24">
        <f t="shared" si="21"/>
        <v>4.6879036689219437E-2</v>
      </c>
      <c r="I131" s="24" cm="1">
        <f t="array" ref="I131">_xlfn.LET(_xlpm.x,$B131,_xlpm.dep,$H$6:$H$29,_xlpm.e,IF(_xlpm.x&lt;=$C$5,$C$12*(_xlpm.x-_xlpm.dep)/_xlpm.x,$C$13*(_xlpm.x-_xlpm.dep)/(_xlpm.x-3*$C$5/7))/$C$14,_xlpm.s,(_xlpm.e&gt;=1)*1+(_xlpm.e&lt;=-1)*(-1)+(ABS(_xlpm.e)&lt;1)*_xlpm.e,AVERAGE(_xlpm.s))</f>
        <v>0.71328505130894371</v>
      </c>
      <c r="J131" s="24" cm="1">
        <f t="array" ref="J131">_xlfn.LET(_xlpm.x,$B131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7.5330100036018172E-2</v>
      </c>
      <c r="K131" s="24">
        <f t="shared" si="22"/>
        <v>-1.0118182708556995</v>
      </c>
      <c r="L131" s="24" t="str">
        <f t="shared" si="23"/>
        <v/>
      </c>
      <c r="M131" s="24">
        <f t="shared" si="24"/>
        <v>1000000000</v>
      </c>
    </row>
    <row r="132" spans="1:13" x14ac:dyDescent="0.3">
      <c r="A132" s="24">
        <f t="shared" si="25"/>
        <v>1.0400000000000007</v>
      </c>
      <c r="B132" s="20">
        <f t="shared" si="15"/>
        <v>780.00000000000057</v>
      </c>
      <c r="C132" s="20">
        <f t="shared" si="16"/>
        <v>624.00000000000045</v>
      </c>
      <c r="D132" s="24">
        <f t="shared" si="17"/>
        <v>2.2969519727690786</v>
      </c>
      <c r="E132" s="20">
        <f t="shared" si="18"/>
        <v>392828.40012924606</v>
      </c>
      <c r="F132" s="24">
        <f t="shared" si="19"/>
        <v>0.88918160593707307</v>
      </c>
      <c r="G132" s="16">
        <f t="shared" si="20"/>
        <v>37.414381038948392</v>
      </c>
      <c r="H132" s="24">
        <f t="shared" si="21"/>
        <v>4.435757255647161E-2</v>
      </c>
      <c r="I132" s="24" cm="1">
        <f t="array" ref="I132">_xlfn.LET(_xlpm.x,$B132,_xlpm.dep,$H$6:$H$29,_xlpm.e,IF(_xlpm.x&lt;=$C$5,$C$12*(_xlpm.x-_xlpm.dep)/_xlpm.x,$C$13*(_xlpm.x-_xlpm.dep)/(_xlpm.x-3*$C$5/7))/$C$14,_xlpm.s,(_xlpm.e&gt;=1)*1+(_xlpm.e&lt;=-1)*(-1)+(ABS(_xlpm.e)&lt;1)*_xlpm.e,AVERAGE(_xlpm.s))</f>
        <v>0.71715655747912466</v>
      </c>
      <c r="J132" s="24" cm="1">
        <f t="array" ref="J132">_xlfn.LET(_xlpm.x,$B132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7.4242127033395222E-2</v>
      </c>
      <c r="K132" s="24">
        <f t="shared" si="22"/>
        <v>-1.0170757252466127</v>
      </c>
      <c r="L132" s="24" t="str">
        <f t="shared" si="23"/>
        <v/>
      </c>
      <c r="M132" s="24">
        <f t="shared" si="24"/>
        <v>1000000000</v>
      </c>
    </row>
    <row r="133" spans="1:13" x14ac:dyDescent="0.3">
      <c r="A133" s="24">
        <f t="shared" si="25"/>
        <v>1.0500000000000007</v>
      </c>
      <c r="B133" s="20">
        <f t="shared" si="15"/>
        <v>787.50000000000057</v>
      </c>
      <c r="C133" s="20">
        <f t="shared" si="16"/>
        <v>630.00000000000045</v>
      </c>
      <c r="D133" s="24">
        <f t="shared" si="17"/>
        <v>2.3185589614548188</v>
      </c>
      <c r="E133" s="20">
        <f t="shared" si="18"/>
        <v>396160.76208740828</v>
      </c>
      <c r="F133" s="24">
        <f t="shared" si="19"/>
        <v>0.89672453042152334</v>
      </c>
      <c r="G133" s="16">
        <f t="shared" si="20"/>
        <v>34.980013741211586</v>
      </c>
      <c r="H133" s="24">
        <f t="shared" si="21"/>
        <v>4.1823248528301854E-2</v>
      </c>
      <c r="I133" s="24" cm="1">
        <f t="array" ref="I133">_xlfn.LET(_xlpm.x,$B133,_xlpm.dep,$H$6:$H$29,_xlpm.e,IF(_xlpm.x&lt;=$C$5,$C$12*(_xlpm.x-_xlpm.dep)/_xlpm.x,$C$13*(_xlpm.x-_xlpm.dep)/(_xlpm.x-3*$C$5/7))/$C$14,_xlpm.s,(_xlpm.e&gt;=1)*1+(_xlpm.e&lt;=-1)*(-1)+(ABS(_xlpm.e)&lt;1)*_xlpm.e,AVERAGE(_xlpm.s))</f>
        <v>0.72090346345072476</v>
      </c>
      <c r="J133" s="24" cm="1">
        <f t="array" ref="J133">_xlfn.LET(_xlpm.x,$B133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7.3189169253845221E-2</v>
      </c>
      <c r="K133" s="24">
        <f t="shared" si="22"/>
        <v>-1.0222526144768158</v>
      </c>
      <c r="L133" s="24" t="str">
        <f t="shared" si="23"/>
        <v/>
      </c>
      <c r="M133" s="24">
        <f t="shared" si="24"/>
        <v>1000000000</v>
      </c>
    </row>
    <row r="134" spans="1:13" x14ac:dyDescent="0.3">
      <c r="A134" s="24">
        <f t="shared" si="25"/>
        <v>1.0600000000000007</v>
      </c>
      <c r="B134" s="20">
        <f t="shared" si="15"/>
        <v>795.00000000000057</v>
      </c>
      <c r="C134" s="20">
        <f t="shared" si="16"/>
        <v>636.00000000000045</v>
      </c>
      <c r="D134" s="24">
        <f t="shared" si="17"/>
        <v>2.3406079659242427</v>
      </c>
      <c r="E134" s="20">
        <f t="shared" si="18"/>
        <v>399426.33457379311</v>
      </c>
      <c r="F134" s="24">
        <f t="shared" si="19"/>
        <v>0.90411627446750431</v>
      </c>
      <c r="G134" s="16">
        <f t="shared" si="20"/>
        <v>32.584795255458332</v>
      </c>
      <c r="H134" s="24">
        <f t="shared" si="21"/>
        <v>3.9280591587535198E-2</v>
      </c>
      <c r="I134" s="24" cm="1">
        <f t="array" ref="I134">_xlfn.LET(_xlpm.x,$B134,_xlpm.dep,$H$6:$H$29,_xlpm.e,IF(_xlpm.x&lt;=$C$5,$C$12*(_xlpm.x-_xlpm.dep)/_xlpm.x,$C$13*(_xlpm.x-_xlpm.dep)/(_xlpm.x-3*$C$5/7))/$C$14,_xlpm.s,(_xlpm.e&gt;=1)*1+(_xlpm.e&lt;=-1)*(-1)+(ABS(_xlpm.e)&lt;1)*_xlpm.e,AVERAGE(_xlpm.s))</f>
        <v>0.72453168914268173</v>
      </c>
      <c r="J134" s="24" cm="1">
        <f t="array" ref="J134">_xlfn.LET(_xlpm.x,$B134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7.2169563078172336E-2</v>
      </c>
      <c r="K134" s="24">
        <f t="shared" si="22"/>
        <v>-1.0273355955274084</v>
      </c>
      <c r="L134" s="24" t="str">
        <f t="shared" si="23"/>
        <v/>
      </c>
      <c r="M134" s="24">
        <f t="shared" si="24"/>
        <v>1000000000</v>
      </c>
    </row>
    <row r="135" spans="1:13" x14ac:dyDescent="0.3">
      <c r="A135" s="24">
        <f t="shared" si="25"/>
        <v>1.0700000000000007</v>
      </c>
      <c r="B135" s="20">
        <f t="shared" si="15"/>
        <v>802.50000000000057</v>
      </c>
      <c r="C135" s="20">
        <f t="shared" si="16"/>
        <v>642.00000000000045</v>
      </c>
      <c r="D135" s="24">
        <f t="shared" si="17"/>
        <v>2.3631387134341768</v>
      </c>
      <c r="E135" s="20">
        <f t="shared" si="18"/>
        <v>402622.10043368448</v>
      </c>
      <c r="F135" s="24">
        <f t="shared" si="19"/>
        <v>0.91135000863377669</v>
      </c>
      <c r="G135" s="16">
        <f t="shared" si="20"/>
        <v>30.230776750756785</v>
      </c>
      <c r="H135" s="24">
        <f t="shared" si="21"/>
        <v>3.6734424870410627E-2</v>
      </c>
      <c r="I135" s="24" cm="1">
        <f t="array" ref="I135">_xlfn.LET(_xlpm.x,$B135,_xlpm.dep,$H$6:$H$29,_xlpm.e,IF(_xlpm.x&lt;=$C$5,$C$12*(_xlpm.x-_xlpm.dep)/_xlpm.x,$C$13*(_xlpm.x-_xlpm.dep)/(_xlpm.x-3*$C$5/7))/$C$14,_xlpm.s,(_xlpm.e&gt;=1)*1+(_xlpm.e&lt;=-1)*(-1)+(ABS(_xlpm.e)&lt;1)*_xlpm.e,AVERAGE(_xlpm.s))</f>
        <v>0.7280467853030409</v>
      </c>
      <c r="J135" s="24" cm="1">
        <f t="array" ref="J135">_xlfn.LET(_xlpm.x,$B135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7.1181748631807762E-2</v>
      </c>
      <c r="K135" s="24">
        <f t="shared" si="22"/>
        <v>-1.0323113070231</v>
      </c>
      <c r="L135" s="24" t="str">
        <f t="shared" si="23"/>
        <v/>
      </c>
      <c r="M135" s="24">
        <f t="shared" si="24"/>
        <v>1000000000</v>
      </c>
    </row>
    <row r="136" spans="1:13" x14ac:dyDescent="0.3">
      <c r="A136" s="24">
        <f t="shared" si="25"/>
        <v>1.0800000000000007</v>
      </c>
      <c r="B136" s="20">
        <f t="shared" si="15"/>
        <v>810.00000000000057</v>
      </c>
      <c r="C136" s="20">
        <f t="shared" si="16"/>
        <v>648.00000000000045</v>
      </c>
      <c r="D136" s="24">
        <f t="shared" si="17"/>
        <v>2.3861964905524324</v>
      </c>
      <c r="E136" s="20">
        <f t="shared" si="18"/>
        <v>405744.84007965488</v>
      </c>
      <c r="F136" s="24">
        <f t="shared" si="19"/>
        <v>0.91841844526517546</v>
      </c>
      <c r="G136" s="16">
        <f t="shared" si="20"/>
        <v>27.920198516109757</v>
      </c>
      <c r="H136" s="24">
        <f t="shared" si="21"/>
        <v>3.4189900416880775E-2</v>
      </c>
      <c r="I136" s="24" cm="1">
        <f t="array" ref="I136">_xlfn.LET(_xlpm.x,$B136,_xlpm.dep,$H$6:$H$29,_xlpm.e,IF(_xlpm.x&lt;=$C$5,$C$12*(_xlpm.x-_xlpm.dep)/_xlpm.x,$C$13*(_xlpm.x-_xlpm.dep)/(_xlpm.x-3*$C$5/7))/$C$14,_xlpm.s,(_xlpm.e&gt;=1)*1+(_xlpm.e&lt;=-1)*(-1)+(ABS(_xlpm.e)&lt;1)*_xlpm.e,AVERAGE(_xlpm.s))</f>
        <v>0.73145396184444156</v>
      </c>
      <c r="J136" s="24" cm="1">
        <f t="array" ref="J136">_xlfn.LET(_xlpm.x,$B136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7.0224261821954362E-2</v>
      </c>
      <c r="K136" s="24">
        <f t="shared" si="22"/>
        <v>-1.0371662534010406</v>
      </c>
      <c r="L136" s="24" t="str">
        <f t="shared" si="23"/>
        <v/>
      </c>
      <c r="M136" s="24">
        <f t="shared" si="24"/>
        <v>1000000000</v>
      </c>
    </row>
    <row r="137" spans="1:13" x14ac:dyDescent="0.3">
      <c r="A137" s="24">
        <f t="shared" si="25"/>
        <v>1.0900000000000007</v>
      </c>
      <c r="B137" s="20">
        <f t="shared" si="15"/>
        <v>817.50000000000057</v>
      </c>
      <c r="C137" s="20">
        <f t="shared" si="16"/>
        <v>654.00000000000045</v>
      </c>
      <c r="D137" s="24">
        <f t="shared" si="17"/>
        <v>2.4098333146881608</v>
      </c>
      <c r="E137" s="20">
        <f t="shared" si="18"/>
        <v>408791.10226168763</v>
      </c>
      <c r="F137" s="24">
        <f t="shared" si="19"/>
        <v>0.92531377232970047</v>
      </c>
      <c r="G137" s="16">
        <f t="shared" si="20"/>
        <v>25.655517460292611</v>
      </c>
      <c r="H137" s="24">
        <f t="shared" si="21"/>
        <v>3.16525381896718E-2</v>
      </c>
      <c r="I137" s="24" cm="1">
        <f t="array" ref="I137">_xlfn.LET(_xlpm.x,$B137,_xlpm.dep,$H$6:$H$29,_xlpm.e,IF(_xlpm.x&lt;=$C$5,$C$12*(_xlpm.x-_xlpm.dep)/_xlpm.x,$C$13*(_xlpm.x-_xlpm.dep)/(_xlpm.x-3*$C$5/7))/$C$14,_xlpm.s,(_xlpm.e&gt;=1)*1+(_xlpm.e&lt;=-1)*(-1)+(ABS(_xlpm.e)&lt;1)*_xlpm.e,AVERAGE(_xlpm.s))</f>
        <v>0.73475811360921239</v>
      </c>
      <c r="J137" s="24" cm="1">
        <f t="array" ref="J137">_xlfn.LET(_xlpm.x,$B137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6.9295727097064136E-2</v>
      </c>
      <c r="K137" s="24">
        <f t="shared" si="22"/>
        <v>-1.0418866808366114</v>
      </c>
      <c r="L137" s="24" t="str">
        <f t="shared" si="23"/>
        <v/>
      </c>
      <c r="M137" s="24">
        <f t="shared" si="24"/>
        <v>1000000000</v>
      </c>
    </row>
    <row r="138" spans="1:13" x14ac:dyDescent="0.3">
      <c r="A138" s="24">
        <f t="shared" si="25"/>
        <v>1.1000000000000008</v>
      </c>
      <c r="B138" s="20">
        <f t="shared" si="15"/>
        <v>825.00000000000057</v>
      </c>
      <c r="C138" s="20">
        <f t="shared" si="16"/>
        <v>660.00000000000045</v>
      </c>
      <c r="D138" s="24">
        <f t="shared" si="17"/>
        <v>2.4341094418104521</v>
      </c>
      <c r="E138" s="20">
        <f t="shared" si="18"/>
        <v>411757.16861423221</v>
      </c>
      <c r="F138" s="24">
        <f t="shared" si="19"/>
        <v>0.93202757316946616</v>
      </c>
      <c r="G138" s="16">
        <f t="shared" si="20"/>
        <v>23.439440428418237</v>
      </c>
      <c r="H138" s="24">
        <f t="shared" si="21"/>
        <v>2.9128273038598565E-2</v>
      </c>
      <c r="I138" s="24" cm="1">
        <f t="array" ref="I138">_xlfn.LET(_xlpm.x,$B138,_xlpm.dep,$H$6:$H$29,_xlpm.e,IF(_xlpm.x&lt;=$C$5,$C$12*(_xlpm.x-_xlpm.dep)/_xlpm.x,$C$13*(_xlpm.x-_xlpm.dep)/(_xlpm.x-3*$C$5/7))/$C$14,_xlpm.s,(_xlpm.e&gt;=1)*1+(_xlpm.e&lt;=-1)*(-1)+(ABS(_xlpm.e)&lt;1)*_xlpm.e,AVERAGE(_xlpm.s))</f>
        <v>0.73796384383205405</v>
      </c>
      <c r="J138" s="24" cm="1">
        <f t="array" ref="J138">_xlfn.LET(_xlpm.x,$B138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6.8394850853340863E-2</v>
      </c>
      <c r="K138" s="24">
        <f t="shared" si="22"/>
        <v>-1.0464584403427579</v>
      </c>
      <c r="L138" s="24" t="str">
        <f t="shared" si="23"/>
        <v/>
      </c>
      <c r="M138" s="24">
        <f t="shared" si="24"/>
        <v>1000000000</v>
      </c>
    </row>
    <row r="139" spans="1:13" x14ac:dyDescent="0.3">
      <c r="A139" s="24">
        <f t="shared" si="25"/>
        <v>1.1100000000000008</v>
      </c>
      <c r="B139" s="20">
        <f t="shared" si="15"/>
        <v>832.50000000000057</v>
      </c>
      <c r="C139" s="20">
        <f t="shared" si="16"/>
        <v>666.00000000000045</v>
      </c>
      <c r="D139" s="24">
        <f t="shared" si="17"/>
        <v>2.459095336313823</v>
      </c>
      <c r="E139" s="20">
        <f t="shared" si="18"/>
        <v>414639.01014787046</v>
      </c>
      <c r="F139" s="24">
        <f t="shared" si="19"/>
        <v>0.9385507280179789</v>
      </c>
      <c r="G139" s="16">
        <f t="shared" si="20"/>
        <v>21.274965021884963</v>
      </c>
      <c r="H139" s="24">
        <f t="shared" si="21"/>
        <v>2.6623511879796224E-2</v>
      </c>
      <c r="I139" s="24" cm="1">
        <f t="array" ref="I139">_xlfn.LET(_xlpm.x,$B139,_xlpm.dep,$H$6:$H$29,_xlpm.e,IF(_xlpm.x&lt;=$C$5,$C$12*(_xlpm.x-_xlpm.dep)/_xlpm.x,$C$13*(_xlpm.x-_xlpm.dep)/(_xlpm.x-3*$C$5/7))/$C$14,_xlpm.s,(_xlpm.e&gt;=1)*1+(_xlpm.e&lt;=-1)*(-1)+(ABS(_xlpm.e)&lt;1)*_xlpm.e,AVERAGE(_xlpm.s))</f>
        <v>0.74107548553682479</v>
      </c>
      <c r="J139" s="24" cm="1">
        <f t="array" ref="J139">_xlfn.LET(_xlpm.x,$B139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6.7520415421802343E-2</v>
      </c>
      <c r="K139" s="24">
        <f t="shared" si="22"/>
        <v>-1.0508668321827153</v>
      </c>
      <c r="L139" s="24" t="str">
        <f t="shared" si="23"/>
        <v/>
      </c>
      <c r="M139" s="24">
        <f t="shared" si="24"/>
        <v>1000000000</v>
      </c>
    </row>
    <row r="140" spans="1:13" x14ac:dyDescent="0.3">
      <c r="A140" s="24">
        <f t="shared" si="25"/>
        <v>1.1200000000000008</v>
      </c>
      <c r="B140" s="20">
        <f t="shared" si="15"/>
        <v>840.00000000000057</v>
      </c>
      <c r="C140" s="20">
        <f t="shared" si="16"/>
        <v>672.00000000000045</v>
      </c>
      <c r="D140" s="24">
        <f t="shared" si="17"/>
        <v>2.4848742888410911</v>
      </c>
      <c r="E140" s="20">
        <f t="shared" si="18"/>
        <v>417432.23314527824</v>
      </c>
      <c r="F140" s="24">
        <f t="shared" si="19"/>
        <v>0.94487329153364696</v>
      </c>
      <c r="G140" s="16">
        <f t="shared" si="20"/>
        <v>19.165430251407816</v>
      </c>
      <c r="H140" s="24">
        <f t="shared" si="21"/>
        <v>2.4145204220408313E-2</v>
      </c>
      <c r="I140" s="24" cm="1">
        <f t="array" ref="I140">_xlfn.LET(_xlpm.x,$B140,_xlpm.dep,$H$6:$H$29,_xlpm.e,IF(_xlpm.x&lt;=$C$5,$C$12*(_xlpm.x-_xlpm.dep)/_xlpm.x,$C$13*(_xlpm.x-_xlpm.dep)/(_xlpm.x-3*$C$5/7))/$C$14,_xlpm.s,(_xlpm.e&gt;=1)*1+(_xlpm.e&lt;=-1)*(-1)+(ABS(_xlpm.e)&lt;1)*_xlpm.e,AVERAGE(_xlpm.s))</f>
        <v>0.74409712107658132</v>
      </c>
      <c r="J140" s="24" cm="1">
        <f t="array" ref="J140">_xlfn.LET(_xlpm.x,$B140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6.6671273577126489E-2</v>
      </c>
      <c r="K140" s="24">
        <f t="shared" si="22"/>
        <v>-1.0550964238030132</v>
      </c>
      <c r="L140" s="24" t="str">
        <f t="shared" si="23"/>
        <v/>
      </c>
      <c r="M140" s="24">
        <f t="shared" si="24"/>
        <v>1000000000</v>
      </c>
    </row>
    <row r="141" spans="1:13" x14ac:dyDescent="0.3">
      <c r="A141" s="24">
        <f t="shared" si="25"/>
        <v>1.1300000000000008</v>
      </c>
      <c r="B141" s="20">
        <f t="shared" si="15"/>
        <v>847.50000000000057</v>
      </c>
      <c r="C141" s="20">
        <f t="shared" si="16"/>
        <v>678.00000000000045</v>
      </c>
      <c r="D141" s="24">
        <f t="shared" si="17"/>
        <v>2.5115459631439547</v>
      </c>
      <c r="E141" s="20">
        <f t="shared" si="18"/>
        <v>420132.01086442039</v>
      </c>
      <c r="F141" s="24">
        <f t="shared" si="19"/>
        <v>0.95098433820743655</v>
      </c>
      <c r="G141" s="16">
        <f t="shared" si="20"/>
        <v>17.114580309205646</v>
      </c>
      <c r="H141" s="24">
        <f t="shared" si="21"/>
        <v>2.1700930438730608E-2</v>
      </c>
      <c r="I141" s="24" cm="1">
        <f t="array" ref="I141">_xlfn.LET(_xlpm.x,$B141,_xlpm.dep,$H$6:$H$29,_xlpm.e,IF(_xlpm.x&lt;=$C$5,$C$12*(_xlpm.x-_xlpm.dep)/_xlpm.x,$C$13*(_xlpm.x-_xlpm.dep)/(_xlpm.x-3*$C$5/7))/$C$14,_xlpm.s,(_xlpm.e&gt;=1)*1+(_xlpm.e&lt;=-1)*(-1)+(ABS(_xlpm.e)&lt;1)*_xlpm.e,AVERAGE(_xlpm.s))</f>
        <v>0.74703260000216976</v>
      </c>
      <c r="J141" s="24" cm="1">
        <f t="array" ref="J141">_xlfn.LET(_xlpm.x,$B141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6.5846343516209244E-2</v>
      </c>
      <c r="K141" s="24">
        <f t="shared" si="22"/>
        <v>-1.059130830544089</v>
      </c>
      <c r="L141" s="24" t="str">
        <f t="shared" si="23"/>
        <v/>
      </c>
      <c r="M141" s="24">
        <f t="shared" si="24"/>
        <v>1000000000</v>
      </c>
    </row>
    <row r="142" spans="1:13" x14ac:dyDescent="0.3">
      <c r="A142" s="24">
        <f t="shared" si="25"/>
        <v>1.1400000000000008</v>
      </c>
      <c r="B142" s="20">
        <f t="shared" si="15"/>
        <v>855.00000000000057</v>
      </c>
      <c r="C142" s="20">
        <f t="shared" si="16"/>
        <v>684.00000000000045</v>
      </c>
      <c r="D142" s="24">
        <f t="shared" si="17"/>
        <v>2.5392313095546122</v>
      </c>
      <c r="E142" s="20">
        <f t="shared" si="18"/>
        <v>422732.99583140964</v>
      </c>
      <c r="F142" s="24">
        <f t="shared" si="19"/>
        <v>0.95687176383451644</v>
      </c>
      <c r="G142" s="16">
        <f t="shared" si="20"/>
        <v>15.126646207595579</v>
      </c>
      <c r="H142" s="24">
        <f t="shared" si="21"/>
        <v>1.9299014183416906E-2</v>
      </c>
      <c r="I142" s="24" cm="1">
        <f t="array" ref="I142">_xlfn.LET(_xlpm.x,$B142,_xlpm.dep,$H$6:$H$29,_xlpm.e,IF(_xlpm.x&lt;=$C$5,$C$12*(_xlpm.x-_xlpm.dep)/_xlpm.x,$C$13*(_xlpm.x-_xlpm.dep)/(_xlpm.x-3*$C$5/7))/$C$14,_xlpm.s,(_xlpm.e&gt;=1)*1+(_xlpm.e&lt;=-1)*(-1)+(ABS(_xlpm.e)&lt;1)*_xlpm.e,AVERAGE(_xlpm.s))</f>
        <v>0.74988555542382596</v>
      </c>
      <c r="J142" s="24" cm="1">
        <f t="array" ref="J142">_xlfn.LET(_xlpm.x,$B142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6.5044604260217354E-2</v>
      </c>
      <c r="K142" s="24">
        <f t="shared" si="22"/>
        <v>-1.0629524438037499</v>
      </c>
      <c r="L142" s="24" t="str">
        <f t="shared" si="23"/>
        <v/>
      </c>
      <c r="M142" s="24">
        <f t="shared" si="24"/>
        <v>1000000000</v>
      </c>
    </row>
    <row r="143" spans="1:13" x14ac:dyDescent="0.3">
      <c r="A143" s="24">
        <f t="shared" si="25"/>
        <v>1.1500000000000008</v>
      </c>
      <c r="B143" s="20">
        <f t="shared" si="15"/>
        <v>862.50000000000057</v>
      </c>
      <c r="C143" s="20">
        <f t="shared" si="16"/>
        <v>690.00000000000045</v>
      </c>
      <c r="D143" s="24">
        <f t="shared" si="17"/>
        <v>2.5680795491666988</v>
      </c>
      <c r="E143" s="20">
        <f t="shared" si="18"/>
        <v>425229.20494210068</v>
      </c>
      <c r="F143" s="24">
        <f t="shared" si="19"/>
        <v>0.96252202543746757</v>
      </c>
      <c r="G143" s="16">
        <f t="shared" si="20"/>
        <v>13.206452333847359</v>
      </c>
      <c r="H143" s="24">
        <f t="shared" si="21"/>
        <v>1.6948668332290841E-2</v>
      </c>
      <c r="I143" s="24" cm="1">
        <f t="array" ref="I143">_xlfn.LET(_xlpm.x,$B143,_xlpm.dep,$H$6:$H$29,_xlpm.e,IF(_xlpm.x&lt;=$C$5,$C$12*(_xlpm.x-_xlpm.dep)/_xlpm.x,$C$13*(_xlpm.x-_xlpm.dep)/(_xlpm.x-3*$C$5/7))/$C$14,_xlpm.s,(_xlpm.e&gt;=1)*1+(_xlpm.e&lt;=-1)*(-1)+(ABS(_xlpm.e)&lt;1)*_xlpm.e,AVERAGE(_xlpm.s))</f>
        <v>0.75265941901201072</v>
      </c>
      <c r="J143" s="24" cm="1">
        <f t="array" ref="J143">_xlfn.LET(_xlpm.x,$B143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6.4265091439045033E-2</v>
      </c>
      <c r="K143" s="24">
        <f t="shared" si="22"/>
        <v>-1.0665420840246329</v>
      </c>
      <c r="L143" s="24" t="str">
        <f t="shared" si="23"/>
        <v/>
      </c>
      <c r="M143" s="24">
        <f t="shared" si="24"/>
        <v>1000000000</v>
      </c>
    </row>
    <row r="144" spans="1:13" x14ac:dyDescent="0.3">
      <c r="A144" s="24">
        <f t="shared" si="25"/>
        <v>1.1600000000000008</v>
      </c>
      <c r="B144" s="20">
        <f t="shared" si="15"/>
        <v>870.00000000000057</v>
      </c>
      <c r="C144" s="20">
        <f t="shared" si="16"/>
        <v>696.00000000000045</v>
      </c>
      <c r="D144" s="24">
        <f t="shared" si="17"/>
        <v>2.5982784062346473</v>
      </c>
      <c r="E144" s="20">
        <f t="shared" si="18"/>
        <v>427613.86538799346</v>
      </c>
      <c r="F144" s="24">
        <f t="shared" si="19"/>
        <v>0.96791979251387017</v>
      </c>
      <c r="G144" s="16">
        <f t="shared" si="20"/>
        <v>11.359558732420309</v>
      </c>
      <c r="H144" s="24">
        <f t="shared" si="21"/>
        <v>1.4660188975111182E-2</v>
      </c>
      <c r="I144" s="24" cm="1">
        <f t="array" ref="I144">_xlfn.LET(_xlpm.x,$B144,_xlpm.dep,$H$6:$H$29,_xlpm.e,IF(_xlpm.x&lt;=$C$5,$C$12*(_xlpm.x-_xlpm.dep)/_xlpm.x,$C$13*(_xlpm.x-_xlpm.dep)/(_xlpm.x-3*$C$5/7))/$C$14,_xlpm.s,(_xlpm.e&gt;=1)*1+(_xlpm.e&lt;=-1)*(-1)+(ABS(_xlpm.e)&lt;1)*_xlpm.e,AVERAGE(_xlpm.s))</f>
        <v>0.75535743476770545</v>
      </c>
      <c r="J144" s="24" cm="1">
        <f t="array" ref="J144">_xlfn.LET(_xlpm.x,$B144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6.3506893421576671E-2</v>
      </c>
      <c r="K144" s="24">
        <f t="shared" si="22"/>
        <v>-1.0698785438429805</v>
      </c>
      <c r="L144" s="24" t="str">
        <f t="shared" si="23"/>
        <v/>
      </c>
      <c r="M144" s="24">
        <f t="shared" si="24"/>
        <v>1000000000</v>
      </c>
    </row>
    <row r="145" spans="1:13" x14ac:dyDescent="0.3">
      <c r="A145" s="24">
        <f t="shared" si="25"/>
        <v>1.1700000000000008</v>
      </c>
      <c r="B145" s="20">
        <f t="shared" si="15"/>
        <v>877.50000000000057</v>
      </c>
      <c r="C145" s="20">
        <f t="shared" si="16"/>
        <v>702.00000000000045</v>
      </c>
      <c r="D145" s="24">
        <f t="shared" si="17"/>
        <v>2.6300696498957183</v>
      </c>
      <c r="E145" s="20">
        <f t="shared" si="18"/>
        <v>429879.20223059942</v>
      </c>
      <c r="F145" s="24">
        <f t="shared" si="19"/>
        <v>0.97304746620302829</v>
      </c>
      <c r="G145" s="16">
        <f t="shared" si="20"/>
        <v>9.5924563349972622</v>
      </c>
      <c r="H145" s="24">
        <f t="shared" si="21"/>
        <v>1.2445220441909698E-2</v>
      </c>
      <c r="I145" s="24" cm="1">
        <f t="array" ref="I145">_xlfn.LET(_xlpm.x,$B145,_xlpm.dep,$H$6:$H$29,_xlpm.e,IF(_xlpm.x&lt;=$C$5,$C$12*(_xlpm.x-_xlpm.dep)/_xlpm.x,$C$13*(_xlpm.x-_xlpm.dep)/(_xlpm.x-3*$C$5/7))/$C$14,_xlpm.s,(_xlpm.e&gt;=1)*1+(_xlpm.e&lt;=-1)*(-1)+(ABS(_xlpm.e)&lt;1)*_xlpm.e,AVERAGE(_xlpm.s))</f>
        <v>0.75798267167835309</v>
      </c>
      <c r="J145" s="24" cm="1">
        <f t="array" ref="J145">_xlfn.LET(_xlpm.x,$B145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6.2769147759107441E-2</v>
      </c>
      <c r="K145" s="24">
        <f t="shared" si="22"/>
        <v>-1.0729379660865217</v>
      </c>
      <c r="L145" s="24" t="str">
        <f t="shared" si="23"/>
        <v/>
      </c>
      <c r="M145" s="24">
        <f t="shared" si="24"/>
        <v>1000000000</v>
      </c>
    </row>
    <row r="146" spans="1:13" x14ac:dyDescent="0.3">
      <c r="A146" s="24">
        <f t="shared" si="25"/>
        <v>1.1800000000000008</v>
      </c>
      <c r="B146" s="20">
        <f t="shared" si="15"/>
        <v>885.00000000000057</v>
      </c>
      <c r="C146" s="20">
        <f t="shared" si="16"/>
        <v>708.00000000000045</v>
      </c>
      <c r="D146" s="24">
        <f t="shared" si="17"/>
        <v>2.6637737563375916</v>
      </c>
      <c r="E146" s="20">
        <f t="shared" si="18"/>
        <v>432016.13550632045</v>
      </c>
      <c r="F146" s="24">
        <f t="shared" si="19"/>
        <v>0.97788449367166552</v>
      </c>
      <c r="G146" s="16">
        <f t="shared" si="20"/>
        <v>7.9128438463401647</v>
      </c>
      <c r="H146" s="24">
        <f t="shared" si="21"/>
        <v>1.031712973090841E-2</v>
      </c>
      <c r="I146" s="24" cm="1">
        <f t="array" ref="I146">_xlfn.LET(_xlpm.x,$B146,_xlpm.dep,$H$6:$H$29,_xlpm.e,IF(_xlpm.x&lt;=$C$5,$C$12*(_xlpm.x-_xlpm.dep)/_xlpm.x,$C$13*(_xlpm.x-_xlpm.dep)/(_xlpm.x-3*$C$5/7))/$C$14,_xlpm.s,(_xlpm.e&gt;=1)*1+(_xlpm.e&lt;=-1)*(-1)+(ABS(_xlpm.e)&lt;1)*_xlpm.e,AVERAGE(_xlpm.s))</f>
        <v>0.76053803536324216</v>
      </c>
      <c r="J146" s="24" cm="1">
        <f t="array" ref="J146">_xlfn.LET(_xlpm.x,$B146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6.2051037912749574E-2</v>
      </c>
      <c r="K146" s="24">
        <f t="shared" si="22"/>
        <v>-1.0756929640702324</v>
      </c>
      <c r="L146" s="24" t="str">
        <f t="shared" si="23"/>
        <v/>
      </c>
      <c r="M146" s="24">
        <f t="shared" si="24"/>
        <v>1000000000</v>
      </c>
    </row>
    <row r="147" spans="1:13" x14ac:dyDescent="0.3">
      <c r="A147" s="24">
        <f t="shared" si="25"/>
        <v>1.1900000000000008</v>
      </c>
      <c r="B147" s="20">
        <f t="shared" si="15"/>
        <v>892.50000000000068</v>
      </c>
      <c r="C147" s="20">
        <f t="shared" si="16"/>
        <v>714.00000000000057</v>
      </c>
      <c r="D147" s="24">
        <f t="shared" si="17"/>
        <v>2.699831229439738</v>
      </c>
      <c r="E147" s="20">
        <f t="shared" si="18"/>
        <v>434013.82997019275</v>
      </c>
      <c r="F147" s="24">
        <f t="shared" si="19"/>
        <v>0.98240634894224454</v>
      </c>
      <c r="G147" s="16">
        <f t="shared" si="20"/>
        <v>6.3300368917506082</v>
      </c>
      <c r="H147" s="24">
        <f t="shared" si="21"/>
        <v>8.2915579086592379E-3</v>
      </c>
      <c r="I147" s="24" cm="1">
        <f t="array" ref="I147">_xlfn.LET(_xlpm.x,$B147,_xlpm.dep,$H$6:$H$29,_xlpm.e,IF(_xlpm.x&lt;=$C$5,$C$12*(_xlpm.x-_xlpm.dep)/_xlpm.x,$C$13*(_xlpm.x-_xlpm.dep)/(_xlpm.x-3*$C$5/7))/$C$14,_xlpm.s,(_xlpm.e&gt;=1)*1+(_xlpm.e&lt;=-1)*(-1)+(ABS(_xlpm.e)&lt;1)*_xlpm.e,AVERAGE(_xlpm.s))</f>
        <v>0.76302627880124818</v>
      </c>
      <c r="J147" s="24" cm="1">
        <f t="array" ref="J147">_xlfn.LET(_xlpm.x,$B147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6.13517902387163E-2</v>
      </c>
      <c r="K147" s="24">
        <f t="shared" si="22"/>
        <v>-1.0781113202431301</v>
      </c>
      <c r="L147" s="24" t="str">
        <f t="shared" si="23"/>
        <v/>
      </c>
      <c r="M147" s="24">
        <f t="shared" si="24"/>
        <v>1000000000</v>
      </c>
    </row>
    <row r="148" spans="1:13" x14ac:dyDescent="0.3">
      <c r="A148" s="24">
        <f t="shared" si="25"/>
        <v>1.2000000000000008</v>
      </c>
      <c r="B148" s="20">
        <f t="shared" si="15"/>
        <v>900.00000000000068</v>
      </c>
      <c r="C148" s="20">
        <f t="shared" si="16"/>
        <v>720.00000000000057</v>
      </c>
      <c r="D148" s="24">
        <f t="shared" si="17"/>
        <v>2.7388768120091354</v>
      </c>
      <c r="E148" s="20">
        <f t="shared" si="18"/>
        <v>435858.98936439614</v>
      </c>
      <c r="F148" s="24">
        <f t="shared" si="19"/>
        <v>0.98658293544364783</v>
      </c>
      <c r="G148" s="16">
        <f t="shared" si="20"/>
        <v>4.8556051140550105</v>
      </c>
      <c r="H148" s="24">
        <f t="shared" si="21"/>
        <v>6.3872761957061075E-3</v>
      </c>
      <c r="I148" s="24" cm="1">
        <f t="array" ref="I148">_xlfn.LET(_xlpm.x,$B148,_xlpm.dep,$H$6:$H$29,_xlpm.e,IF(_xlpm.x&lt;=$C$5,$C$12*(_xlpm.x-_xlpm.dep)/_xlpm.x,$C$13*(_xlpm.x-_xlpm.dep)/(_xlpm.x-3*$C$5/7))/$C$14,_xlpm.s,(_xlpm.e&gt;=1)*1+(_xlpm.e&lt;=-1)*(-1)+(ABS(_xlpm.e)&lt;1)*_xlpm.e,AVERAGE(_xlpm.s))</f>
        <v>0.76545001222419495</v>
      </c>
      <c r="J148" s="24" cm="1">
        <f t="array" ref="J148">_xlfn.LET(_xlpm.x,$B148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6.0670671208083858E-2</v>
      </c>
      <c r="K148" s="24">
        <f t="shared" si="22"/>
        <v>-1.0801539514220486</v>
      </c>
      <c r="L148" s="24" t="str">
        <f t="shared" si="23"/>
        <v/>
      </c>
      <c r="M148" s="24">
        <f t="shared" si="24"/>
        <v>1000000000</v>
      </c>
    </row>
    <row r="149" spans="1:13" x14ac:dyDescent="0.3">
      <c r="A149" s="24">
        <f t="shared" si="25"/>
        <v>1.2100000000000009</v>
      </c>
      <c r="B149" s="20">
        <f t="shared" si="15"/>
        <v>907.50000000000068</v>
      </c>
      <c r="C149" s="20">
        <f t="shared" si="16"/>
        <v>726.00000000000057</v>
      </c>
      <c r="D149" s="24">
        <f t="shared" si="17"/>
        <v>2.7818856540048409</v>
      </c>
      <c r="E149" s="20">
        <f t="shared" si="18"/>
        <v>437534.67009443033</v>
      </c>
      <c r="F149" s="24">
        <f t="shared" si="19"/>
        <v>0.99037590072334603</v>
      </c>
      <c r="G149" s="16">
        <f t="shared" si="20"/>
        <v>3.50443543061176</v>
      </c>
      <c r="H149" s="24">
        <f t="shared" si="21"/>
        <v>4.6276111948252386E-3</v>
      </c>
      <c r="I149" s="24" cm="1">
        <f t="array" ref="I149">_xlfn.LET(_xlpm.x,$B149,_xlpm.dep,$H$6:$H$29,_xlpm.e,IF(_xlpm.x&lt;=$C$5,$C$12*(_xlpm.x-_xlpm.dep)/_xlpm.x,$C$13*(_xlpm.x-_xlpm.dep)/(_xlpm.x-3*$C$5/7))/$C$14,_xlpm.s,(_xlpm.e&gt;=1)*1+(_xlpm.e&lt;=-1)*(-1)+(ABS(_xlpm.e)&lt;1)*_xlpm.e,AVERAGE(_xlpm.s))</f>
        <v>0.76781171225057643</v>
      </c>
      <c r="J149" s="24" cm="1">
        <f t="array" ref="J149">_xlfn.LET(_xlpm.x,$B149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6.0006984840027061E-2</v>
      </c>
      <c r="K149" s="24">
        <f t="shared" si="22"/>
        <v>-1.0817714907800877</v>
      </c>
      <c r="L149" s="24" t="str">
        <f t="shared" si="23"/>
        <v/>
      </c>
      <c r="M149" s="24">
        <f t="shared" si="24"/>
        <v>1000000000</v>
      </c>
    </row>
    <row r="150" spans="1:13" x14ac:dyDescent="0.3">
      <c r="A150" s="24">
        <f t="shared" si="25"/>
        <v>1.2200000000000009</v>
      </c>
      <c r="B150" s="20">
        <f t="shared" si="15"/>
        <v>915.00000000000068</v>
      </c>
      <c r="C150" s="20">
        <f t="shared" si="16"/>
        <v>732.00000000000057</v>
      </c>
      <c r="D150" s="24">
        <f t="shared" si="17"/>
        <v>2.8305010517978371</v>
      </c>
      <c r="E150" s="20">
        <f t="shared" si="18"/>
        <v>439018.0833071869</v>
      </c>
      <c r="F150" s="24">
        <f t="shared" si="19"/>
        <v>0.9937336613698603</v>
      </c>
      <c r="G150" s="16">
        <f t="shared" si="20"/>
        <v>2.2966864641746021</v>
      </c>
      <c r="H150" s="24">
        <f t="shared" si="21"/>
        <v>3.043059532083768E-3</v>
      </c>
      <c r="I150" s="24" cm="1">
        <f t="array" ref="I150">_xlfn.LET(_xlpm.x,$B150,_xlpm.dep,$H$6:$H$29,_xlpm.e,IF(_xlpm.x&lt;=$C$5,$C$12*(_xlpm.x-_xlpm.dep)/_xlpm.x,$C$13*(_xlpm.x-_xlpm.dep)/(_xlpm.x-3*$C$5/7))/$C$14,_xlpm.s,(_xlpm.e&gt;=1)*1+(_xlpm.e&lt;=-1)*(-1)+(ABS(_xlpm.e)&lt;1)*_xlpm.e,AVERAGE(_xlpm.s))</f>
        <v>0.77011373032683295</v>
      </c>
      <c r="J150" s="24" cm="1">
        <f t="array" ref="J150">_xlfn.LET(_xlpm.x,$B150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5.9360070329646762E-2</v>
      </c>
      <c r="K150" s="24">
        <f t="shared" si="22"/>
        <v>-1.0828979518288879</v>
      </c>
      <c r="L150" s="24" t="str">
        <f t="shared" si="23"/>
        <v/>
      </c>
      <c r="M150" s="24">
        <f t="shared" si="24"/>
        <v>1000000000</v>
      </c>
    </row>
    <row r="151" spans="1:13" x14ac:dyDescent="0.3">
      <c r="A151" s="24">
        <f t="shared" si="25"/>
        <v>1.2300000000000009</v>
      </c>
      <c r="B151" s="20">
        <f t="shared" si="15"/>
        <v>922.50000000000068</v>
      </c>
      <c r="C151" s="20">
        <f t="shared" si="16"/>
        <v>738.00000000000057</v>
      </c>
      <c r="D151" s="24">
        <f t="shared" si="17"/>
        <v>2.8879309175143439</v>
      </c>
      <c r="E151" s="20">
        <f t="shared" si="18"/>
        <v>440275.88046933187</v>
      </c>
      <c r="F151" s="24">
        <f t="shared" si="19"/>
        <v>0.99658073174514672</v>
      </c>
      <c r="G151" s="16">
        <f t="shared" si="20"/>
        <v>1.2619445096632622</v>
      </c>
      <c r="H151" s="24">
        <f t="shared" si="21"/>
        <v>1.676839443815979E-3</v>
      </c>
      <c r="I151" s="24" cm="1">
        <f t="array" ref="I151">_xlfn.LET(_xlpm.x,$B151,_xlpm.dep,$H$6:$H$29,_xlpm.e,IF(_xlpm.x&lt;=$C$5,$C$12*(_xlpm.x-_xlpm.dep)/_xlpm.x,$C$13*(_xlpm.x-_xlpm.dep)/(_xlpm.x-3*$C$5/7))/$C$14,_xlpm.s,(_xlpm.e&gt;=1)*1+(_xlpm.e&lt;=-1)*(-1)+(ABS(_xlpm.e)&lt;1)*_xlpm.e,AVERAGE(_xlpm.s))</f>
        <v>0.77235830053665833</v>
      </c>
      <c r="J151" s="24" cm="1">
        <f t="array" ref="J151">_xlfn.LET(_xlpm.x,$B151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5.8729299853393598E-2</v>
      </c>
      <c r="K151" s="24">
        <f t="shared" si="22"/>
        <v>-1.0834371185498788</v>
      </c>
      <c r="L151" s="24" t="str">
        <f t="shared" si="23"/>
        <v/>
      </c>
      <c r="M151" s="24">
        <f t="shared" si="24"/>
        <v>1000000000</v>
      </c>
    </row>
    <row r="152" spans="1:13" x14ac:dyDescent="0.3">
      <c r="A152" s="24">
        <f t="shared" si="25"/>
        <v>1.2400000000000009</v>
      </c>
      <c r="B152" s="20">
        <f t="shared" si="15"/>
        <v>930.00000000000068</v>
      </c>
      <c r="C152" s="20">
        <f t="shared" si="16"/>
        <v>744.00000000000057</v>
      </c>
      <c r="D152" s="24">
        <f t="shared" si="17"/>
        <v>2.962467838710912</v>
      </c>
      <c r="E152" s="20">
        <f t="shared" si="18"/>
        <v>441251.1004173322</v>
      </c>
      <c r="F152" s="24">
        <f t="shared" si="19"/>
        <v>0.99878817814978427</v>
      </c>
      <c r="G152" s="16">
        <f t="shared" si="20"/>
        <v>0.45061870834384288</v>
      </c>
      <c r="H152" s="24">
        <f t="shared" si="21"/>
        <v>6.0009685166260778E-4</v>
      </c>
      <c r="I152" s="24" cm="1">
        <f t="array" ref="I152">_xlfn.LET(_xlpm.x,$B152,_xlpm.dep,$H$6:$H$29,_xlpm.e,IF(_xlpm.x&lt;=$C$5,$C$12*(_xlpm.x-_xlpm.dep)/_xlpm.x,$C$13*(_xlpm.x-_xlpm.dep)/(_xlpm.x-3*$C$5/7))/$C$14,_xlpm.s,(_xlpm.e&gt;=1)*1+(_xlpm.e&lt;=-1)*(-1)+(ABS(_xlpm.e)&lt;1)*_xlpm.e,AVERAGE(_xlpm.s))</f>
        <v>0.77454754683286142</v>
      </c>
      <c r="J152" s="24" cm="1">
        <f t="array" ref="J152">_xlfn.LET(_xlpm.x,$B152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5.811407653676641E-2</v>
      </c>
      <c r="K152" s="24">
        <f t="shared" si="22"/>
        <v>-1.0832247825932428</v>
      </c>
      <c r="L152" s="24" t="str">
        <f t="shared" si="23"/>
        <v/>
      </c>
      <c r="M152" s="24">
        <f t="shared" si="24"/>
        <v>1000000000</v>
      </c>
    </row>
    <row r="153" spans="1:13" x14ac:dyDescent="0.3">
      <c r="A153" s="24">
        <f t="shared" si="25"/>
        <v>1.2500000000000009</v>
      </c>
      <c r="B153" s="20">
        <f t="shared" si="15"/>
        <v>937.50000000000068</v>
      </c>
      <c r="C153" s="20">
        <f t="shared" si="16"/>
        <v>750</v>
      </c>
      <c r="D153" s="24">
        <f t="shared" si="17"/>
        <v>3.1415926535897931</v>
      </c>
      <c r="E153" s="20">
        <f t="shared" si="18"/>
        <v>441786.46691106464</v>
      </c>
      <c r="F153" s="24">
        <f t="shared" si="19"/>
        <v>1</v>
      </c>
      <c r="G153" s="16">
        <f t="shared" si="20"/>
        <v>1.4633772056161843E-46</v>
      </c>
      <c r="H153" s="24">
        <f t="shared" si="21"/>
        <v>1.9511696074882456E-49</v>
      </c>
      <c r="I153" s="24" cm="1">
        <f t="array" ref="I153">_xlfn.LET(_xlpm.x,$B153,_xlpm.dep,$H$6:$H$29,_xlpm.e,IF(_xlpm.x&lt;=$C$5,$C$12*(_xlpm.x-_xlpm.dep)/_xlpm.x,$C$13*(_xlpm.x-_xlpm.dep)/(_xlpm.x-3*$C$5/7))/$C$14,_xlpm.s,(_xlpm.e&gt;=1)*1+(_xlpm.e&lt;=-1)*(-1)+(ABS(_xlpm.e)&lt;1)*_xlpm.e,AVERAGE(_xlpm.s))</f>
        <v>0.77668348974098311</v>
      </c>
      <c r="J153" s="24" cm="1">
        <f t="array" ref="J153">_xlfn.LET(_xlpm.x,$B153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5.7513832570457113E-2</v>
      </c>
      <c r="K153" s="24">
        <f t="shared" si="22"/>
        <v>-1.0818060779901189</v>
      </c>
      <c r="L153" s="24" t="str">
        <f t="shared" si="23"/>
        <v/>
      </c>
      <c r="M153" s="24">
        <f t="shared" si="24"/>
        <v>1000000000</v>
      </c>
    </row>
    <row r="154" spans="1:13" x14ac:dyDescent="0.3">
      <c r="A154" s="24">
        <f t="shared" si="25"/>
        <v>1.2600000000000009</v>
      </c>
      <c r="B154" s="20">
        <f t="shared" si="15"/>
        <v>945.00000000000068</v>
      </c>
      <c r="C154" s="20">
        <f t="shared" si="16"/>
        <v>750</v>
      </c>
      <c r="D154" s="24">
        <f t="shared" si="17"/>
        <v>3.1415926535897931</v>
      </c>
      <c r="E154" s="20">
        <f t="shared" si="18"/>
        <v>441786.46691106464</v>
      </c>
      <c r="F154" s="24">
        <f t="shared" si="19"/>
        <v>1</v>
      </c>
      <c r="G154" s="16">
        <f t="shared" si="20"/>
        <v>1.4633772056161843E-46</v>
      </c>
      <c r="H154" s="24">
        <f t="shared" si="21"/>
        <v>1.9511696074882456E-49</v>
      </c>
      <c r="I154" s="24" cm="1">
        <f t="array" ref="I154">_xlfn.LET(_xlpm.x,$B154,_xlpm.dep,$H$6:$H$29,_xlpm.e,IF(_xlpm.x&lt;=$C$5,$C$12*(_xlpm.x-_xlpm.dep)/_xlpm.x,$C$13*(_xlpm.x-_xlpm.dep)/(_xlpm.x-3*$C$5/7))/$C$14,_xlpm.s,(_xlpm.e&gt;=1)*1+(_xlpm.e&lt;=-1)*(-1)+(ABS(_xlpm.e)&lt;1)*_xlpm.e,AVERAGE(_xlpm.s))</f>
        <v>0.77876805257914994</v>
      </c>
      <c r="J154" s="24" cm="1">
        <f t="array" ref="J154">_xlfn.LET(_xlpm.x,$B154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5.6928027462443881E-2</v>
      </c>
      <c r="K154" s="24">
        <f t="shared" si="22"/>
        <v>-1.0789103598866185</v>
      </c>
      <c r="L154" s="24" t="str">
        <f t="shared" si="23"/>
        <v/>
      </c>
      <c r="M154" s="24">
        <f t="shared" si="24"/>
        <v>1000000000</v>
      </c>
    </row>
    <row r="155" spans="1:13" x14ac:dyDescent="0.3">
      <c r="A155" s="24">
        <f t="shared" si="25"/>
        <v>1.2700000000000009</v>
      </c>
      <c r="B155" s="20">
        <f t="shared" si="15"/>
        <v>952.50000000000068</v>
      </c>
      <c r="C155" s="20">
        <f t="shared" si="16"/>
        <v>750</v>
      </c>
      <c r="D155" s="24">
        <f t="shared" si="17"/>
        <v>3.1415926535897931</v>
      </c>
      <c r="E155" s="20">
        <f t="shared" si="18"/>
        <v>441786.46691106464</v>
      </c>
      <c r="F155" s="24">
        <f t="shared" si="19"/>
        <v>1</v>
      </c>
      <c r="G155" s="16">
        <f t="shared" si="20"/>
        <v>1.4633772056161843E-46</v>
      </c>
      <c r="H155" s="24">
        <f t="shared" si="21"/>
        <v>1.9511696074882456E-49</v>
      </c>
      <c r="I155" s="24" cm="1">
        <f t="array" ref="I155">_xlfn.LET(_xlpm.x,$B155,_xlpm.dep,$H$6:$H$29,_xlpm.e,IF(_xlpm.x&lt;=$C$5,$C$12*(_xlpm.x-_xlpm.dep)/_xlpm.x,$C$13*(_xlpm.x-_xlpm.dep)/(_xlpm.x-3*$C$5/7))/$C$14,_xlpm.s,(_xlpm.e&gt;=1)*1+(_xlpm.e&lt;=-1)*(-1)+(ABS(_xlpm.e)&lt;1)*_xlpm.e,AVERAGE(_xlpm.s))</f>
        <v>0.78080306723440651</v>
      </c>
      <c r="J155" s="24" cm="1">
        <f t="array" ref="J155">_xlfn.LET(_xlpm.x,$B155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5.6356146414723002E-2</v>
      </c>
      <c r="K155" s="24">
        <f t="shared" si="22"/>
        <v>-1.0760983852848098</v>
      </c>
      <c r="L155" s="24" t="str">
        <f t="shared" si="23"/>
        <v/>
      </c>
      <c r="M155" s="24">
        <f t="shared" si="24"/>
        <v>1000000000</v>
      </c>
    </row>
    <row r="156" spans="1:13" x14ac:dyDescent="0.3">
      <c r="A156" s="24">
        <f t="shared" si="25"/>
        <v>1.2800000000000009</v>
      </c>
      <c r="B156" s="20">
        <f t="shared" si="15"/>
        <v>960.00000000000068</v>
      </c>
      <c r="C156" s="20">
        <f t="shared" si="16"/>
        <v>750</v>
      </c>
      <c r="D156" s="24">
        <f t="shared" si="17"/>
        <v>3.1415926535897931</v>
      </c>
      <c r="E156" s="20">
        <f t="shared" si="18"/>
        <v>441786.46691106464</v>
      </c>
      <c r="F156" s="24">
        <f t="shared" si="19"/>
        <v>1</v>
      </c>
      <c r="G156" s="16">
        <f t="shared" si="20"/>
        <v>1.4633772056161843E-46</v>
      </c>
      <c r="H156" s="24">
        <f t="shared" si="21"/>
        <v>1.9511696074882456E-49</v>
      </c>
      <c r="I156" s="24" cm="1">
        <f t="array" ref="I156">_xlfn.LET(_xlpm.x,$B156,_xlpm.dep,$H$6:$H$29,_xlpm.e,IF(_xlpm.x&lt;=$C$5,$C$12*(_xlpm.x-_xlpm.dep)/_xlpm.x,$C$13*(_xlpm.x-_xlpm.dep)/(_xlpm.x-3*$C$5/7))/$C$14,_xlpm.s,(_xlpm.e&gt;=1)*1+(_xlpm.e&lt;=-1)*(-1)+(ABS(_xlpm.e)&lt;1)*_xlpm.e,AVERAGE(_xlpm.s))</f>
        <v>0.78279027953198865</v>
      </c>
      <c r="J156" s="24" cm="1">
        <f t="array" ref="J156">_xlfn.LET(_xlpm.x,$B156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5.5797698814431813E-2</v>
      </c>
      <c r="K156" s="24">
        <f t="shared" si="22"/>
        <v>-1.0733665732010871</v>
      </c>
      <c r="L156" s="24" t="str">
        <f t="shared" si="23"/>
        <v/>
      </c>
      <c r="M156" s="24">
        <f t="shared" si="24"/>
        <v>1000000000</v>
      </c>
    </row>
    <row r="157" spans="1:13" x14ac:dyDescent="0.3">
      <c r="A157" s="24">
        <f t="shared" si="25"/>
        <v>1.2900000000000009</v>
      </c>
      <c r="B157" s="20">
        <f t="shared" si="15"/>
        <v>967.50000000000068</v>
      </c>
      <c r="C157" s="20">
        <f t="shared" si="16"/>
        <v>750</v>
      </c>
      <c r="D157" s="24">
        <f t="shared" si="17"/>
        <v>3.1415926535897931</v>
      </c>
      <c r="E157" s="20">
        <f t="shared" si="18"/>
        <v>441786.46691106464</v>
      </c>
      <c r="F157" s="24">
        <f t="shared" si="19"/>
        <v>1</v>
      </c>
      <c r="G157" s="16">
        <f t="shared" si="20"/>
        <v>1.4633772056161843E-46</v>
      </c>
      <c r="H157" s="24">
        <f t="shared" si="21"/>
        <v>1.9511696074882456E-49</v>
      </c>
      <c r="I157" s="24" cm="1">
        <f t="array" ref="I157">_xlfn.LET(_xlpm.x,$B157,_xlpm.dep,$H$6:$H$29,_xlpm.e,IF(_xlpm.x&lt;=$C$5,$C$12*(_xlpm.x-_xlpm.dep)/_xlpm.x,$C$13*(_xlpm.x-_xlpm.dep)/(_xlpm.x-3*$C$5/7))/$C$14,_xlpm.s,(_xlpm.e&gt;=1)*1+(_xlpm.e&lt;=-1)*(-1)+(ABS(_xlpm.e)&lt;1)*_xlpm.e,AVERAGE(_xlpm.s))</f>
        <v>0.78473135423062246</v>
      </c>
      <c r="J157" s="24" cm="1">
        <f t="array" ref="J157">_xlfn.LET(_xlpm.x,$B157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5.5252216830067757E-2</v>
      </c>
      <c r="K157" s="24">
        <f t="shared" si="22"/>
        <v>-1.0707115439527113</v>
      </c>
      <c r="L157" s="24" t="str">
        <f t="shared" si="23"/>
        <v/>
      </c>
      <c r="M157" s="24">
        <f t="shared" si="24"/>
        <v>1000000000</v>
      </c>
    </row>
    <row r="158" spans="1:13" x14ac:dyDescent="0.3">
      <c r="A158" s="24">
        <f t="shared" si="25"/>
        <v>1.3000000000000009</v>
      </c>
      <c r="B158" s="20">
        <f t="shared" si="15"/>
        <v>975.00000000000068</v>
      </c>
      <c r="C158" s="20">
        <f t="shared" si="16"/>
        <v>750</v>
      </c>
      <c r="D158" s="24">
        <f t="shared" si="17"/>
        <v>3.1415926535897931</v>
      </c>
      <c r="E158" s="20">
        <f t="shared" si="18"/>
        <v>441786.46691106464</v>
      </c>
      <c r="F158" s="24">
        <f t="shared" si="19"/>
        <v>1</v>
      </c>
      <c r="G158" s="16">
        <f t="shared" si="20"/>
        <v>1.4633772056161843E-46</v>
      </c>
      <c r="H158" s="24">
        <f t="shared" si="21"/>
        <v>1.9511696074882456E-49</v>
      </c>
      <c r="I158" s="24" cm="1">
        <f t="array" ref="I158">_xlfn.LET(_xlpm.x,$B158,_xlpm.dep,$H$6:$H$29,_xlpm.e,IF(_xlpm.x&lt;=$C$5,$C$12*(_xlpm.x-_xlpm.dep)/_xlpm.x,$C$13*(_xlpm.x-_xlpm.dep)/(_xlpm.x-3*$C$5/7))/$C$14,_xlpm.s,(_xlpm.e&gt;=1)*1+(_xlpm.e&lt;=-1)*(-1)+(ABS(_xlpm.e)&lt;1)*_xlpm.e,AVERAGE(_xlpm.s))</f>
        <v>0.78662787967387737</v>
      </c>
      <c r="J158" s="24" cm="1">
        <f t="array" ref="J158">_xlfn.LET(_xlpm.x,$B158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5.4719254104361272E-2</v>
      </c>
      <c r="K158" s="24">
        <f t="shared" si="22"/>
        <v>-1.0681301052089751</v>
      </c>
      <c r="L158" s="24" t="str">
        <f t="shared" si="23"/>
        <v/>
      </c>
      <c r="M158" s="24">
        <f t="shared" si="24"/>
        <v>1000000000</v>
      </c>
    </row>
    <row r="159" spans="1:13" x14ac:dyDescent="0.3">
      <c r="A159" s="24">
        <f t="shared" si="25"/>
        <v>1.3100000000000009</v>
      </c>
      <c r="B159" s="20">
        <f t="shared" si="15"/>
        <v>982.50000000000068</v>
      </c>
      <c r="C159" s="20">
        <f t="shared" si="16"/>
        <v>750</v>
      </c>
      <c r="D159" s="24">
        <f t="shared" si="17"/>
        <v>3.1415926535897931</v>
      </c>
      <c r="E159" s="20">
        <f t="shared" si="18"/>
        <v>441786.46691106464</v>
      </c>
      <c r="F159" s="24">
        <f t="shared" si="19"/>
        <v>1</v>
      </c>
      <c r="G159" s="16">
        <f t="shared" si="20"/>
        <v>1.4633772056161843E-46</v>
      </c>
      <c r="H159" s="24">
        <f t="shared" si="21"/>
        <v>1.9511696074882456E-49</v>
      </c>
      <c r="I159" s="24" cm="1">
        <f t="array" ref="I159">_xlfn.LET(_xlpm.x,$B159,_xlpm.dep,$H$6:$H$29,_xlpm.e,IF(_xlpm.x&lt;=$C$5,$C$12*(_xlpm.x-_xlpm.dep)/_xlpm.x,$C$13*(_xlpm.x-_xlpm.dep)/(_xlpm.x-3*$C$5/7))/$C$14,_xlpm.s,(_xlpm.e&gt;=1)*1+(_xlpm.e&lt;=-1)*(-1)+(ABS(_xlpm.e)&lt;1)*_xlpm.e,AVERAGE(_xlpm.s))</f>
        <v>0.78848137212490332</v>
      </c>
      <c r="J159" s="24" cm="1">
        <f t="array" ref="J159">_xlfn.LET(_xlpm.x,$B159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5.4198384536126243E-2</v>
      </c>
      <c r="K159" s="24">
        <f t="shared" si="22"/>
        <v>-1.065619239186379</v>
      </c>
      <c r="L159" s="24" t="str">
        <f t="shared" si="23"/>
        <v/>
      </c>
      <c r="M159" s="24">
        <f t="shared" si="24"/>
        <v>1000000000</v>
      </c>
    </row>
    <row r="160" spans="1:13" x14ac:dyDescent="0.3">
      <c r="A160" s="24">
        <f t="shared" si="25"/>
        <v>1.320000000000001</v>
      </c>
      <c r="B160" s="20">
        <f t="shared" si="15"/>
        <v>990.00000000000068</v>
      </c>
      <c r="C160" s="20">
        <f t="shared" si="16"/>
        <v>750</v>
      </c>
      <c r="D160" s="24">
        <f t="shared" si="17"/>
        <v>3.1415926535897931</v>
      </c>
      <c r="E160" s="20">
        <f t="shared" si="18"/>
        <v>441786.46691106464</v>
      </c>
      <c r="F160" s="24">
        <f t="shared" si="19"/>
        <v>1</v>
      </c>
      <c r="G160" s="16">
        <f t="shared" si="20"/>
        <v>1.4633772056161843E-46</v>
      </c>
      <c r="H160" s="24">
        <f t="shared" si="21"/>
        <v>1.9511696074882456E-49</v>
      </c>
      <c r="I160" s="24" cm="1">
        <f t="array" ref="I160">_xlfn.LET(_xlpm.x,$B160,_xlpm.dep,$H$6:$H$29,_xlpm.e,IF(_xlpm.x&lt;=$C$5,$C$12*(_xlpm.x-_xlpm.dep)/_xlpm.x,$C$13*(_xlpm.x-_xlpm.dep)/(_xlpm.x-3*$C$5/7))/$C$14,_xlpm.s,(_xlpm.e&gt;=1)*1+(_xlpm.e&lt;=-1)*(-1)+(ABS(_xlpm.e)&lt;1)*_xlpm.e,AVERAGE(_xlpm.s))</f>
        <v>0.79029327980939945</v>
      </c>
      <c r="J160" s="24" cm="1">
        <f t="array" ref="J160">_xlfn.LET(_xlpm.x,$B160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5.3689201144101591E-2</v>
      </c>
      <c r="K160" s="24">
        <f t="shared" si="22"/>
        <v>-1.0631760908798487</v>
      </c>
      <c r="L160" s="24" t="str">
        <f t="shared" si="23"/>
        <v/>
      </c>
      <c r="M160" s="24">
        <f t="shared" si="24"/>
        <v>1000000000</v>
      </c>
    </row>
    <row r="161" spans="1:13" x14ac:dyDescent="0.3">
      <c r="A161" s="24">
        <f t="shared" si="25"/>
        <v>1.330000000000001</v>
      </c>
      <c r="B161" s="20">
        <f t="shared" si="15"/>
        <v>997.50000000000068</v>
      </c>
      <c r="C161" s="20">
        <f t="shared" si="16"/>
        <v>750</v>
      </c>
      <c r="D161" s="24">
        <f t="shared" si="17"/>
        <v>3.1415926535897931</v>
      </c>
      <c r="E161" s="20">
        <f t="shared" si="18"/>
        <v>441786.46691106464</v>
      </c>
      <c r="F161" s="24">
        <f t="shared" si="19"/>
        <v>1</v>
      </c>
      <c r="G161" s="16">
        <f t="shared" si="20"/>
        <v>1.4633772056161843E-46</v>
      </c>
      <c r="H161" s="24">
        <f t="shared" si="21"/>
        <v>1.9511696074882456E-49</v>
      </c>
      <c r="I161" s="24" cm="1">
        <f t="array" ref="I161">_xlfn.LET(_xlpm.x,$B161,_xlpm.dep,$H$6:$H$29,_xlpm.e,IF(_xlpm.x&lt;=$C$5,$C$12*(_xlpm.x-_xlpm.dep)/_xlpm.x,$C$13*(_xlpm.x-_xlpm.dep)/(_xlpm.x-3*$C$5/7))/$C$14,_xlpm.s,(_xlpm.e&gt;=1)*1+(_xlpm.e&lt;=-1)*(-1)+(ABS(_xlpm.e)&lt;1)*_xlpm.e,AVERAGE(_xlpm.s))</f>
        <v>0.79206498668948555</v>
      </c>
      <c r="J161" s="24" cm="1">
        <f t="array" ref="J161">_xlfn.LET(_xlpm.x,$B161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5.3191315006416662E-2</v>
      </c>
      <c r="K161" s="24">
        <f t="shared" si="22"/>
        <v>-1.0607979572334825</v>
      </c>
      <c r="L161" s="24" t="str">
        <f t="shared" si="23"/>
        <v/>
      </c>
      <c r="M161" s="24">
        <f t="shared" si="24"/>
        <v>1000000000</v>
      </c>
    </row>
    <row r="162" spans="1:13" x14ac:dyDescent="0.3">
      <c r="A162" s="24">
        <f t="shared" si="25"/>
        <v>1.340000000000001</v>
      </c>
      <c r="B162" s="20">
        <f t="shared" ref="B162:B212" si="26">A162*$C$5</f>
        <v>1005.0000000000007</v>
      </c>
      <c r="C162" s="20">
        <f t="shared" ref="C162:C212" si="27">MIN(0.8*B162,$C$5)</f>
        <v>750</v>
      </c>
      <c r="D162" s="24">
        <f t="shared" ref="D162:D212" si="28">ACOS(MAX(-1,($C$7-C162)/$C$7))</f>
        <v>3.1415926535897931</v>
      </c>
      <c r="E162" s="20">
        <f t="shared" ref="E162:E212" si="29">$C$7^2*(D162-SIN(D162)*COS(D162))</f>
        <v>441786.46691106464</v>
      </c>
      <c r="F162" s="24">
        <f t="shared" ref="F162:F212" si="30">E162/$C$9</f>
        <v>1</v>
      </c>
      <c r="G162" s="16">
        <f t="shared" ref="G162:G212" si="31">IF(E162&gt;0,2*$C$7^3*SIN(D162)^3/(3*E162),0)</f>
        <v>1.4633772056161843E-46</v>
      </c>
      <c r="H162" s="24">
        <f t="shared" ref="H162:H212" si="32">F162*G162/$C$5</f>
        <v>1.9511696074882456E-49</v>
      </c>
      <c r="I162" s="24" cm="1">
        <f t="array" ref="I162">_xlfn.LET(_xlpm.x,$B162,_xlpm.dep,$H$6:$H$29,_xlpm.e,IF(_xlpm.x&lt;=$C$5,$C$12*(_xlpm.x-_xlpm.dep)/_xlpm.x,$C$13*(_xlpm.x-_xlpm.dep)/(_xlpm.x-3*$C$5/7))/$C$14,_xlpm.s,(_xlpm.e&gt;=1)*1+(_xlpm.e&lt;=-1)*(-1)+(ABS(_xlpm.e)&lt;1)*_xlpm.e,AVERAGE(_xlpm.s))</f>
        <v>0.79379781598913068</v>
      </c>
      <c r="J162" s="24" cm="1">
        <f t="array" ref="J162">_xlfn.LET(_xlpm.x,$B162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5.2704354269872133E-2</v>
      </c>
      <c r="K162" s="24">
        <f t="shared" ref="K162:K212" si="33">IFERROR(($C$15-F162)/I162,"")</f>
        <v>-1.0584822771644873</v>
      </c>
      <c r="L162" s="24" t="str">
        <f t="shared" ref="L162:L212" si="34">IF(AND(ISNUMBER(K162),N(K162)&gt;0),H162+K162*J162,"")</f>
        <v/>
      </c>
      <c r="M162" s="24">
        <f t="shared" ref="M162:M212" si="35">IF(ISNUMBER(L162),ABS(L162-$C$16),1000000000)</f>
        <v>1000000000</v>
      </c>
    </row>
    <row r="163" spans="1:13" x14ac:dyDescent="0.3">
      <c r="A163" s="24">
        <f t="shared" ref="A163:A212" si="36">A162+0.01</f>
        <v>1.350000000000001</v>
      </c>
      <c r="B163" s="20">
        <f t="shared" si="26"/>
        <v>1012.5000000000007</v>
      </c>
      <c r="C163" s="20">
        <f t="shared" si="27"/>
        <v>750</v>
      </c>
      <c r="D163" s="24">
        <f t="shared" si="28"/>
        <v>3.1415926535897931</v>
      </c>
      <c r="E163" s="20">
        <f t="shared" si="29"/>
        <v>441786.46691106464</v>
      </c>
      <c r="F163" s="24">
        <f t="shared" si="30"/>
        <v>1</v>
      </c>
      <c r="G163" s="16">
        <f t="shared" si="31"/>
        <v>1.4633772056161843E-46</v>
      </c>
      <c r="H163" s="24">
        <f t="shared" si="32"/>
        <v>1.9511696074882456E-49</v>
      </c>
      <c r="I163" s="24" cm="1">
        <f t="array" ref="I163">_xlfn.LET(_xlpm.x,$B163,_xlpm.dep,$H$6:$H$29,_xlpm.e,IF(_xlpm.x&lt;=$C$5,$C$12*(_xlpm.x-_xlpm.dep)/_xlpm.x,$C$13*(_xlpm.x-_xlpm.dep)/(_xlpm.x-3*$C$5/7))/$C$14,_xlpm.s,(_xlpm.e&gt;=1)*1+(_xlpm.e&lt;=-1)*(-1)+(ABS(_xlpm.e)&lt;1)*_xlpm.e,AVERAGE(_xlpm.s))</f>
        <v>0.79549303349002365</v>
      </c>
      <c r="J163" s="24" cm="1">
        <f t="array" ref="J163">_xlfn.LET(_xlpm.x,$B163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5.2227963223733215E-2</v>
      </c>
      <c r="K163" s="24">
        <f t="shared" si="33"/>
        <v>-1.0562266223628833</v>
      </c>
      <c r="L163" s="24" t="str">
        <f t="shared" si="34"/>
        <v/>
      </c>
      <c r="M163" s="24">
        <f t="shared" si="35"/>
        <v>1000000000</v>
      </c>
    </row>
    <row r="164" spans="1:13" x14ac:dyDescent="0.3">
      <c r="A164" s="24">
        <f t="shared" si="36"/>
        <v>1.360000000000001</v>
      </c>
      <c r="B164" s="20">
        <f t="shared" si="26"/>
        <v>1020.0000000000008</v>
      </c>
      <c r="C164" s="20">
        <f t="shared" si="27"/>
        <v>750</v>
      </c>
      <c r="D164" s="24">
        <f t="shared" si="28"/>
        <v>3.1415926535897931</v>
      </c>
      <c r="E164" s="20">
        <f t="shared" si="29"/>
        <v>441786.46691106464</v>
      </c>
      <c r="F164" s="24">
        <f t="shared" si="30"/>
        <v>1</v>
      </c>
      <c r="G164" s="16">
        <f t="shared" si="31"/>
        <v>1.4633772056161843E-46</v>
      </c>
      <c r="H164" s="24">
        <f t="shared" si="32"/>
        <v>1.9511696074882456E-49</v>
      </c>
      <c r="I164" s="24" cm="1">
        <f t="array" ref="I164">_xlfn.LET(_xlpm.x,$B164,_xlpm.dep,$H$6:$H$29,_xlpm.e,IF(_xlpm.x&lt;=$C$5,$C$12*(_xlpm.x-_xlpm.dep)/_xlpm.x,$C$13*(_xlpm.x-_xlpm.dep)/(_xlpm.x-3*$C$5/7))/$C$14,_xlpm.s,(_xlpm.e&gt;=1)*1+(_xlpm.e&lt;=-1)*(-1)+(ABS(_xlpm.e)&lt;1)*_xlpm.e,AVERAGE(_xlpm.s))</f>
        <v>0.79715185061513083</v>
      </c>
      <c r="J164" s="24" cm="1">
        <f t="array" ref="J164">_xlfn.LET(_xlpm.x,$B164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5.1761801433186226E-2</v>
      </c>
      <c r="K164" s="24">
        <f t="shared" si="33"/>
        <v>-1.0540286887975059</v>
      </c>
      <c r="L164" s="24" t="str">
        <f t="shared" si="34"/>
        <v/>
      </c>
      <c r="M164" s="24">
        <f t="shared" si="35"/>
        <v>1000000000</v>
      </c>
    </row>
    <row r="165" spans="1:13" x14ac:dyDescent="0.3">
      <c r="A165" s="24">
        <f t="shared" si="36"/>
        <v>1.370000000000001</v>
      </c>
      <c r="B165" s="20">
        <f t="shared" si="26"/>
        <v>1027.5000000000007</v>
      </c>
      <c r="C165" s="20">
        <f t="shared" si="27"/>
        <v>750</v>
      </c>
      <c r="D165" s="24">
        <f t="shared" si="28"/>
        <v>3.1415926535897931</v>
      </c>
      <c r="E165" s="20">
        <f t="shared" si="29"/>
        <v>441786.46691106464</v>
      </c>
      <c r="F165" s="24">
        <f t="shared" si="30"/>
        <v>1</v>
      </c>
      <c r="G165" s="16">
        <f t="shared" si="31"/>
        <v>1.4633772056161843E-46</v>
      </c>
      <c r="H165" s="24">
        <f t="shared" si="32"/>
        <v>1.9511696074882456E-49</v>
      </c>
      <c r="I165" s="24" cm="1">
        <f t="array" ref="I165">_xlfn.LET(_xlpm.x,$B165,_xlpm.dep,$H$6:$H$29,_xlpm.e,IF(_xlpm.x&lt;=$C$5,$C$12*(_xlpm.x-_xlpm.dep)/_xlpm.x,$C$13*(_xlpm.x-_xlpm.dep)/(_xlpm.x-3*$C$5/7))/$C$14,_xlpm.s,(_xlpm.e&gt;=1)*1+(_xlpm.e&lt;=-1)*(-1)+(ABS(_xlpm.e)&lt;1)*_xlpm.e,AVERAGE(_xlpm.s))</f>
        <v>0.79877542731572893</v>
      </c>
      <c r="J165" s="24" cm="1">
        <f t="array" ref="J165">_xlfn.LET(_xlpm.x,$B165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5.1305542928022675E-2</v>
      </c>
      <c r="K165" s="24">
        <f t="shared" si="33"/>
        <v>-1.0518862888658451</v>
      </c>
      <c r="L165" s="24" t="str">
        <f t="shared" si="34"/>
        <v/>
      </c>
      <c r="M165" s="24">
        <f t="shared" si="35"/>
        <v>1000000000</v>
      </c>
    </row>
    <row r="166" spans="1:13" x14ac:dyDescent="0.3">
      <c r="A166" s="24">
        <f t="shared" si="36"/>
        <v>1.380000000000001</v>
      </c>
      <c r="B166" s="20">
        <f t="shared" si="26"/>
        <v>1035.0000000000007</v>
      </c>
      <c r="C166" s="20">
        <f t="shared" si="27"/>
        <v>750</v>
      </c>
      <c r="D166" s="24">
        <f t="shared" si="28"/>
        <v>3.1415926535897931</v>
      </c>
      <c r="E166" s="20">
        <f t="shared" si="29"/>
        <v>441786.46691106464</v>
      </c>
      <c r="F166" s="24">
        <f t="shared" si="30"/>
        <v>1</v>
      </c>
      <c r="G166" s="16">
        <f t="shared" si="31"/>
        <v>1.4633772056161843E-46</v>
      </c>
      <c r="H166" s="24">
        <f t="shared" si="32"/>
        <v>1.9511696074882456E-49</v>
      </c>
      <c r="I166" s="24" cm="1">
        <f t="array" ref="I166">_xlfn.LET(_xlpm.x,$B166,_xlpm.dep,$H$6:$H$29,_xlpm.e,IF(_xlpm.x&lt;=$C$5,$C$12*(_xlpm.x-_xlpm.dep)/_xlpm.x,$C$13*(_xlpm.x-_xlpm.dep)/(_xlpm.x-3*$C$5/7))/$C$14,_xlpm.s,(_xlpm.e&gt;=1)*1+(_xlpm.e&lt;=-1)*(-1)+(ABS(_xlpm.e)&lt;1)*_xlpm.e,AVERAGE(_xlpm.s))</f>
        <v>0.80036487477637441</v>
      </c>
      <c r="J166" s="24" cm="1">
        <f t="array" ref="J166">_xlfn.LET(_xlpm.x,$B166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5.0858875442487177E-2</v>
      </c>
      <c r="K166" s="24">
        <f t="shared" si="33"/>
        <v>-1.0497973441314916</v>
      </c>
      <c r="L166" s="24" t="str">
        <f t="shared" si="34"/>
        <v/>
      </c>
      <c r="M166" s="24">
        <f t="shared" si="35"/>
        <v>1000000000</v>
      </c>
    </row>
    <row r="167" spans="1:13" x14ac:dyDescent="0.3">
      <c r="A167" s="24">
        <f t="shared" si="36"/>
        <v>1.390000000000001</v>
      </c>
      <c r="B167" s="20">
        <f t="shared" si="26"/>
        <v>1042.5000000000007</v>
      </c>
      <c r="C167" s="20">
        <f t="shared" si="27"/>
        <v>750</v>
      </c>
      <c r="D167" s="24">
        <f t="shared" si="28"/>
        <v>3.1415926535897931</v>
      </c>
      <c r="E167" s="20">
        <f t="shared" si="29"/>
        <v>441786.46691106464</v>
      </c>
      <c r="F167" s="24">
        <f t="shared" si="30"/>
        <v>1</v>
      </c>
      <c r="G167" s="16">
        <f t="shared" si="31"/>
        <v>1.4633772056161843E-46</v>
      </c>
      <c r="H167" s="24">
        <f t="shared" si="32"/>
        <v>1.9511696074882456E-49</v>
      </c>
      <c r="I167" s="24" cm="1">
        <f t="array" ref="I167">_xlfn.LET(_xlpm.x,$B167,_xlpm.dep,$H$6:$H$29,_xlpm.e,IF(_xlpm.x&lt;=$C$5,$C$12*(_xlpm.x-_xlpm.dep)/_xlpm.x,$C$13*(_xlpm.x-_xlpm.dep)/(_xlpm.x-3*$C$5/7))/$C$14,_xlpm.s,(_xlpm.e&gt;=1)*1+(_xlpm.e&lt;=-1)*(-1)+(ABS(_xlpm.e)&lt;1)*_xlpm.e,AVERAGE(_xlpm.s))</f>
        <v>0.80192125795106295</v>
      </c>
      <c r="J167" s="24" cm="1">
        <f t="array" ref="J167">_xlfn.LET(_xlpm.x,$B167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5.0421499702564578E-2</v>
      </c>
      <c r="K167" s="24">
        <f t="shared" si="33"/>
        <v>-1.0477598785985121</v>
      </c>
      <c r="L167" s="24" t="str">
        <f t="shared" si="34"/>
        <v/>
      </c>
      <c r="M167" s="24">
        <f t="shared" si="35"/>
        <v>1000000000</v>
      </c>
    </row>
    <row r="168" spans="1:13" x14ac:dyDescent="0.3">
      <c r="A168" s="24">
        <f t="shared" si="36"/>
        <v>1.400000000000001</v>
      </c>
      <c r="B168" s="20">
        <f t="shared" si="26"/>
        <v>1050.0000000000007</v>
      </c>
      <c r="C168" s="20">
        <f t="shared" si="27"/>
        <v>750</v>
      </c>
      <c r="D168" s="24">
        <f t="shared" si="28"/>
        <v>3.1415926535897931</v>
      </c>
      <c r="E168" s="20">
        <f t="shared" si="29"/>
        <v>441786.46691106464</v>
      </c>
      <c r="F168" s="24">
        <f t="shared" si="30"/>
        <v>1</v>
      </c>
      <c r="G168" s="16">
        <f t="shared" si="31"/>
        <v>1.4633772056161843E-46</v>
      </c>
      <c r="H168" s="24">
        <f t="shared" si="32"/>
        <v>1.9511696074882456E-49</v>
      </c>
      <c r="I168" s="24" cm="1">
        <f t="array" ref="I168">_xlfn.LET(_xlpm.x,$B168,_xlpm.dep,$H$6:$H$29,_xlpm.e,IF(_xlpm.x&lt;=$C$5,$C$12*(_xlpm.x-_xlpm.dep)/_xlpm.x,$C$13*(_xlpm.x-_xlpm.dep)/(_xlpm.x-3*$C$5/7))/$C$14,_xlpm.s,(_xlpm.e&gt;=1)*1+(_xlpm.e&lt;=-1)*(-1)+(ABS(_xlpm.e)&lt;1)*_xlpm.e,AVERAGE(_xlpm.s))</f>
        <v>0.80344559794274317</v>
      </c>
      <c r="J168" s="24" cm="1">
        <f t="array" ref="J168">_xlfn.LET(_xlpm.x,$B168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4.9993128757287453E-2</v>
      </c>
      <c r="K168" s="24">
        <f t="shared" si="33"/>
        <v>-1.0457720124770031</v>
      </c>
      <c r="L168" s="24" t="str">
        <f t="shared" si="34"/>
        <v/>
      </c>
      <c r="M168" s="24">
        <f t="shared" si="35"/>
        <v>1000000000</v>
      </c>
    </row>
    <row r="169" spans="1:13" x14ac:dyDescent="0.3">
      <c r="A169" s="24">
        <f t="shared" si="36"/>
        <v>1.410000000000001</v>
      </c>
      <c r="B169" s="20">
        <f t="shared" si="26"/>
        <v>1057.5000000000007</v>
      </c>
      <c r="C169" s="20">
        <f t="shared" si="27"/>
        <v>750</v>
      </c>
      <c r="D169" s="24">
        <f t="shared" si="28"/>
        <v>3.1415926535897931</v>
      </c>
      <c r="E169" s="20">
        <f t="shared" si="29"/>
        <v>441786.46691106464</v>
      </c>
      <c r="F169" s="24">
        <f t="shared" si="30"/>
        <v>1</v>
      </c>
      <c r="G169" s="16">
        <f t="shared" si="31"/>
        <v>1.4633772056161843E-46</v>
      </c>
      <c r="H169" s="24">
        <f t="shared" si="32"/>
        <v>1.9511696074882456E-49</v>
      </c>
      <c r="I169" s="24" cm="1">
        <f t="array" ref="I169">_xlfn.LET(_xlpm.x,$B169,_xlpm.dep,$H$6:$H$29,_xlpm.e,IF(_xlpm.x&lt;=$C$5,$C$12*(_xlpm.x-_xlpm.dep)/_xlpm.x,$C$13*(_xlpm.x-_xlpm.dep)/(_xlpm.x-3*$C$5/7))/$C$14,_xlpm.s,(_xlpm.e&gt;=1)*1+(_xlpm.e&lt;=-1)*(-1)+(ABS(_xlpm.e)&lt;1)*_xlpm.e,AVERAGE(_xlpm.s))</f>
        <v>0.80493887423735844</v>
      </c>
      <c r="J169" s="24" cm="1">
        <f t="array" ref="J169">_xlfn.LET(_xlpm.x,$B169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4.9573487350924275E-2</v>
      </c>
      <c r="K169" s="24">
        <f t="shared" si="33"/>
        <v>-1.0438319563984797</v>
      </c>
      <c r="L169" s="24" t="str">
        <f t="shared" si="34"/>
        <v/>
      </c>
      <c r="M169" s="24">
        <f t="shared" si="35"/>
        <v>1000000000</v>
      </c>
    </row>
    <row r="170" spans="1:13" x14ac:dyDescent="0.3">
      <c r="A170" s="24">
        <f t="shared" si="36"/>
        <v>1.420000000000001</v>
      </c>
      <c r="B170" s="20">
        <f t="shared" si="26"/>
        <v>1065.0000000000007</v>
      </c>
      <c r="C170" s="20">
        <f t="shared" si="27"/>
        <v>750</v>
      </c>
      <c r="D170" s="24">
        <f t="shared" si="28"/>
        <v>3.1415926535897931</v>
      </c>
      <c r="E170" s="20">
        <f t="shared" si="29"/>
        <v>441786.46691106464</v>
      </c>
      <c r="F170" s="24">
        <f t="shared" si="30"/>
        <v>1</v>
      </c>
      <c r="G170" s="16">
        <f t="shared" si="31"/>
        <v>1.4633772056161843E-46</v>
      </c>
      <c r="H170" s="24">
        <f t="shared" si="32"/>
        <v>1.9511696074882456E-49</v>
      </c>
      <c r="I170" s="24" cm="1">
        <f t="array" ref="I170">_xlfn.LET(_xlpm.x,$B170,_xlpm.dep,$H$6:$H$29,_xlpm.e,IF(_xlpm.x&lt;=$C$5,$C$12*(_xlpm.x-_xlpm.dep)/_xlpm.x,$C$13*(_xlpm.x-_xlpm.dep)/(_xlpm.x-3*$C$5/7))/$C$14,_xlpm.s,(_xlpm.e&gt;=1)*1+(_xlpm.e&lt;=-1)*(-1)+(ABS(_xlpm.e)&lt;1)*_xlpm.e,AVERAGE(_xlpm.s))</f>
        <v>0.8064020268026878</v>
      </c>
      <c r="J170" s="24" cm="1">
        <f t="array" ref="J170">_xlfn.LET(_xlpm.x,$B170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4.9162311333162088E-2</v>
      </c>
      <c r="K170" s="24">
        <f t="shared" si="33"/>
        <v>-1.0419380060436763</v>
      </c>
      <c r="L170" s="24" t="str">
        <f t="shared" si="34"/>
        <v/>
      </c>
      <c r="M170" s="24">
        <f t="shared" si="35"/>
        <v>1000000000</v>
      </c>
    </row>
    <row r="171" spans="1:13" x14ac:dyDescent="0.3">
      <c r="A171" s="24">
        <f t="shared" si="36"/>
        <v>1.430000000000001</v>
      </c>
      <c r="B171" s="20">
        <f t="shared" si="26"/>
        <v>1072.5000000000007</v>
      </c>
      <c r="C171" s="20">
        <f t="shared" si="27"/>
        <v>750</v>
      </c>
      <c r="D171" s="24">
        <f t="shared" si="28"/>
        <v>3.1415926535897931</v>
      </c>
      <c r="E171" s="20">
        <f t="shared" si="29"/>
        <v>441786.46691106464</v>
      </c>
      <c r="F171" s="24">
        <f t="shared" si="30"/>
        <v>1</v>
      </c>
      <c r="G171" s="16">
        <f t="shared" si="31"/>
        <v>1.4633772056161843E-46</v>
      </c>
      <c r="H171" s="24">
        <f t="shared" si="32"/>
        <v>1.9511696074882456E-49</v>
      </c>
      <c r="I171" s="24" cm="1">
        <f t="array" ref="I171">_xlfn.LET(_xlpm.x,$B171,_xlpm.dep,$H$6:$H$29,_xlpm.e,IF(_xlpm.x&lt;=$C$5,$C$12*(_xlpm.x-_xlpm.dep)/_xlpm.x,$C$13*(_xlpm.x-_xlpm.dep)/(_xlpm.x-3*$C$5/7))/$C$14,_xlpm.s,(_xlpm.e&gt;=1)*1+(_xlpm.e&lt;=-1)*(-1)+(ABS(_xlpm.e)&lt;1)*_xlpm.e,AVERAGE(_xlpm.s))</f>
        <v>0.80783595806143405</v>
      </c>
      <c r="J171" s="24" cm="1">
        <f t="array" ref="J171">_xlfn.LET(_xlpm.x,$B171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4.8759347104627662E-2</v>
      </c>
      <c r="K171" s="24">
        <f t="shared" si="33"/>
        <v>-1.0400885371488686</v>
      </c>
      <c r="L171" s="24" t="str">
        <f t="shared" si="34"/>
        <v/>
      </c>
      <c r="M171" s="24">
        <f t="shared" si="35"/>
        <v>1000000000</v>
      </c>
    </row>
    <row r="172" spans="1:13" x14ac:dyDescent="0.3">
      <c r="A172" s="24">
        <f t="shared" si="36"/>
        <v>1.4400000000000011</v>
      </c>
      <c r="B172" s="20">
        <f t="shared" si="26"/>
        <v>1080.0000000000007</v>
      </c>
      <c r="C172" s="20">
        <f t="shared" si="27"/>
        <v>750</v>
      </c>
      <c r="D172" s="24">
        <f t="shared" si="28"/>
        <v>3.1415926535897931</v>
      </c>
      <c r="E172" s="20">
        <f t="shared" si="29"/>
        <v>441786.46691106464</v>
      </c>
      <c r="F172" s="24">
        <f t="shared" si="30"/>
        <v>1</v>
      </c>
      <c r="G172" s="16">
        <f t="shared" si="31"/>
        <v>1.4633772056161843E-46</v>
      </c>
      <c r="H172" s="24">
        <f t="shared" si="32"/>
        <v>1.9511696074882456E-49</v>
      </c>
      <c r="I172" s="24" cm="1">
        <f t="array" ref="I172">_xlfn.LET(_xlpm.x,$B172,_xlpm.dep,$H$6:$H$29,_xlpm.e,IF(_xlpm.x&lt;=$C$5,$C$12*(_xlpm.x-_xlpm.dep)/_xlpm.x,$C$13*(_xlpm.x-_xlpm.dep)/(_xlpm.x-3*$C$5/7))/$C$14,_xlpm.s,(_xlpm.e&gt;=1)*1+(_xlpm.e&lt;=-1)*(-1)+(ABS(_xlpm.e)&lt;1)*_xlpm.e,AVERAGE(_xlpm.s))</f>
        <v>0.80924153474726734</v>
      </c>
      <c r="J172" s="24" cm="1">
        <f t="array" ref="J172">_xlfn.LET(_xlpm.x,$B172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4.8364351095301565E-2</v>
      </c>
      <c r="K172" s="24">
        <f t="shared" si="33"/>
        <v>-1.0382820008599527</v>
      </c>
      <c r="L172" s="24" t="str">
        <f t="shared" si="34"/>
        <v/>
      </c>
      <c r="M172" s="24">
        <f t="shared" si="35"/>
        <v>1000000000</v>
      </c>
    </row>
    <row r="173" spans="1:13" x14ac:dyDescent="0.3">
      <c r="A173" s="24">
        <f t="shared" si="36"/>
        <v>1.4500000000000011</v>
      </c>
      <c r="B173" s="20">
        <f t="shared" si="26"/>
        <v>1087.5000000000009</v>
      </c>
      <c r="C173" s="20">
        <f t="shared" si="27"/>
        <v>750</v>
      </c>
      <c r="D173" s="24">
        <f t="shared" si="28"/>
        <v>3.1415926535897931</v>
      </c>
      <c r="E173" s="20">
        <f t="shared" si="29"/>
        <v>441786.46691106464</v>
      </c>
      <c r="F173" s="24">
        <f t="shared" si="30"/>
        <v>1</v>
      </c>
      <c r="G173" s="16">
        <f t="shared" si="31"/>
        <v>1.4633772056161843E-46</v>
      </c>
      <c r="H173" s="24">
        <f t="shared" si="32"/>
        <v>1.9511696074882456E-49</v>
      </c>
      <c r="I173" s="24" cm="1">
        <f t="array" ref="I173">_xlfn.LET(_xlpm.x,$B173,_xlpm.dep,$H$6:$H$29,_xlpm.e,IF(_xlpm.x&lt;=$C$5,$C$12*(_xlpm.x-_xlpm.dep)/_xlpm.x,$C$13*(_xlpm.x-_xlpm.dep)/(_xlpm.x-3*$C$5/7))/$C$14,_xlpm.s,(_xlpm.e&gt;=1)*1+(_xlpm.e&lt;=-1)*(-1)+(ABS(_xlpm.e)&lt;1)*_xlpm.e,AVERAGE(_xlpm.s))</f>
        <v>0.81061958965183967</v>
      </c>
      <c r="J173" s="24" cm="1">
        <f t="array" ref="J173">_xlfn.LET(_xlpm.x,$B173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4.7977089273570632E-2</v>
      </c>
      <c r="K173" s="24">
        <f t="shared" si="33"/>
        <v>-1.036516919406359</v>
      </c>
      <c r="L173" s="24" t="str">
        <f t="shared" si="34"/>
        <v/>
      </c>
      <c r="M173" s="24">
        <f t="shared" si="35"/>
        <v>1000000000</v>
      </c>
    </row>
    <row r="174" spans="1:13" x14ac:dyDescent="0.3">
      <c r="A174" s="24">
        <f t="shared" si="36"/>
        <v>1.4600000000000011</v>
      </c>
      <c r="B174" s="20">
        <f t="shared" si="26"/>
        <v>1095.0000000000009</v>
      </c>
      <c r="C174" s="20">
        <f t="shared" si="27"/>
        <v>750</v>
      </c>
      <c r="D174" s="24">
        <f t="shared" si="28"/>
        <v>3.1415926535897931</v>
      </c>
      <c r="E174" s="20">
        <f t="shared" si="29"/>
        <v>441786.46691106464</v>
      </c>
      <c r="F174" s="24">
        <f t="shared" si="30"/>
        <v>1</v>
      </c>
      <c r="G174" s="16">
        <f t="shared" si="31"/>
        <v>1.4633772056161843E-46</v>
      </c>
      <c r="H174" s="24">
        <f t="shared" si="32"/>
        <v>1.9511696074882456E-49</v>
      </c>
      <c r="I174" s="24" cm="1">
        <f t="array" ref="I174">_xlfn.LET(_xlpm.x,$B174,_xlpm.dep,$H$6:$H$29,_xlpm.e,IF(_xlpm.x&lt;=$C$5,$C$12*(_xlpm.x-_xlpm.dep)/_xlpm.x,$C$13*(_xlpm.x-_xlpm.dep)/(_xlpm.x-3*$C$5/7))/$C$14,_xlpm.s,(_xlpm.e&gt;=1)*1+(_xlpm.e&lt;=-1)*(-1)+(ABS(_xlpm.e)&lt;1)*_xlpm.e,AVERAGE(_xlpm.s))</f>
        <v>0.81197092327017339</v>
      </c>
      <c r="J174" s="24" cm="1">
        <f t="array" ref="J174">_xlfn.LET(_xlpm.x,$B174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4.7597336683840023E-2</v>
      </c>
      <c r="K174" s="24">
        <f t="shared" si="33"/>
        <v>-1.0347918820694006</v>
      </c>
      <c r="L174" s="24" t="str">
        <f t="shared" si="34"/>
        <v/>
      </c>
      <c r="M174" s="24">
        <f t="shared" si="35"/>
        <v>1000000000</v>
      </c>
    </row>
    <row r="175" spans="1:13" x14ac:dyDescent="0.3">
      <c r="A175" s="24">
        <f t="shared" si="36"/>
        <v>1.4700000000000011</v>
      </c>
      <c r="B175" s="20">
        <f t="shared" si="26"/>
        <v>1102.5000000000009</v>
      </c>
      <c r="C175" s="20">
        <f t="shared" si="27"/>
        <v>750</v>
      </c>
      <c r="D175" s="24">
        <f t="shared" si="28"/>
        <v>3.1415926535897931</v>
      </c>
      <c r="E175" s="20">
        <f t="shared" si="29"/>
        <v>441786.46691106464</v>
      </c>
      <c r="F175" s="24">
        <f t="shared" si="30"/>
        <v>1</v>
      </c>
      <c r="G175" s="16">
        <f t="shared" si="31"/>
        <v>1.4633772056161843E-46</v>
      </c>
      <c r="H175" s="24">
        <f t="shared" si="32"/>
        <v>1.9511696074882456E-49</v>
      </c>
      <c r="I175" s="24" cm="1">
        <f t="array" ref="I175">_xlfn.LET(_xlpm.x,$B175,_xlpm.dep,$H$6:$H$29,_xlpm.e,IF(_xlpm.x&lt;=$C$5,$C$12*(_xlpm.x-_xlpm.dep)/_xlpm.x,$C$13*(_xlpm.x-_xlpm.dep)/(_xlpm.x-3*$C$5/7))/$C$14,_xlpm.s,(_xlpm.e&gt;=1)*1+(_xlpm.e&lt;=-1)*(-1)+(ABS(_xlpm.e)&lt;1)*_xlpm.e,AVERAGE(_xlpm.s))</f>
        <v>0.81329630535125563</v>
      </c>
      <c r="J175" s="24" cm="1">
        <f t="array" ref="J175">_xlfn.LET(_xlpm.x,$B175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4.7224877010784656E-2</v>
      </c>
      <c r="K175" s="24">
        <f t="shared" si="33"/>
        <v>-1.0331055414219392</v>
      </c>
      <c r="L175" s="24" t="str">
        <f t="shared" si="34"/>
        <v/>
      </c>
      <c r="M175" s="24">
        <f t="shared" si="35"/>
        <v>1000000000</v>
      </c>
    </row>
    <row r="176" spans="1:13" x14ac:dyDescent="0.3">
      <c r="A176" s="24">
        <f t="shared" si="36"/>
        <v>1.4800000000000011</v>
      </c>
      <c r="B176" s="20">
        <f t="shared" si="26"/>
        <v>1110.0000000000009</v>
      </c>
      <c r="C176" s="20">
        <f t="shared" si="27"/>
        <v>750</v>
      </c>
      <c r="D176" s="24">
        <f t="shared" si="28"/>
        <v>3.1415926535897931</v>
      </c>
      <c r="E176" s="20">
        <f t="shared" si="29"/>
        <v>441786.46691106464</v>
      </c>
      <c r="F176" s="24">
        <f t="shared" si="30"/>
        <v>1</v>
      </c>
      <c r="G176" s="16">
        <f t="shared" si="31"/>
        <v>1.4633772056161843E-46</v>
      </c>
      <c r="H176" s="24">
        <f t="shared" si="32"/>
        <v>1.9511696074882456E-49</v>
      </c>
      <c r="I176" s="24" cm="1">
        <f t="array" ref="I176">_xlfn.LET(_xlpm.x,$B176,_xlpm.dep,$H$6:$H$29,_xlpm.e,IF(_xlpm.x&lt;=$C$5,$C$12*(_xlpm.x-_xlpm.dep)/_xlpm.x,$C$13*(_xlpm.x-_xlpm.dep)/(_xlpm.x-3*$C$5/7))/$C$14,_xlpm.s,(_xlpm.e&gt;=1)*1+(_xlpm.e&lt;=-1)*(-1)+(ABS(_xlpm.e)&lt;1)*_xlpm.e,AVERAGE(_xlpm.s))</f>
        <v>0.81459647636014321</v>
      </c>
      <c r="J176" s="24" cm="1">
        <f t="array" ref="J176">_xlfn.LET(_xlpm.x,$B176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4.6859502168466759E-2</v>
      </c>
      <c r="K176" s="24">
        <f t="shared" si="33"/>
        <v>-1.0314566098183067</v>
      </c>
      <c r="L176" s="24" t="str">
        <f t="shared" si="34"/>
        <v/>
      </c>
      <c r="M176" s="24">
        <f t="shared" si="35"/>
        <v>1000000000</v>
      </c>
    </row>
    <row r="177" spans="1:13" x14ac:dyDescent="0.3">
      <c r="A177" s="24">
        <f t="shared" si="36"/>
        <v>1.4900000000000011</v>
      </c>
      <c r="B177" s="20">
        <f t="shared" si="26"/>
        <v>1117.5000000000009</v>
      </c>
      <c r="C177" s="20">
        <f t="shared" si="27"/>
        <v>750</v>
      </c>
      <c r="D177" s="24">
        <f t="shared" si="28"/>
        <v>3.1415926535897931</v>
      </c>
      <c r="E177" s="20">
        <f t="shared" si="29"/>
        <v>441786.46691106464</v>
      </c>
      <c r="F177" s="24">
        <f t="shared" si="30"/>
        <v>1</v>
      </c>
      <c r="G177" s="16">
        <f t="shared" si="31"/>
        <v>1.4633772056161843E-46</v>
      </c>
      <c r="H177" s="24">
        <f t="shared" si="32"/>
        <v>1.9511696074882456E-49</v>
      </c>
      <c r="I177" s="24" cm="1">
        <f t="array" ref="I177">_xlfn.LET(_xlpm.x,$B177,_xlpm.dep,$H$6:$H$29,_xlpm.e,IF(_xlpm.x&lt;=$C$5,$C$12*(_xlpm.x-_xlpm.dep)/_xlpm.x,$C$13*(_xlpm.x-_xlpm.dep)/(_xlpm.x-3*$C$5/7))/$C$14,_xlpm.s,(_xlpm.e&gt;=1)*1+(_xlpm.e&lt;=-1)*(-1)+(ABS(_xlpm.e)&lt;1)*_xlpm.e,AVERAGE(_xlpm.s))</f>
        <v>0.8158721488574231</v>
      </c>
      <c r="J177" s="24" cm="1">
        <f t="array" ref="J177">_xlfn.LET(_xlpm.x,$B177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4.6501011912679732E-2</v>
      </c>
      <c r="K177" s="24">
        <f t="shared" si="33"/>
        <v>-1.0298438561152596</v>
      </c>
      <c r="L177" s="24" t="str">
        <f t="shared" si="34"/>
        <v/>
      </c>
      <c r="M177" s="24">
        <f t="shared" si="35"/>
        <v>1000000000</v>
      </c>
    </row>
    <row r="178" spans="1:13" x14ac:dyDescent="0.3">
      <c r="A178" s="24">
        <f t="shared" si="36"/>
        <v>1.5000000000000011</v>
      </c>
      <c r="B178" s="20">
        <f t="shared" si="26"/>
        <v>1125.0000000000009</v>
      </c>
      <c r="C178" s="20">
        <f t="shared" si="27"/>
        <v>750</v>
      </c>
      <c r="D178" s="24">
        <f t="shared" si="28"/>
        <v>3.1415926535897931</v>
      </c>
      <c r="E178" s="20">
        <f t="shared" si="29"/>
        <v>441786.46691106464</v>
      </c>
      <c r="F178" s="24">
        <f t="shared" si="30"/>
        <v>1</v>
      </c>
      <c r="G178" s="16">
        <f t="shared" si="31"/>
        <v>1.4633772056161843E-46</v>
      </c>
      <c r="H178" s="24">
        <f t="shared" si="32"/>
        <v>1.9511696074882456E-49</v>
      </c>
      <c r="I178" s="24" cm="1">
        <f t="array" ref="I178">_xlfn.LET(_xlpm.x,$B178,_xlpm.dep,$H$6:$H$29,_xlpm.e,IF(_xlpm.x&lt;=$C$5,$C$12*(_xlpm.x-_xlpm.dep)/_xlpm.x,$C$13*(_xlpm.x-_xlpm.dep)/(_xlpm.x-3*$C$5/7))/$C$14,_xlpm.s,(_xlpm.e&gt;=1)*1+(_xlpm.e&lt;=-1)*(-1)+(ABS(_xlpm.e)&lt;1)*_xlpm.e,AVERAGE(_xlpm.s))</f>
        <v>0.81712400880142033</v>
      </c>
      <c r="J178" s="24" cm="1">
        <f t="array" ref="J178">_xlfn.LET(_xlpm.x,$B178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4.6149213475000721E-2</v>
      </c>
      <c r="K178" s="24">
        <f t="shared" si="33"/>
        <v>-1.0282661026064215</v>
      </c>
      <c r="L178" s="24" t="str">
        <f t="shared" si="34"/>
        <v/>
      </c>
      <c r="M178" s="24">
        <f t="shared" si="35"/>
        <v>1000000000</v>
      </c>
    </row>
    <row r="179" spans="1:13" x14ac:dyDescent="0.3">
      <c r="A179" s="24">
        <f t="shared" si="36"/>
        <v>1.5100000000000011</v>
      </c>
      <c r="B179" s="20">
        <f t="shared" si="26"/>
        <v>1132.5000000000009</v>
      </c>
      <c r="C179" s="20">
        <f t="shared" si="27"/>
        <v>750</v>
      </c>
      <c r="D179" s="24">
        <f t="shared" si="28"/>
        <v>3.1415926535897931</v>
      </c>
      <c r="E179" s="20">
        <f t="shared" si="29"/>
        <v>441786.46691106464</v>
      </c>
      <c r="F179" s="24">
        <f t="shared" si="30"/>
        <v>1</v>
      </c>
      <c r="G179" s="16">
        <f t="shared" si="31"/>
        <v>1.4633772056161843E-46</v>
      </c>
      <c r="H179" s="24">
        <f t="shared" si="32"/>
        <v>1.9511696074882456E-49</v>
      </c>
      <c r="I179" s="24" cm="1">
        <f t="array" ref="I179">_xlfn.LET(_xlpm.x,$B179,_xlpm.dep,$H$6:$H$29,_xlpm.e,IF(_xlpm.x&lt;=$C$5,$C$12*(_xlpm.x-_xlpm.dep)/_xlpm.x,$C$13*(_xlpm.x-_xlpm.dep)/(_xlpm.x-3*$C$5/7))/$C$14,_xlpm.s,(_xlpm.e&gt;=1)*1+(_xlpm.e&lt;=-1)*(-1)+(ABS(_xlpm.e)&lt;1)*_xlpm.e,AVERAGE(_xlpm.s))</f>
        <v>0.81835271677815768</v>
      </c>
      <c r="J179" s="24" cm="1">
        <f t="array" ref="J179">_xlfn.LET(_xlpm.x,$B179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4.5803921217146701E-2</v>
      </c>
      <c r="K179" s="24">
        <f t="shared" si="33"/>
        <v>-1.0267222221541694</v>
      </c>
      <c r="L179" s="24" t="str">
        <f t="shared" si="34"/>
        <v/>
      </c>
      <c r="M179" s="24">
        <f t="shared" si="35"/>
        <v>1000000000</v>
      </c>
    </row>
    <row r="180" spans="1:13" x14ac:dyDescent="0.3">
      <c r="A180" s="24">
        <f t="shared" si="36"/>
        <v>1.5200000000000011</v>
      </c>
      <c r="B180" s="20">
        <f t="shared" si="26"/>
        <v>1140.0000000000009</v>
      </c>
      <c r="C180" s="20">
        <f t="shared" si="27"/>
        <v>750</v>
      </c>
      <c r="D180" s="24">
        <f t="shared" si="28"/>
        <v>3.1415926535897931</v>
      </c>
      <c r="E180" s="20">
        <f t="shared" si="29"/>
        <v>441786.46691106464</v>
      </c>
      <c r="F180" s="24">
        <f t="shared" si="30"/>
        <v>1</v>
      </c>
      <c r="G180" s="16">
        <f t="shared" si="31"/>
        <v>1.4633772056161843E-46</v>
      </c>
      <c r="H180" s="24">
        <f t="shared" si="32"/>
        <v>1.9511696074882456E-49</v>
      </c>
      <c r="I180" s="24" cm="1">
        <f t="array" ref="I180">_xlfn.LET(_xlpm.x,$B180,_xlpm.dep,$H$6:$H$29,_xlpm.e,IF(_xlpm.x&lt;=$C$5,$C$12*(_xlpm.x-_xlpm.dep)/_xlpm.x,$C$13*(_xlpm.x-_xlpm.dep)/(_xlpm.x-3*$C$5/7))/$C$14,_xlpm.s,(_xlpm.e&gt;=1)*1+(_xlpm.e&lt;=-1)*(-1)+(ABS(_xlpm.e)&lt;1)*_xlpm.e,AVERAGE(_xlpm.s))</f>
        <v>0.81955890916369822</v>
      </c>
      <c r="J180" s="24" cm="1">
        <f t="array" ref="J180">_xlfn.LET(_xlpm.x,$B180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4.5464956304331887E-2</v>
      </c>
      <c r="K180" s="24">
        <f t="shared" si="33"/>
        <v>-1.0252111355042892</v>
      </c>
      <c r="L180" s="24" t="str">
        <f t="shared" si="34"/>
        <v/>
      </c>
      <c r="M180" s="24">
        <f t="shared" si="35"/>
        <v>1000000000</v>
      </c>
    </row>
    <row r="181" spans="1:13" x14ac:dyDescent="0.3">
      <c r="A181" s="24">
        <f t="shared" si="36"/>
        <v>1.5300000000000011</v>
      </c>
      <c r="B181" s="20">
        <f t="shared" si="26"/>
        <v>1147.5000000000009</v>
      </c>
      <c r="C181" s="20">
        <f t="shared" si="27"/>
        <v>750</v>
      </c>
      <c r="D181" s="24">
        <f t="shared" si="28"/>
        <v>3.1415926535897931</v>
      </c>
      <c r="E181" s="20">
        <f t="shared" si="29"/>
        <v>441786.46691106464</v>
      </c>
      <c r="F181" s="24">
        <f t="shared" si="30"/>
        <v>1</v>
      </c>
      <c r="G181" s="16">
        <f t="shared" si="31"/>
        <v>1.4633772056161843E-46</v>
      </c>
      <c r="H181" s="24">
        <f t="shared" si="32"/>
        <v>1.9511696074882456E-49</v>
      </c>
      <c r="I181" s="24" cm="1">
        <f t="array" ref="I181">_xlfn.LET(_xlpm.x,$B181,_xlpm.dep,$H$6:$H$29,_xlpm.e,IF(_xlpm.x&lt;=$C$5,$C$12*(_xlpm.x-_xlpm.dep)/_xlpm.x,$C$13*(_xlpm.x-_xlpm.dep)/(_xlpm.x-3*$C$5/7))/$C$14,_xlpm.s,(_xlpm.e&gt;=1)*1+(_xlpm.e&lt;=-1)*(-1)+(ABS(_xlpm.e)&lt;1)*_xlpm.e,AVERAGE(_xlpm.s))</f>
        <v>0.82074319922317152</v>
      </c>
      <c r="J181" s="24" cm="1">
        <f t="array" ref="J181">_xlfn.LET(_xlpm.x,$B181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4.5132146396419028E-2</v>
      </c>
      <c r="K181" s="24">
        <f t="shared" si="33"/>
        <v>-1.0237318087699487</v>
      </c>
      <c r="L181" s="24" t="str">
        <f t="shared" si="34"/>
        <v/>
      </c>
      <c r="M181" s="24">
        <f t="shared" si="35"/>
        <v>1000000000</v>
      </c>
    </row>
    <row r="182" spans="1:13" x14ac:dyDescent="0.3">
      <c r="A182" s="24">
        <f t="shared" si="36"/>
        <v>1.5400000000000011</v>
      </c>
      <c r="B182" s="20">
        <f t="shared" si="26"/>
        <v>1155.0000000000009</v>
      </c>
      <c r="C182" s="20">
        <f t="shared" si="27"/>
        <v>750</v>
      </c>
      <c r="D182" s="24">
        <f t="shared" si="28"/>
        <v>3.1415926535897931</v>
      </c>
      <c r="E182" s="20">
        <f t="shared" si="29"/>
        <v>441786.46691106464</v>
      </c>
      <c r="F182" s="24">
        <f t="shared" si="30"/>
        <v>1</v>
      </c>
      <c r="G182" s="16">
        <f t="shared" si="31"/>
        <v>1.4633772056161843E-46</v>
      </c>
      <c r="H182" s="24">
        <f t="shared" si="32"/>
        <v>1.9511696074882456E-49</v>
      </c>
      <c r="I182" s="24" cm="1">
        <f t="array" ref="I182">_xlfn.LET(_xlpm.x,$B182,_xlpm.dep,$H$6:$H$29,_xlpm.e,IF(_xlpm.x&lt;=$C$5,$C$12*(_xlpm.x-_xlpm.dep)/_xlpm.x,$C$13*(_xlpm.x-_xlpm.dep)/(_xlpm.x-3*$C$5/7))/$C$14,_xlpm.s,(_xlpm.e&gt;=1)*1+(_xlpm.e&lt;=-1)*(-1)+(ABS(_xlpm.e)&lt;1)*_xlpm.e,AVERAGE(_xlpm.s))</f>
        <v>0.82190617815046974</v>
      </c>
      <c r="J182" s="24" cm="1">
        <f t="array" ref="J182">_xlfn.LET(_xlpm.x,$B182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4.4805325355743664E-2</v>
      </c>
      <c r="K182" s="24">
        <f t="shared" si="33"/>
        <v>-1.0222832510726656</v>
      </c>
      <c r="L182" s="24" t="str">
        <f t="shared" si="34"/>
        <v/>
      </c>
      <c r="M182" s="24">
        <f t="shared" si="35"/>
        <v>1000000000</v>
      </c>
    </row>
    <row r="183" spans="1:13" x14ac:dyDescent="0.3">
      <c r="A183" s="24">
        <f t="shared" si="36"/>
        <v>1.5500000000000012</v>
      </c>
      <c r="B183" s="20">
        <f t="shared" si="26"/>
        <v>1162.5000000000009</v>
      </c>
      <c r="C183" s="20">
        <f t="shared" si="27"/>
        <v>750</v>
      </c>
      <c r="D183" s="24">
        <f t="shared" si="28"/>
        <v>3.1415926535897931</v>
      </c>
      <c r="E183" s="20">
        <f t="shared" si="29"/>
        <v>441786.46691106464</v>
      </c>
      <c r="F183" s="24">
        <f t="shared" si="30"/>
        <v>1</v>
      </c>
      <c r="G183" s="16">
        <f t="shared" si="31"/>
        <v>1.4633772056161843E-46</v>
      </c>
      <c r="H183" s="24">
        <f t="shared" si="32"/>
        <v>1.9511696074882456E-49</v>
      </c>
      <c r="I183" s="24" cm="1">
        <f t="array" ref="I183">_xlfn.LET(_xlpm.x,$B183,_xlpm.dep,$H$6:$H$29,_xlpm.e,IF(_xlpm.x&lt;=$C$5,$C$12*(_xlpm.x-_xlpm.dep)/_xlpm.x,$C$13*(_xlpm.x-_xlpm.dep)/(_xlpm.x-3*$C$5/7))/$C$14,_xlpm.s,(_xlpm.e&gt;=1)*1+(_xlpm.e&lt;=-1)*(-1)+(ABS(_xlpm.e)&lt;1)*_xlpm.e,AVERAGE(_xlpm.s))</f>
        <v>0.8230484160523126</v>
      </c>
      <c r="J183" s="24" cm="1">
        <f t="array" ref="J183">_xlfn.LET(_xlpm.x,$B183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4.448433297057082E-2</v>
      </c>
      <c r="K183" s="24">
        <f t="shared" si="33"/>
        <v>-1.0208645123289657</v>
      </c>
      <c r="L183" s="24" t="str">
        <f t="shared" si="34"/>
        <v/>
      </c>
      <c r="M183" s="24">
        <f t="shared" si="35"/>
        <v>1000000000</v>
      </c>
    </row>
    <row r="184" spans="1:13" x14ac:dyDescent="0.3">
      <c r="A184" s="24">
        <f t="shared" si="36"/>
        <v>1.5600000000000012</v>
      </c>
      <c r="B184" s="20">
        <f t="shared" si="26"/>
        <v>1170.0000000000009</v>
      </c>
      <c r="C184" s="20">
        <f t="shared" si="27"/>
        <v>750</v>
      </c>
      <c r="D184" s="24">
        <f t="shared" si="28"/>
        <v>3.1415926535897931</v>
      </c>
      <c r="E184" s="20">
        <f t="shared" si="29"/>
        <v>441786.46691106464</v>
      </c>
      <c r="F184" s="24">
        <f t="shared" si="30"/>
        <v>1</v>
      </c>
      <c r="G184" s="16">
        <f t="shared" si="31"/>
        <v>1.4633772056161843E-46</v>
      </c>
      <c r="H184" s="24">
        <f t="shared" si="32"/>
        <v>1.9511696074882456E-49</v>
      </c>
      <c r="I184" s="24" cm="1">
        <f t="array" ref="I184">_xlfn.LET(_xlpm.x,$B184,_xlpm.dep,$H$6:$H$29,_xlpm.e,IF(_xlpm.x&lt;=$C$5,$C$12*(_xlpm.x-_xlpm.dep)/_xlpm.x,$C$13*(_xlpm.x-_xlpm.dep)/(_xlpm.x-3*$C$5/7))/$C$14,_xlpm.s,(_xlpm.e&gt;=1)*1+(_xlpm.e&lt;=-1)*(-1)+(ABS(_xlpm.e)&lt;1)*_xlpm.e,AVERAGE(_xlpm.s))</f>
        <v>0.82417046288013307</v>
      </c>
      <c r="J184" s="24" cm="1">
        <f t="array" ref="J184">_xlfn.LET(_xlpm.x,$B184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4.4169014693216657E-2</v>
      </c>
      <c r="K184" s="24">
        <f t="shared" si="33"/>
        <v>-1.0194746811723256</v>
      </c>
      <c r="L184" s="24" t="str">
        <f t="shared" si="34"/>
        <v/>
      </c>
      <c r="M184" s="24">
        <f t="shared" si="35"/>
        <v>1000000000</v>
      </c>
    </row>
    <row r="185" spans="1:13" x14ac:dyDescent="0.3">
      <c r="A185" s="24">
        <f t="shared" si="36"/>
        <v>1.5700000000000012</v>
      </c>
      <c r="B185" s="20">
        <f t="shared" si="26"/>
        <v>1177.5000000000009</v>
      </c>
      <c r="C185" s="20">
        <f t="shared" si="27"/>
        <v>750</v>
      </c>
      <c r="D185" s="24">
        <f t="shared" si="28"/>
        <v>3.1415926535897931</v>
      </c>
      <c r="E185" s="20">
        <f t="shared" si="29"/>
        <v>441786.46691106464</v>
      </c>
      <c r="F185" s="24">
        <f t="shared" si="30"/>
        <v>1</v>
      </c>
      <c r="G185" s="16">
        <f t="shared" si="31"/>
        <v>1.4633772056161843E-46</v>
      </c>
      <c r="H185" s="24">
        <f t="shared" si="32"/>
        <v>1.9511696074882456E-49</v>
      </c>
      <c r="I185" s="24" cm="1">
        <f t="array" ref="I185">_xlfn.LET(_xlpm.x,$B185,_xlpm.dep,$H$6:$H$29,_xlpm.e,IF(_xlpm.x&lt;=$C$5,$C$12*(_xlpm.x-_xlpm.dep)/_xlpm.x,$C$13*(_xlpm.x-_xlpm.dep)/(_xlpm.x-3*$C$5/7))/$C$14,_xlpm.s,(_xlpm.e&gt;=1)*1+(_xlpm.e&lt;=-1)*(-1)+(ABS(_xlpm.e)&lt;1)*_xlpm.e,AVERAGE(_xlpm.s))</f>
        <v>0.82527284931297284</v>
      </c>
      <c r="J185" s="24" cm="1">
        <f t="array" ref="J185">_xlfn.LET(_xlpm.x,$B185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4.38592213919363E-2</v>
      </c>
      <c r="K185" s="24">
        <f t="shared" si="33"/>
        <v>-1.0181128830008681</v>
      </c>
      <c r="L185" s="24" t="str">
        <f t="shared" si="34"/>
        <v/>
      </c>
      <c r="M185" s="24">
        <f t="shared" si="35"/>
        <v>1000000000</v>
      </c>
    </row>
    <row r="186" spans="1:13" x14ac:dyDescent="0.3">
      <c r="A186" s="24">
        <f t="shared" si="36"/>
        <v>1.5800000000000012</v>
      </c>
      <c r="B186" s="20">
        <f t="shared" si="26"/>
        <v>1185.0000000000009</v>
      </c>
      <c r="C186" s="20">
        <f t="shared" si="27"/>
        <v>750</v>
      </c>
      <c r="D186" s="24">
        <f t="shared" si="28"/>
        <v>3.1415926535897931</v>
      </c>
      <c r="E186" s="20">
        <f t="shared" si="29"/>
        <v>441786.46691106464</v>
      </c>
      <c r="F186" s="24">
        <f t="shared" si="30"/>
        <v>1</v>
      </c>
      <c r="G186" s="16">
        <f t="shared" si="31"/>
        <v>1.4633772056161843E-46</v>
      </c>
      <c r="H186" s="24">
        <f t="shared" si="32"/>
        <v>1.9511696074882456E-49</v>
      </c>
      <c r="I186" s="24" cm="1">
        <f t="array" ref="I186">_xlfn.LET(_xlpm.x,$B186,_xlpm.dep,$H$6:$H$29,_xlpm.e,IF(_xlpm.x&lt;=$C$5,$C$12*(_xlpm.x-_xlpm.dep)/_xlpm.x,$C$13*(_xlpm.x-_xlpm.dep)/(_xlpm.x-3*$C$5/7))/$C$14,_xlpm.s,(_xlpm.e&gt;=1)*1+(_xlpm.e&lt;=-1)*(-1)+(ABS(_xlpm.e)&lt;1)*_xlpm.e,AVERAGE(_xlpm.s))</f>
        <v>0.82635608759437373</v>
      </c>
      <c r="J186" s="24" cm="1">
        <f t="array" ref="J186">_xlfn.LET(_xlpm.x,$B186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4.3554809115740216E-2</v>
      </c>
      <c r="K186" s="24">
        <f t="shared" si="33"/>
        <v>-1.0167782781420056</v>
      </c>
      <c r="L186" s="24" t="str">
        <f t="shared" si="34"/>
        <v/>
      </c>
      <c r="M186" s="24">
        <f t="shared" si="35"/>
        <v>1000000000</v>
      </c>
    </row>
    <row r="187" spans="1:13" x14ac:dyDescent="0.3">
      <c r="A187" s="24">
        <f t="shared" si="36"/>
        <v>1.5900000000000012</v>
      </c>
      <c r="B187" s="20">
        <f t="shared" si="26"/>
        <v>1192.5000000000009</v>
      </c>
      <c r="C187" s="20">
        <f t="shared" si="27"/>
        <v>750</v>
      </c>
      <c r="D187" s="24">
        <f t="shared" si="28"/>
        <v>3.1415926535897931</v>
      </c>
      <c r="E187" s="20">
        <f t="shared" si="29"/>
        <v>441786.46691106464</v>
      </c>
      <c r="F187" s="24">
        <f t="shared" si="30"/>
        <v>1</v>
      </c>
      <c r="G187" s="16">
        <f t="shared" si="31"/>
        <v>1.4633772056161843E-46</v>
      </c>
      <c r="H187" s="24">
        <f t="shared" si="32"/>
        <v>1.9511696074882456E-49</v>
      </c>
      <c r="I187" s="24" cm="1">
        <f t="array" ref="I187">_xlfn.LET(_xlpm.x,$B187,_xlpm.dep,$H$6:$H$29,_xlpm.e,IF(_xlpm.x&lt;=$C$5,$C$12*(_xlpm.x-_xlpm.dep)/_xlpm.x,$C$13*(_xlpm.x-_xlpm.dep)/(_xlpm.x-3*$C$5/7))/$C$14,_xlpm.s,(_xlpm.e&gt;=1)*1+(_xlpm.e&lt;=-1)*(-1)+(ABS(_xlpm.e)&lt;1)*_xlpm.e,AVERAGE(_xlpm.s))</f>
        <v>0.82742067232603356</v>
      </c>
      <c r="J187" s="24" cm="1">
        <f t="array" ref="J187">_xlfn.LET(_xlpm.x,$B187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4.3255638871360538E-2</v>
      </c>
      <c r="K187" s="24">
        <f t="shared" si="33"/>
        <v>-1.0154700601259505</v>
      </c>
      <c r="L187" s="24" t="str">
        <f t="shared" si="34"/>
        <v/>
      </c>
      <c r="M187" s="24">
        <f t="shared" si="35"/>
        <v>1000000000</v>
      </c>
    </row>
    <row r="188" spans="1:13" x14ac:dyDescent="0.3">
      <c r="A188" s="24">
        <f t="shared" si="36"/>
        <v>1.6000000000000012</v>
      </c>
      <c r="B188" s="20">
        <f t="shared" si="26"/>
        <v>1200.0000000000009</v>
      </c>
      <c r="C188" s="20">
        <f t="shared" si="27"/>
        <v>750</v>
      </c>
      <c r="D188" s="24">
        <f t="shared" si="28"/>
        <v>3.1415926535897931</v>
      </c>
      <c r="E188" s="20">
        <f t="shared" si="29"/>
        <v>441786.46691106464</v>
      </c>
      <c r="F188" s="24">
        <f t="shared" si="30"/>
        <v>1</v>
      </c>
      <c r="G188" s="16">
        <f t="shared" si="31"/>
        <v>1.4633772056161843E-46</v>
      </c>
      <c r="H188" s="24">
        <f t="shared" si="32"/>
        <v>1.9511696074882456E-49</v>
      </c>
      <c r="I188" s="24" cm="1">
        <f t="array" ref="I188">_xlfn.LET(_xlpm.x,$B188,_xlpm.dep,$H$6:$H$29,_xlpm.e,IF(_xlpm.x&lt;=$C$5,$C$12*(_xlpm.x-_xlpm.dep)/_xlpm.x,$C$13*(_xlpm.x-_xlpm.dep)/(_xlpm.x-3*$C$5/7))/$C$14,_xlpm.s,(_xlpm.e&gt;=1)*1+(_xlpm.e&lt;=-1)*(-1)+(ABS(_xlpm.e)&lt;1)*_xlpm.e,AVERAGE(_xlpm.s))</f>
        <v>0.82846708122081125</v>
      </c>
      <c r="J188" s="24" cm="1">
        <f t="array" ref="J188">_xlfn.LET(_xlpm.x,$B188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4.2961576411641007E-2</v>
      </c>
      <c r="K188" s="24">
        <f t="shared" si="33"/>
        <v>-1.014187454060625</v>
      </c>
      <c r="L188" s="24" t="str">
        <f t="shared" si="34"/>
        <v/>
      </c>
      <c r="M188" s="24">
        <f t="shared" si="35"/>
        <v>1000000000</v>
      </c>
    </row>
    <row r="189" spans="1:13" x14ac:dyDescent="0.3">
      <c r="A189" s="24">
        <f t="shared" si="36"/>
        <v>1.6100000000000012</v>
      </c>
      <c r="B189" s="20">
        <f t="shared" si="26"/>
        <v>1207.5000000000009</v>
      </c>
      <c r="C189" s="20">
        <f t="shared" si="27"/>
        <v>750</v>
      </c>
      <c r="D189" s="24">
        <f t="shared" si="28"/>
        <v>3.1415926535897931</v>
      </c>
      <c r="E189" s="20">
        <f t="shared" si="29"/>
        <v>441786.46691106464</v>
      </c>
      <c r="F189" s="24">
        <f t="shared" si="30"/>
        <v>1</v>
      </c>
      <c r="G189" s="16">
        <f t="shared" si="31"/>
        <v>1.4633772056161843E-46</v>
      </c>
      <c r="H189" s="24">
        <f t="shared" si="32"/>
        <v>1.9511696074882456E-49</v>
      </c>
      <c r="I189" s="24" cm="1">
        <f t="array" ref="I189">_xlfn.LET(_xlpm.x,$B189,_xlpm.dep,$H$6:$H$29,_xlpm.e,IF(_xlpm.x&lt;=$C$5,$C$12*(_xlpm.x-_xlpm.dep)/_xlpm.x,$C$13*(_xlpm.x-_xlpm.dep)/(_xlpm.x-3*$C$5/7))/$C$14,_xlpm.s,(_xlpm.e&gt;=1)*1+(_xlpm.e&lt;=-1)*(-1)+(ABS(_xlpm.e)&lt;1)*_xlpm.e,AVERAGE(_xlpm.s))</f>
        <v>0.82949577581749123</v>
      </c>
      <c r="J189" s="24" cm="1">
        <f t="array" ref="J189">_xlfn.LET(_xlpm.x,$B189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4.2672492034673687E-2</v>
      </c>
      <c r="K189" s="24">
        <f t="shared" si="33"/>
        <v>-1.0129297151010932</v>
      </c>
      <c r="L189" s="24" t="str">
        <f t="shared" si="34"/>
        <v/>
      </c>
      <c r="M189" s="24">
        <f t="shared" si="35"/>
        <v>1000000000</v>
      </c>
    </row>
    <row r="190" spans="1:13" x14ac:dyDescent="0.3">
      <c r="A190" s="24">
        <f t="shared" si="36"/>
        <v>1.6200000000000012</v>
      </c>
      <c r="B190" s="20">
        <f t="shared" si="26"/>
        <v>1215.0000000000009</v>
      </c>
      <c r="C190" s="20">
        <f t="shared" si="27"/>
        <v>750</v>
      </c>
      <c r="D190" s="24">
        <f t="shared" si="28"/>
        <v>3.1415926535897931</v>
      </c>
      <c r="E190" s="20">
        <f t="shared" si="29"/>
        <v>441786.46691106464</v>
      </c>
      <c r="F190" s="24">
        <f t="shared" si="30"/>
        <v>1</v>
      </c>
      <c r="G190" s="16">
        <f t="shared" si="31"/>
        <v>1.4633772056161843E-46</v>
      </c>
      <c r="H190" s="24">
        <f t="shared" si="32"/>
        <v>1.9511696074882456E-49</v>
      </c>
      <c r="I190" s="24" cm="1">
        <f t="array" ref="I190">_xlfn.LET(_xlpm.x,$B190,_xlpm.dep,$H$6:$H$29,_xlpm.e,IF(_xlpm.x&lt;=$C$5,$C$12*(_xlpm.x-_xlpm.dep)/_xlpm.x,$C$13*(_xlpm.x-_xlpm.dep)/(_xlpm.x-3*$C$5/7))/$C$14,_xlpm.s,(_xlpm.e&gt;=1)*1+(_xlpm.e&lt;=-1)*(-1)+(ABS(_xlpm.e)&lt;1)*_xlpm.e,AVERAGE(_xlpm.s))</f>
        <v>0.83050720215955076</v>
      </c>
      <c r="J190" s="24" cm="1">
        <f t="array" ref="J190">_xlfn.LET(_xlpm.x,$B190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4.238826039305113E-2</v>
      </c>
      <c r="K190" s="24">
        <f t="shared" si="33"/>
        <v>-1.011696127007162</v>
      </c>
      <c r="L190" s="24" t="str">
        <f t="shared" si="34"/>
        <v/>
      </c>
      <c r="M190" s="24">
        <f t="shared" si="35"/>
        <v>1000000000</v>
      </c>
    </row>
    <row r="191" spans="1:13" x14ac:dyDescent="0.3">
      <c r="A191" s="24">
        <f t="shared" si="36"/>
        <v>1.6300000000000012</v>
      </c>
      <c r="B191" s="20">
        <f t="shared" si="26"/>
        <v>1222.5000000000009</v>
      </c>
      <c r="C191" s="20">
        <f t="shared" si="27"/>
        <v>750</v>
      </c>
      <c r="D191" s="24">
        <f t="shared" si="28"/>
        <v>3.1415926535897931</v>
      </c>
      <c r="E191" s="20">
        <f t="shared" si="29"/>
        <v>441786.46691106464</v>
      </c>
      <c r="F191" s="24">
        <f t="shared" si="30"/>
        <v>1</v>
      </c>
      <c r="G191" s="16">
        <f t="shared" si="31"/>
        <v>1.4633772056161843E-46</v>
      </c>
      <c r="H191" s="24">
        <f t="shared" si="32"/>
        <v>1.9511696074882456E-49</v>
      </c>
      <c r="I191" s="24" cm="1">
        <f t="array" ref="I191">_xlfn.LET(_xlpm.x,$B191,_xlpm.dep,$H$6:$H$29,_xlpm.e,IF(_xlpm.x&lt;=$C$5,$C$12*(_xlpm.x-_xlpm.dep)/_xlpm.x,$C$13*(_xlpm.x-_xlpm.dep)/(_xlpm.x-3*$C$5/7))/$C$14,_xlpm.s,(_xlpm.e&gt;=1)*1+(_xlpm.e&lt;=-1)*(-1)+(ABS(_xlpm.e)&lt;1)*_xlpm.e,AVERAGE(_xlpm.s))</f>
        <v>0.83150179144003011</v>
      </c>
      <c r="J191" s="24" cm="1">
        <f t="array" ref="J191">_xlfn.LET(_xlpm.x,$B191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4.2108760312644662E-2</v>
      </c>
      <c r="K191" s="24">
        <f t="shared" si="33"/>
        <v>-1.0104860007832832</v>
      </c>
      <c r="L191" s="24" t="str">
        <f t="shared" si="34"/>
        <v/>
      </c>
      <c r="M191" s="24">
        <f t="shared" si="35"/>
        <v>1000000000</v>
      </c>
    </row>
    <row r="192" spans="1:13" x14ac:dyDescent="0.3">
      <c r="A192" s="24">
        <f t="shared" si="36"/>
        <v>1.6400000000000012</v>
      </c>
      <c r="B192" s="20">
        <f t="shared" si="26"/>
        <v>1230.0000000000009</v>
      </c>
      <c r="C192" s="20">
        <f t="shared" si="27"/>
        <v>750</v>
      </c>
      <c r="D192" s="24">
        <f t="shared" si="28"/>
        <v>3.1415926535897931</v>
      </c>
      <c r="E192" s="20">
        <f t="shared" si="29"/>
        <v>441786.46691106464</v>
      </c>
      <c r="F192" s="24">
        <f t="shared" si="30"/>
        <v>1</v>
      </c>
      <c r="G192" s="16">
        <f t="shared" si="31"/>
        <v>1.4633772056161843E-46</v>
      </c>
      <c r="H192" s="24">
        <f t="shared" si="32"/>
        <v>1.9511696074882456E-49</v>
      </c>
      <c r="I192" s="24" cm="1">
        <f t="array" ref="I192">_xlfn.LET(_xlpm.x,$B192,_xlpm.dep,$H$6:$H$29,_xlpm.e,IF(_xlpm.x&lt;=$C$5,$C$12*(_xlpm.x-_xlpm.dep)/_xlpm.x,$C$13*(_xlpm.x-_xlpm.dep)/(_xlpm.x-3*$C$5/7))/$C$14,_xlpm.s,(_xlpm.e&gt;=1)*1+(_xlpm.e&lt;=-1)*(-1)+(ABS(_xlpm.e)&lt;1)*_xlpm.e,AVERAGE(_xlpm.s))</f>
        <v>0.83247996061446405</v>
      </c>
      <c r="J192" s="24" cm="1">
        <f t="array" ref="J192">_xlfn.LET(_xlpm.x,$B192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4.1833874620358091E-2</v>
      </c>
      <c r="K192" s="24">
        <f t="shared" si="33"/>
        <v>-1.009298673395326</v>
      </c>
      <c r="L192" s="24" t="str">
        <f t="shared" si="34"/>
        <v/>
      </c>
      <c r="M192" s="24">
        <f t="shared" si="35"/>
        <v>1000000000</v>
      </c>
    </row>
    <row r="193" spans="1:13" x14ac:dyDescent="0.3">
      <c r="A193" s="24">
        <f t="shared" si="36"/>
        <v>1.6500000000000012</v>
      </c>
      <c r="B193" s="20">
        <f t="shared" si="26"/>
        <v>1237.5000000000009</v>
      </c>
      <c r="C193" s="20">
        <f t="shared" si="27"/>
        <v>750</v>
      </c>
      <c r="D193" s="24">
        <f t="shared" si="28"/>
        <v>3.1415926535897931</v>
      </c>
      <c r="E193" s="20">
        <f t="shared" si="29"/>
        <v>441786.46691106464</v>
      </c>
      <c r="F193" s="24">
        <f t="shared" si="30"/>
        <v>1</v>
      </c>
      <c r="G193" s="16">
        <f t="shared" si="31"/>
        <v>1.4633772056161843E-46</v>
      </c>
      <c r="H193" s="24">
        <f t="shared" si="32"/>
        <v>1.9511696074882456E-49</v>
      </c>
      <c r="I193" s="24" cm="1">
        <f t="array" ref="I193">_xlfn.LET(_xlpm.x,$B193,_xlpm.dep,$H$6:$H$29,_xlpm.e,IF(_xlpm.x&lt;=$C$5,$C$12*(_xlpm.x-_xlpm.dep)/_xlpm.x,$C$13*(_xlpm.x-_xlpm.dep)/(_xlpm.x-3*$C$5/7))/$C$14,_xlpm.s,(_xlpm.e&gt;=1)*1+(_xlpm.e&lt;=-1)*(-1)+(ABS(_xlpm.e)&lt;1)*_xlpm.e,AVERAGE(_xlpm.s))</f>
        <v>0.83344211298370219</v>
      </c>
      <c r="J193" s="24" cm="1">
        <f t="array" ref="J193">_xlfn.LET(_xlpm.x,$B193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4.1563489980342871E-2</v>
      </c>
      <c r="K193" s="24">
        <f t="shared" si="33"/>
        <v>-1.0081335065592036</v>
      </c>
      <c r="L193" s="24" t="str">
        <f t="shared" si="34"/>
        <v/>
      </c>
      <c r="M193" s="24">
        <f t="shared" si="35"/>
        <v>1000000000</v>
      </c>
    </row>
    <row r="194" spans="1:13" x14ac:dyDescent="0.3">
      <c r="A194" s="24">
        <f t="shared" si="36"/>
        <v>1.6600000000000013</v>
      </c>
      <c r="B194" s="20">
        <f t="shared" si="26"/>
        <v>1245.0000000000009</v>
      </c>
      <c r="C194" s="20">
        <f t="shared" si="27"/>
        <v>750</v>
      </c>
      <c r="D194" s="24">
        <f t="shared" si="28"/>
        <v>3.1415926535897931</v>
      </c>
      <c r="E194" s="20">
        <f t="shared" si="29"/>
        <v>441786.46691106464</v>
      </c>
      <c r="F194" s="24">
        <f t="shared" si="30"/>
        <v>1</v>
      </c>
      <c r="G194" s="16">
        <f t="shared" si="31"/>
        <v>1.4633772056161843E-46</v>
      </c>
      <c r="H194" s="24">
        <f t="shared" si="32"/>
        <v>1.9511696074882456E-49</v>
      </c>
      <c r="I194" s="24" cm="1">
        <f t="array" ref="I194">_xlfn.LET(_xlpm.x,$B194,_xlpm.dep,$H$6:$H$29,_xlpm.e,IF(_xlpm.x&lt;=$C$5,$C$12*(_xlpm.x-_xlpm.dep)/_xlpm.x,$C$13*(_xlpm.x-_xlpm.dep)/(_xlpm.x-3*$C$5/7))/$C$14,_xlpm.s,(_xlpm.e&gt;=1)*1+(_xlpm.e&lt;=-1)*(-1)+(ABS(_xlpm.e)&lt;1)*_xlpm.e,AVERAGE(_xlpm.s))</f>
        <v>0.83438863874833569</v>
      </c>
      <c r="J194" s="24" cm="1">
        <f t="array" ref="J194">_xlfn.LET(_xlpm.x,$B194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4.1297496738193357E-2</v>
      </c>
      <c r="K194" s="24">
        <f t="shared" si="33"/>
        <v>-1.0069898855966988</v>
      </c>
      <c r="L194" s="24" t="str">
        <f t="shared" si="34"/>
        <v/>
      </c>
      <c r="M194" s="24">
        <f t="shared" si="35"/>
        <v>1000000000</v>
      </c>
    </row>
    <row r="195" spans="1:13" x14ac:dyDescent="0.3">
      <c r="A195" s="24">
        <f t="shared" si="36"/>
        <v>1.6700000000000013</v>
      </c>
      <c r="B195" s="20">
        <f t="shared" si="26"/>
        <v>1252.5000000000009</v>
      </c>
      <c r="C195" s="20">
        <f t="shared" si="27"/>
        <v>750</v>
      </c>
      <c r="D195" s="24">
        <f t="shared" si="28"/>
        <v>3.1415926535897931</v>
      </c>
      <c r="E195" s="20">
        <f t="shared" si="29"/>
        <v>441786.46691106464</v>
      </c>
      <c r="F195" s="24">
        <f t="shared" si="30"/>
        <v>1</v>
      </c>
      <c r="G195" s="16">
        <f t="shared" si="31"/>
        <v>1.4633772056161843E-46</v>
      </c>
      <c r="H195" s="24">
        <f t="shared" si="32"/>
        <v>1.9511696074882456E-49</v>
      </c>
      <c r="I195" s="24" cm="1">
        <f t="array" ref="I195">_xlfn.LET(_xlpm.x,$B195,_xlpm.dep,$H$6:$H$29,_xlpm.e,IF(_xlpm.x&lt;=$C$5,$C$12*(_xlpm.x-_xlpm.dep)/_xlpm.x,$C$13*(_xlpm.x-_xlpm.dep)/(_xlpm.x-3*$C$5/7))/$C$14,_xlpm.s,(_xlpm.e&gt;=1)*1+(_xlpm.e&lt;=-1)*(-1)+(ABS(_xlpm.e)&lt;1)*_xlpm.e,AVERAGE(_xlpm.s))</f>
        <v>0.83531991553632368</v>
      </c>
      <c r="J195" s="24" cm="1">
        <f t="array" ref="J195">_xlfn.LET(_xlpm.x,$B195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4.1035788772672256E-2</v>
      </c>
      <c r="K195" s="24">
        <f t="shared" si="33"/>
        <v>-1.0058672183541815</v>
      </c>
      <c r="L195" s="24" t="str">
        <f t="shared" si="34"/>
        <v/>
      </c>
      <c r="M195" s="24">
        <f t="shared" si="35"/>
        <v>1000000000</v>
      </c>
    </row>
    <row r="196" spans="1:13" x14ac:dyDescent="0.3">
      <c r="A196" s="24">
        <f t="shared" si="36"/>
        <v>1.6800000000000013</v>
      </c>
      <c r="B196" s="20">
        <f t="shared" si="26"/>
        <v>1260.0000000000009</v>
      </c>
      <c r="C196" s="20">
        <f t="shared" si="27"/>
        <v>750</v>
      </c>
      <c r="D196" s="24">
        <f t="shared" si="28"/>
        <v>3.1415926535897931</v>
      </c>
      <c r="E196" s="20">
        <f t="shared" si="29"/>
        <v>441786.46691106464</v>
      </c>
      <c r="F196" s="24">
        <f t="shared" si="30"/>
        <v>1</v>
      </c>
      <c r="G196" s="16">
        <f t="shared" si="31"/>
        <v>1.4633772056161843E-46</v>
      </c>
      <c r="H196" s="24">
        <f t="shared" si="32"/>
        <v>1.9511696074882456E-49</v>
      </c>
      <c r="I196" s="24" cm="1">
        <f t="array" ref="I196">_xlfn.LET(_xlpm.x,$B196,_xlpm.dep,$H$6:$H$29,_xlpm.e,IF(_xlpm.x&lt;=$C$5,$C$12*(_xlpm.x-_xlpm.dep)/_xlpm.x,$C$13*(_xlpm.x-_xlpm.dep)/(_xlpm.x-3*$C$5/7))/$C$14,_xlpm.s,(_xlpm.e&gt;=1)*1+(_xlpm.e&lt;=-1)*(-1)+(ABS(_xlpm.e)&lt;1)*_xlpm.e,AVERAGE(_xlpm.s))</f>
        <v>0.83623630890532574</v>
      </c>
      <c r="J196" s="24" cm="1">
        <f t="array" ref="J196">_xlfn.LET(_xlpm.x,$B196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4.0778263354545319E-2</v>
      </c>
      <c r="K196" s="24">
        <f t="shared" si="33"/>
        <v>-1.0047649341802223</v>
      </c>
      <c r="L196" s="24" t="str">
        <f t="shared" si="34"/>
        <v/>
      </c>
      <c r="M196" s="24">
        <f t="shared" si="35"/>
        <v>1000000000</v>
      </c>
    </row>
    <row r="197" spans="1:13" x14ac:dyDescent="0.3">
      <c r="A197" s="24">
        <f t="shared" si="36"/>
        <v>1.6900000000000013</v>
      </c>
      <c r="B197" s="20">
        <f t="shared" si="26"/>
        <v>1267.5000000000009</v>
      </c>
      <c r="C197" s="20">
        <f t="shared" si="27"/>
        <v>750</v>
      </c>
      <c r="D197" s="24">
        <f t="shared" si="28"/>
        <v>3.1415926535897931</v>
      </c>
      <c r="E197" s="20">
        <f t="shared" si="29"/>
        <v>441786.46691106464</v>
      </c>
      <c r="F197" s="24">
        <f t="shared" si="30"/>
        <v>1</v>
      </c>
      <c r="G197" s="16">
        <f t="shared" si="31"/>
        <v>1.4633772056161843E-46</v>
      </c>
      <c r="H197" s="24">
        <f t="shared" si="32"/>
        <v>1.9511696074882456E-49</v>
      </c>
      <c r="I197" s="24" cm="1">
        <f t="array" ref="I197">_xlfn.LET(_xlpm.x,$B197,_xlpm.dep,$H$6:$H$29,_xlpm.e,IF(_xlpm.x&lt;=$C$5,$C$12*(_xlpm.x-_xlpm.dep)/_xlpm.x,$C$13*(_xlpm.x-_xlpm.dep)/(_xlpm.x-3*$C$5/7))/$C$14,_xlpm.s,(_xlpm.e&gt;=1)*1+(_xlpm.e&lt;=-1)*(-1)+(ABS(_xlpm.e)&lt;1)*_xlpm.e,AVERAGE(_xlpm.s))</f>
        <v>0.83713817282113856</v>
      </c>
      <c r="J197" s="24" cm="1">
        <f t="array" ref="J197">_xlfn.LET(_xlpm.x,$B197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4.0524821012130473E-2</v>
      </c>
      <c r="K197" s="24">
        <f t="shared" si="33"/>
        <v>-1.0036824829583919</v>
      </c>
      <c r="L197" s="24" t="str">
        <f t="shared" si="34"/>
        <v/>
      </c>
      <c r="M197" s="24">
        <f t="shared" si="35"/>
        <v>1000000000</v>
      </c>
    </row>
    <row r="198" spans="1:13" x14ac:dyDescent="0.3">
      <c r="A198" s="24">
        <f t="shared" si="36"/>
        <v>1.7000000000000013</v>
      </c>
      <c r="B198" s="20">
        <f t="shared" si="26"/>
        <v>1275.0000000000009</v>
      </c>
      <c r="C198" s="20">
        <f t="shared" si="27"/>
        <v>750</v>
      </c>
      <c r="D198" s="24">
        <f t="shared" si="28"/>
        <v>3.1415926535897931</v>
      </c>
      <c r="E198" s="20">
        <f t="shared" si="29"/>
        <v>441786.46691106464</v>
      </c>
      <c r="F198" s="24">
        <f t="shared" si="30"/>
        <v>1</v>
      </c>
      <c r="G198" s="16">
        <f t="shared" si="31"/>
        <v>1.4633772056161843E-46</v>
      </c>
      <c r="H198" s="24">
        <f t="shared" si="32"/>
        <v>1.9511696074882456E-49</v>
      </c>
      <c r="I198" s="24" cm="1">
        <f t="array" ref="I198">_xlfn.LET(_xlpm.x,$B198,_xlpm.dep,$H$6:$H$29,_xlpm.e,IF(_xlpm.x&lt;=$C$5,$C$12*(_xlpm.x-_xlpm.dep)/_xlpm.x,$C$13*(_xlpm.x-_xlpm.dep)/(_xlpm.x-3*$C$5/7))/$C$14,_xlpm.s,(_xlpm.e&gt;=1)*1+(_xlpm.e&lt;=-1)*(-1)+(ABS(_xlpm.e)&lt;1)*_xlpm.e,AVERAGE(_xlpm.s))</f>
        <v>0.83802585011355657</v>
      </c>
      <c r="J198" s="24" cm="1">
        <f t="array" ref="J198">_xlfn.LET(_xlpm.x,$B198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4.0275365403191828E-2</v>
      </c>
      <c r="K198" s="24">
        <f t="shared" si="33"/>
        <v>-1.0026193341918006</v>
      </c>
      <c r="L198" s="24" t="str">
        <f t="shared" si="34"/>
        <v/>
      </c>
      <c r="M198" s="24">
        <f t="shared" si="35"/>
        <v>1000000000</v>
      </c>
    </row>
    <row r="199" spans="1:13" x14ac:dyDescent="0.3">
      <c r="A199" s="24">
        <f t="shared" si="36"/>
        <v>1.7100000000000013</v>
      </c>
      <c r="B199" s="20">
        <f t="shared" si="26"/>
        <v>1282.5000000000009</v>
      </c>
      <c r="C199" s="20">
        <f t="shared" si="27"/>
        <v>750</v>
      </c>
      <c r="D199" s="24">
        <f t="shared" si="28"/>
        <v>3.1415926535897931</v>
      </c>
      <c r="E199" s="20">
        <f t="shared" si="29"/>
        <v>441786.46691106464</v>
      </c>
      <c r="F199" s="24">
        <f t="shared" si="30"/>
        <v>1</v>
      </c>
      <c r="G199" s="16">
        <f t="shared" si="31"/>
        <v>1.4633772056161843E-46</v>
      </c>
      <c r="H199" s="24">
        <f t="shared" si="32"/>
        <v>1.9511696074882456E-49</v>
      </c>
      <c r="I199" s="24" cm="1">
        <f t="array" ref="I199">_xlfn.LET(_xlpm.x,$B199,_xlpm.dep,$H$6:$H$29,_xlpm.e,IF(_xlpm.x&lt;=$C$5,$C$12*(_xlpm.x-_xlpm.dep)/_xlpm.x,$C$13*(_xlpm.x-_xlpm.dep)/(_xlpm.x-3*$C$5/7))/$C$14,_xlpm.s,(_xlpm.e&gt;=1)*1+(_xlpm.e&lt;=-1)*(-1)+(ABS(_xlpm.e)&lt;1)*_xlpm.e,AVERAGE(_xlpm.s))</f>
        <v>0.83889967291088652</v>
      </c>
      <c r="J199" s="24" cm="1">
        <f t="array" ref="J199">_xlfn.LET(_xlpm.x,$B199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4.0029803192831899E-2</v>
      </c>
      <c r="K199" s="24">
        <f t="shared" si="33"/>
        <v>-1.0015749761361816</v>
      </c>
      <c r="L199" s="24" t="str">
        <f t="shared" si="34"/>
        <v/>
      </c>
      <c r="M199" s="24">
        <f t="shared" si="35"/>
        <v>1000000000</v>
      </c>
    </row>
    <row r="200" spans="1:13" x14ac:dyDescent="0.3">
      <c r="A200" s="24">
        <f t="shared" si="36"/>
        <v>1.7200000000000013</v>
      </c>
      <c r="B200" s="20">
        <f t="shared" si="26"/>
        <v>1290.0000000000009</v>
      </c>
      <c r="C200" s="20">
        <f t="shared" si="27"/>
        <v>750</v>
      </c>
      <c r="D200" s="24">
        <f t="shared" si="28"/>
        <v>3.1415926535897931</v>
      </c>
      <c r="E200" s="20">
        <f t="shared" si="29"/>
        <v>441786.46691106464</v>
      </c>
      <c r="F200" s="24">
        <f t="shared" si="30"/>
        <v>1</v>
      </c>
      <c r="G200" s="16">
        <f t="shared" si="31"/>
        <v>1.4633772056161843E-46</v>
      </c>
      <c r="H200" s="24">
        <f t="shared" si="32"/>
        <v>1.9511696074882456E-49</v>
      </c>
      <c r="I200" s="24" cm="1">
        <f t="array" ref="I200">_xlfn.LET(_xlpm.x,$B200,_xlpm.dep,$H$6:$H$29,_xlpm.e,IF(_xlpm.x&lt;=$C$5,$C$12*(_xlpm.x-_xlpm.dep)/_xlpm.x,$C$13*(_xlpm.x-_xlpm.dep)/(_xlpm.x-3*$C$5/7))/$C$14,_xlpm.s,(_xlpm.e&gt;=1)*1+(_xlpm.e&lt;=-1)*(-1)+(ABS(_xlpm.e)&lt;1)*_xlpm.e,AVERAGE(_xlpm.s))</f>
        <v>0.8397599630542758</v>
      </c>
      <c r="J200" s="24" cm="1">
        <f t="array" ref="J200">_xlfn.LET(_xlpm.x,$B200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3.9788043937057246E-2</v>
      </c>
      <c r="K200" s="24">
        <f t="shared" si="33"/>
        <v>-1.0005489149785367</v>
      </c>
      <c r="L200" s="24" t="str">
        <f t="shared" si="34"/>
        <v/>
      </c>
      <c r="M200" s="24">
        <f t="shared" si="35"/>
        <v>1000000000</v>
      </c>
    </row>
    <row r="201" spans="1:13" x14ac:dyDescent="0.3">
      <c r="A201" s="24">
        <f t="shared" si="36"/>
        <v>1.7300000000000013</v>
      </c>
      <c r="B201" s="20">
        <f t="shared" si="26"/>
        <v>1297.5000000000009</v>
      </c>
      <c r="C201" s="20">
        <f t="shared" si="27"/>
        <v>750</v>
      </c>
      <c r="D201" s="24">
        <f t="shared" si="28"/>
        <v>3.1415926535897931</v>
      </c>
      <c r="E201" s="20">
        <f t="shared" si="29"/>
        <v>441786.46691106464</v>
      </c>
      <c r="F201" s="24">
        <f t="shared" si="30"/>
        <v>1</v>
      </c>
      <c r="G201" s="16">
        <f t="shared" si="31"/>
        <v>1.4633772056161843E-46</v>
      </c>
      <c r="H201" s="24">
        <f t="shared" si="32"/>
        <v>1.9511696074882456E-49</v>
      </c>
      <c r="I201" s="24" cm="1">
        <f t="array" ref="I201">_xlfn.LET(_xlpm.x,$B201,_xlpm.dep,$H$6:$H$29,_xlpm.e,IF(_xlpm.x&lt;=$C$5,$C$12*(_xlpm.x-_xlpm.dep)/_xlpm.x,$C$13*(_xlpm.x-_xlpm.dep)/(_xlpm.x-3*$C$5/7))/$C$14,_xlpm.s,(_xlpm.e&gt;=1)*1+(_xlpm.e&lt;=-1)*(-1)+(ABS(_xlpm.e)&lt;1)*_xlpm.e,AVERAGE(_xlpm.s))</f>
        <v>0.84060703249293667</v>
      </c>
      <c r="J201" s="24" cm="1">
        <f t="array" ref="J201">_xlfn.LET(_xlpm.x,$B201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3.9549999971711561E-2</v>
      </c>
      <c r="K201" s="24">
        <f t="shared" si="33"/>
        <v>-0.99954067405857894</v>
      </c>
      <c r="L201" s="24" t="str">
        <f t="shared" si="34"/>
        <v/>
      </c>
      <c r="M201" s="24">
        <f t="shared" si="35"/>
        <v>1000000000</v>
      </c>
    </row>
    <row r="202" spans="1:13" x14ac:dyDescent="0.3">
      <c r="A202" s="24">
        <f t="shared" si="36"/>
        <v>1.7400000000000013</v>
      </c>
      <c r="B202" s="20">
        <f t="shared" si="26"/>
        <v>1305.0000000000009</v>
      </c>
      <c r="C202" s="20">
        <f t="shared" si="27"/>
        <v>750</v>
      </c>
      <c r="D202" s="24">
        <f t="shared" si="28"/>
        <v>3.1415926535897931</v>
      </c>
      <c r="E202" s="20">
        <f t="shared" si="29"/>
        <v>441786.46691106464</v>
      </c>
      <c r="F202" s="24">
        <f t="shared" si="30"/>
        <v>1</v>
      </c>
      <c r="G202" s="16">
        <f t="shared" si="31"/>
        <v>1.4633772056161843E-46</v>
      </c>
      <c r="H202" s="24">
        <f t="shared" si="32"/>
        <v>1.9511696074882456E-49</v>
      </c>
      <c r="I202" s="24" cm="1">
        <f t="array" ref="I202">_xlfn.LET(_xlpm.x,$B202,_xlpm.dep,$H$6:$H$29,_xlpm.e,IF(_xlpm.x&lt;=$C$5,$C$12*(_xlpm.x-_xlpm.dep)/_xlpm.x,$C$13*(_xlpm.x-_xlpm.dep)/(_xlpm.x-3*$C$5/7))/$C$14,_xlpm.s,(_xlpm.e&gt;=1)*1+(_xlpm.e&lt;=-1)*(-1)+(ABS(_xlpm.e)&lt;1)*_xlpm.e,AVERAGE(_xlpm.s))</f>
        <v>0.84144118366129117</v>
      </c>
      <c r="J202" s="24" cm="1">
        <f t="array" ref="J202">_xlfn.LET(_xlpm.x,$B202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3.9315586306491027E-2</v>
      </c>
      <c r="K202" s="24">
        <f t="shared" si="33"/>
        <v>-0.99854979313038872</v>
      </c>
      <c r="L202" s="24" t="str">
        <f t="shared" si="34"/>
        <v/>
      </c>
      <c r="M202" s="24">
        <f t="shared" si="35"/>
        <v>1000000000</v>
      </c>
    </row>
    <row r="203" spans="1:13" x14ac:dyDescent="0.3">
      <c r="A203" s="24">
        <f t="shared" si="36"/>
        <v>1.7500000000000013</v>
      </c>
      <c r="B203" s="20">
        <f t="shared" si="26"/>
        <v>1312.5000000000009</v>
      </c>
      <c r="C203" s="20">
        <f t="shared" si="27"/>
        <v>750</v>
      </c>
      <c r="D203" s="24">
        <f t="shared" si="28"/>
        <v>3.1415926535897931</v>
      </c>
      <c r="E203" s="20">
        <f t="shared" si="29"/>
        <v>441786.46691106464</v>
      </c>
      <c r="F203" s="24">
        <f t="shared" si="30"/>
        <v>1</v>
      </c>
      <c r="G203" s="16">
        <f t="shared" si="31"/>
        <v>1.4633772056161843E-46</v>
      </c>
      <c r="H203" s="24">
        <f t="shared" si="32"/>
        <v>1.9511696074882456E-49</v>
      </c>
      <c r="I203" s="24" cm="1">
        <f t="array" ref="I203">_xlfn.LET(_xlpm.x,$B203,_xlpm.dep,$H$6:$H$29,_xlpm.e,IF(_xlpm.x&lt;=$C$5,$C$12*(_xlpm.x-_xlpm.dep)/_xlpm.x,$C$13*(_xlpm.x-_xlpm.dep)/(_xlpm.x-3*$C$5/7))/$C$14,_xlpm.s,(_xlpm.e&gt;=1)*1+(_xlpm.e&lt;=-1)*(-1)+(ABS(_xlpm.e)&lt;1)*_xlpm.e,AVERAGE(_xlpm.s))</f>
        <v>0.84226270983898965</v>
      </c>
      <c r="J203" s="24" cm="1">
        <f t="array" ref="J203">_xlfn.LET(_xlpm.x,$B203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3.9084720523771099E-2</v>
      </c>
      <c r="K203" s="24">
        <f t="shared" si="33"/>
        <v>-0.99757582766188446</v>
      </c>
      <c r="L203" s="24" t="str">
        <f t="shared" si="34"/>
        <v/>
      </c>
      <c r="M203" s="24">
        <f t="shared" si="35"/>
        <v>1000000000</v>
      </c>
    </row>
    <row r="204" spans="1:13" x14ac:dyDescent="0.3">
      <c r="A204" s="24">
        <f t="shared" si="36"/>
        <v>1.7600000000000013</v>
      </c>
      <c r="B204" s="20">
        <f t="shared" si="26"/>
        <v>1320.0000000000009</v>
      </c>
      <c r="C204" s="20">
        <f t="shared" si="27"/>
        <v>750</v>
      </c>
      <c r="D204" s="24">
        <f t="shared" si="28"/>
        <v>3.1415926535897931</v>
      </c>
      <c r="E204" s="20">
        <f t="shared" si="29"/>
        <v>441786.46691106464</v>
      </c>
      <c r="F204" s="24">
        <f t="shared" si="30"/>
        <v>1</v>
      </c>
      <c r="G204" s="16">
        <f t="shared" si="31"/>
        <v>1.4633772056161843E-46</v>
      </c>
      <c r="H204" s="24">
        <f t="shared" si="32"/>
        <v>1.9511696074882456E-49</v>
      </c>
      <c r="I204" s="24" cm="1">
        <f t="array" ref="I204">_xlfn.LET(_xlpm.x,$B204,_xlpm.dep,$H$6:$H$29,_xlpm.e,IF(_xlpm.x&lt;=$C$5,$C$12*(_xlpm.x-_xlpm.dep)/_xlpm.x,$C$13*(_xlpm.x-_xlpm.dep)/(_xlpm.x-3*$C$5/7))/$C$14,_xlpm.s,(_xlpm.e&gt;=1)*1+(_xlpm.e&lt;=-1)*(-1)+(ABS(_xlpm.e)&lt;1)*_xlpm.e,AVERAGE(_xlpm.s))</f>
        <v>0.84304089883280742</v>
      </c>
      <c r="J204" s="24" cm="1">
        <f t="array" ref="J204">_xlfn.LET(_xlpm.x,$B204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3.885153663843903E-2</v>
      </c>
      <c r="K204" s="24">
        <f t="shared" si="33"/>
        <v>-0.99665499151898806</v>
      </c>
      <c r="L204" s="24" t="str">
        <f t="shared" si="34"/>
        <v/>
      </c>
      <c r="M204" s="24">
        <f t="shared" si="35"/>
        <v>1000000000</v>
      </c>
    </row>
    <row r="205" spans="1:13" x14ac:dyDescent="0.3">
      <c r="A205" s="24">
        <f t="shared" si="36"/>
        <v>1.7700000000000014</v>
      </c>
      <c r="B205" s="20">
        <f t="shared" si="26"/>
        <v>1327.5000000000009</v>
      </c>
      <c r="C205" s="20">
        <f t="shared" si="27"/>
        <v>750</v>
      </c>
      <c r="D205" s="24">
        <f t="shared" si="28"/>
        <v>3.1415926535897931</v>
      </c>
      <c r="E205" s="20">
        <f t="shared" si="29"/>
        <v>441786.46691106464</v>
      </c>
      <c r="F205" s="24">
        <f t="shared" si="30"/>
        <v>1</v>
      </c>
      <c r="G205" s="16">
        <f t="shared" si="31"/>
        <v>1.4633772056161843E-46</v>
      </c>
      <c r="H205" s="24">
        <f t="shared" si="32"/>
        <v>1.9511696074882456E-49</v>
      </c>
      <c r="I205" s="24" cm="1">
        <f t="array" ref="I205">_xlfn.LET(_xlpm.x,$B205,_xlpm.dep,$H$6:$H$29,_xlpm.e,IF(_xlpm.x&lt;=$C$5,$C$12*(_xlpm.x-_xlpm.dep)/_xlpm.x,$C$13*(_xlpm.x-_xlpm.dep)/(_xlpm.x-3*$C$5/7))/$C$14,_xlpm.s,(_xlpm.e&gt;=1)*1+(_xlpm.e&lt;=-1)*(-1)+(ABS(_xlpm.e)&lt;1)*_xlpm.e,AVERAGE(_xlpm.s))</f>
        <v>0.84378855276412112</v>
      </c>
      <c r="J205" s="24" cm="1">
        <f t="array" ref="J205">_xlfn.LET(_xlpm.x,$B205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3.8618295304625745E-2</v>
      </c>
      <c r="K205" s="24">
        <f t="shared" si="33"/>
        <v>-0.99577188754687129</v>
      </c>
      <c r="L205" s="24" t="str">
        <f t="shared" si="34"/>
        <v/>
      </c>
      <c r="M205" s="24">
        <f t="shared" si="35"/>
        <v>1000000000</v>
      </c>
    </row>
    <row r="206" spans="1:13" x14ac:dyDescent="0.3">
      <c r="A206" s="24">
        <f t="shared" si="36"/>
        <v>1.7800000000000014</v>
      </c>
      <c r="B206" s="20">
        <f t="shared" si="26"/>
        <v>1335.0000000000009</v>
      </c>
      <c r="C206" s="20">
        <f t="shared" si="27"/>
        <v>750</v>
      </c>
      <c r="D206" s="24">
        <f t="shared" si="28"/>
        <v>3.1415926535897931</v>
      </c>
      <c r="E206" s="20">
        <f t="shared" si="29"/>
        <v>441786.46691106464</v>
      </c>
      <c r="F206" s="24">
        <f t="shared" si="30"/>
        <v>1</v>
      </c>
      <c r="G206" s="16">
        <f t="shared" si="31"/>
        <v>1.4633772056161843E-46</v>
      </c>
      <c r="H206" s="24">
        <f t="shared" si="32"/>
        <v>1.9511696074882456E-49</v>
      </c>
      <c r="I206" s="24" cm="1">
        <f t="array" ref="I206">_xlfn.LET(_xlpm.x,$B206,_xlpm.dep,$H$6:$H$29,_xlpm.e,IF(_xlpm.x&lt;=$C$5,$C$12*(_xlpm.x-_xlpm.dep)/_xlpm.x,$C$13*(_xlpm.x-_xlpm.dep)/(_xlpm.x-3*$C$5/7))/$C$14,_xlpm.s,(_xlpm.e&gt;=1)*1+(_xlpm.e&lt;=-1)*(-1)+(ABS(_xlpm.e)&lt;1)*_xlpm.e,AVERAGE(_xlpm.s))</f>
        <v>0.84452514204951701</v>
      </c>
      <c r="J206" s="24" cm="1">
        <f t="array" ref="J206">_xlfn.LET(_xlpm.x,$B206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3.8388505745308638E-2</v>
      </c>
      <c r="K206" s="24">
        <f t="shared" si="33"/>
        <v>-0.99490338184284288</v>
      </c>
      <c r="L206" s="24" t="str">
        <f t="shared" si="34"/>
        <v/>
      </c>
      <c r="M206" s="24">
        <f t="shared" si="35"/>
        <v>1000000000</v>
      </c>
    </row>
    <row r="207" spans="1:13" x14ac:dyDescent="0.3">
      <c r="A207" s="24">
        <f t="shared" si="36"/>
        <v>1.7900000000000014</v>
      </c>
      <c r="B207" s="20">
        <f t="shared" si="26"/>
        <v>1342.5000000000011</v>
      </c>
      <c r="C207" s="20">
        <f t="shared" si="27"/>
        <v>750</v>
      </c>
      <c r="D207" s="24">
        <f t="shared" si="28"/>
        <v>3.1415926535897931</v>
      </c>
      <c r="E207" s="20">
        <f t="shared" si="29"/>
        <v>441786.46691106464</v>
      </c>
      <c r="F207" s="24">
        <f t="shared" si="30"/>
        <v>1</v>
      </c>
      <c r="G207" s="16">
        <f t="shared" si="31"/>
        <v>1.4633772056161843E-46</v>
      </c>
      <c r="H207" s="24">
        <f t="shared" si="32"/>
        <v>1.9511696074882456E-49</v>
      </c>
      <c r="I207" s="24" cm="1">
        <f t="array" ref="I207">_xlfn.LET(_xlpm.x,$B207,_xlpm.dep,$H$6:$H$29,_xlpm.e,IF(_xlpm.x&lt;=$C$5,$C$12*(_xlpm.x-_xlpm.dep)/_xlpm.x,$C$13*(_xlpm.x-_xlpm.dep)/(_xlpm.x-3*$C$5/7))/$C$14,_xlpm.s,(_xlpm.e&gt;=1)*1+(_xlpm.e&lt;=-1)*(-1)+(ABS(_xlpm.e)&lt;1)*_xlpm.e,AVERAGE(_xlpm.s))</f>
        <v>0.84525091050595635</v>
      </c>
      <c r="J207" s="24" cm="1">
        <f t="array" ref="J207">_xlfn.LET(_xlpm.x,$B207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3.8162091898300471E-2</v>
      </c>
      <c r="K207" s="24">
        <f t="shared" si="33"/>
        <v>-0.99404911539631025</v>
      </c>
      <c r="L207" s="24" t="str">
        <f t="shared" si="34"/>
        <v/>
      </c>
      <c r="M207" s="24">
        <f t="shared" si="35"/>
        <v>1000000000</v>
      </c>
    </row>
    <row r="208" spans="1:13" x14ac:dyDescent="0.3">
      <c r="A208" s="24">
        <f t="shared" si="36"/>
        <v>1.8000000000000014</v>
      </c>
      <c r="B208" s="20">
        <f t="shared" si="26"/>
        <v>1350.0000000000011</v>
      </c>
      <c r="C208" s="20">
        <f t="shared" si="27"/>
        <v>750</v>
      </c>
      <c r="D208" s="24">
        <f t="shared" si="28"/>
        <v>3.1415926535897931</v>
      </c>
      <c r="E208" s="20">
        <f t="shared" si="29"/>
        <v>441786.46691106464</v>
      </c>
      <c r="F208" s="24">
        <f t="shared" si="30"/>
        <v>1</v>
      </c>
      <c r="G208" s="16">
        <f t="shared" si="31"/>
        <v>1.4633772056161843E-46</v>
      </c>
      <c r="H208" s="24">
        <f t="shared" si="32"/>
        <v>1.9511696074882456E-49</v>
      </c>
      <c r="I208" s="24" cm="1">
        <f t="array" ref="I208">_xlfn.LET(_xlpm.x,$B208,_xlpm.dep,$H$6:$H$29,_xlpm.e,IF(_xlpm.x&lt;=$C$5,$C$12*(_xlpm.x-_xlpm.dep)/_xlpm.x,$C$13*(_xlpm.x-_xlpm.dep)/(_xlpm.x-3*$C$5/7))/$C$14,_xlpm.s,(_xlpm.e&gt;=1)*1+(_xlpm.e&lt;=-1)*(-1)+(ABS(_xlpm.e)&lt;1)*_xlpm.e,AVERAGE(_xlpm.s))</f>
        <v>0.84596609483907248</v>
      </c>
      <c r="J208" s="24" cm="1">
        <f t="array" ref="J208">_xlfn.LET(_xlpm.x,$B208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3.793897991989454E-2</v>
      </c>
      <c r="K208" s="24">
        <f t="shared" si="33"/>
        <v>-0.99320874087300903</v>
      </c>
      <c r="L208" s="24" t="str">
        <f t="shared" si="34"/>
        <v/>
      </c>
      <c r="M208" s="24">
        <f t="shared" si="35"/>
        <v>1000000000</v>
      </c>
    </row>
    <row r="209" spans="1:13" x14ac:dyDescent="0.3">
      <c r="A209" s="24">
        <f t="shared" si="36"/>
        <v>1.8100000000000014</v>
      </c>
      <c r="B209" s="20">
        <f t="shared" si="26"/>
        <v>1357.5000000000011</v>
      </c>
      <c r="C209" s="20">
        <f t="shared" si="27"/>
        <v>750</v>
      </c>
      <c r="D209" s="24">
        <f t="shared" si="28"/>
        <v>3.1415926535897931</v>
      </c>
      <c r="E209" s="20">
        <f t="shared" si="29"/>
        <v>441786.46691106464</v>
      </c>
      <c r="F209" s="24">
        <f t="shared" si="30"/>
        <v>1</v>
      </c>
      <c r="G209" s="16">
        <f t="shared" si="31"/>
        <v>1.4633772056161843E-46</v>
      </c>
      <c r="H209" s="24">
        <f t="shared" si="32"/>
        <v>1.9511696074882456E-49</v>
      </c>
      <c r="I209" s="24" cm="1">
        <f t="array" ref="I209">_xlfn.LET(_xlpm.x,$B209,_xlpm.dep,$H$6:$H$29,_xlpm.e,IF(_xlpm.x&lt;=$C$5,$C$12*(_xlpm.x-_xlpm.dep)/_xlpm.x,$C$13*(_xlpm.x-_xlpm.dep)/(_xlpm.x-3*$C$5/7))/$C$14,_xlpm.s,(_xlpm.e&gt;=1)*1+(_xlpm.e&lt;=-1)*(-1)+(ABS(_xlpm.e)&lt;1)*_xlpm.e,AVERAGE(_xlpm.s))</f>
        <v>0.84667092490056162</v>
      </c>
      <c r="J209" s="24" cm="1">
        <f t="array" ref="J209">_xlfn.LET(_xlpm.x,$B209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3.7719098104567896E-2</v>
      </c>
      <c r="K209" s="24">
        <f t="shared" si="33"/>
        <v>-0.99238192214413479</v>
      </c>
      <c r="L209" s="24" t="str">
        <f t="shared" si="34"/>
        <v/>
      </c>
      <c r="M209" s="24">
        <f t="shared" si="35"/>
        <v>1000000000</v>
      </c>
    </row>
    <row r="210" spans="1:13" x14ac:dyDescent="0.3">
      <c r="A210" s="24">
        <f t="shared" si="36"/>
        <v>1.8200000000000014</v>
      </c>
      <c r="B210" s="20">
        <f t="shared" si="26"/>
        <v>1365.0000000000011</v>
      </c>
      <c r="C210" s="20">
        <f t="shared" si="27"/>
        <v>750</v>
      </c>
      <c r="D210" s="24">
        <f t="shared" si="28"/>
        <v>3.1415926535897931</v>
      </c>
      <c r="E210" s="20">
        <f t="shared" si="29"/>
        <v>441786.46691106464</v>
      </c>
      <c r="F210" s="24">
        <f t="shared" si="30"/>
        <v>1</v>
      </c>
      <c r="G210" s="16">
        <f t="shared" si="31"/>
        <v>1.4633772056161843E-46</v>
      </c>
      <c r="H210" s="24">
        <f t="shared" si="32"/>
        <v>1.9511696074882456E-49</v>
      </c>
      <c r="I210" s="24" cm="1">
        <f t="array" ref="I210">_xlfn.LET(_xlpm.x,$B210,_xlpm.dep,$H$6:$H$29,_xlpm.e,IF(_xlpm.x&lt;=$C$5,$C$12*(_xlpm.x-_xlpm.dep)/_xlpm.x,$C$13*(_xlpm.x-_xlpm.dep)/(_xlpm.x-3*$C$5/7))/$C$14,_xlpm.s,(_xlpm.e&gt;=1)*1+(_xlpm.e&lt;=-1)*(-1)+(ABS(_xlpm.e)&lt;1)*_xlpm.e,AVERAGE(_xlpm.s))</f>
        <v>0.84736562393447257</v>
      </c>
      <c r="J210" s="24" cm="1">
        <f t="array" ref="J210">_xlfn.LET(_xlpm.x,$B210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3.7502376808147372E-2</v>
      </c>
      <c r="K210" s="24">
        <f t="shared" si="33"/>
        <v>-0.99156833383808196</v>
      </c>
      <c r="L210" s="24" t="str">
        <f t="shared" si="34"/>
        <v/>
      </c>
      <c r="M210" s="24">
        <f t="shared" si="35"/>
        <v>1000000000</v>
      </c>
    </row>
    <row r="211" spans="1:13" x14ac:dyDescent="0.3">
      <c r="A211" s="24">
        <f t="shared" si="36"/>
        <v>1.8300000000000014</v>
      </c>
      <c r="B211" s="20">
        <f t="shared" si="26"/>
        <v>1372.5000000000011</v>
      </c>
      <c r="C211" s="20">
        <f t="shared" si="27"/>
        <v>750</v>
      </c>
      <c r="D211" s="24">
        <f t="shared" si="28"/>
        <v>3.1415926535897931</v>
      </c>
      <c r="E211" s="20">
        <f t="shared" si="29"/>
        <v>441786.46691106464</v>
      </c>
      <c r="F211" s="24">
        <f t="shared" si="30"/>
        <v>1</v>
      </c>
      <c r="G211" s="16">
        <f t="shared" si="31"/>
        <v>1.4633772056161843E-46</v>
      </c>
      <c r="H211" s="24">
        <f t="shared" si="32"/>
        <v>1.9511696074882456E-49</v>
      </c>
      <c r="I211" s="24" cm="1">
        <f t="array" ref="I211">_xlfn.LET(_xlpm.x,$B211,_xlpm.dep,$H$6:$H$29,_xlpm.e,IF(_xlpm.x&lt;=$C$5,$C$12*(_xlpm.x-_xlpm.dep)/_xlpm.x,$C$13*(_xlpm.x-_xlpm.dep)/(_xlpm.x-3*$C$5/7))/$C$14,_xlpm.s,(_xlpm.e&gt;=1)*1+(_xlpm.e&lt;=-1)*(-1)+(ABS(_xlpm.e)&lt;1)*_xlpm.e,AVERAGE(_xlpm.s))</f>
        <v>0.84805040881295568</v>
      </c>
      <c r="J211" s="24" cm="1">
        <f t="array" ref="J211">_xlfn.LET(_xlpm.x,$B211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3.7288748374264991E-2</v>
      </c>
      <c r="K211" s="24">
        <f t="shared" si="33"/>
        <v>-0.99076766091352619</v>
      </c>
      <c r="L211" s="24" t="str">
        <f t="shared" si="34"/>
        <v/>
      </c>
      <c r="M211" s="24">
        <f t="shared" si="35"/>
        <v>1000000000</v>
      </c>
    </row>
    <row r="212" spans="1:13" x14ac:dyDescent="0.3">
      <c r="A212" s="24">
        <f t="shared" si="36"/>
        <v>1.8400000000000014</v>
      </c>
      <c r="B212" s="20">
        <f t="shared" si="26"/>
        <v>1380.0000000000011</v>
      </c>
      <c r="C212" s="20">
        <f t="shared" si="27"/>
        <v>750</v>
      </c>
      <c r="D212" s="24">
        <f t="shared" si="28"/>
        <v>3.1415926535897931</v>
      </c>
      <c r="E212" s="20">
        <f t="shared" si="29"/>
        <v>441786.46691106464</v>
      </c>
      <c r="F212" s="24">
        <f t="shared" si="30"/>
        <v>1</v>
      </c>
      <c r="G212" s="16">
        <f t="shared" si="31"/>
        <v>1.4633772056161843E-46</v>
      </c>
      <c r="H212" s="24">
        <f t="shared" si="32"/>
        <v>1.9511696074882456E-49</v>
      </c>
      <c r="I212" s="24" cm="1">
        <f t="array" ref="I212">_xlfn.LET(_xlpm.x,$B212,_xlpm.dep,$H$6:$H$29,_xlpm.e,IF(_xlpm.x&lt;=$C$5,$C$12*(_xlpm.x-_xlpm.dep)/_xlpm.x,$C$13*(_xlpm.x-_xlpm.dep)/(_xlpm.x-3*$C$5/7))/$C$14,_xlpm.s,(_xlpm.e&gt;=1)*1+(_xlpm.e&lt;=-1)*(-1)+(ABS(_xlpm.e)&lt;1)*_xlpm.e,AVERAGE(_xlpm.s))</f>
        <v>0.84872549026198707</v>
      </c>
      <c r="J212" s="24" cm="1">
        <f t="array" ref="J212">_xlfn.LET(_xlpm.x,$B212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3.7078147063939623E-2</v>
      </c>
      <c r="K212" s="24">
        <f t="shared" si="33"/>
        <v>-0.989979598252681</v>
      </c>
      <c r="L212" s="24" t="str">
        <f t="shared" si="34"/>
        <v/>
      </c>
      <c r="M212" s="24">
        <f t="shared" si="35"/>
        <v>1000000000</v>
      </c>
    </row>
  </sheetData>
  <mergeCells count="1">
    <mergeCell ref="A2:M2"/>
  </mergeCells>
  <conditionalFormatting sqref="C27">
    <cfRule type="containsText" dxfId="169" priority="1" operator="containsText" text="FUERA DE DOMINIO">
      <formula>NOT(ISERROR(SEARCH("FUERA DE DOMINIO",C27)))</formula>
    </cfRule>
    <cfRule type="containsText" dxfId="168" priority="2" operator="containsText" text="OK">
      <formula>NOT(ISERROR(SEARCH("OK",C27)))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C164-E360-4E40-ACF3-3CAF09E3B459}">
  <sheetPr>
    <tabColor rgb="FFC00000"/>
  </sheetPr>
  <dimension ref="A1:M212"/>
  <sheetViews>
    <sheetView workbookViewId="0">
      <selection activeCell="C11" sqref="C11"/>
    </sheetView>
  </sheetViews>
  <sheetFormatPr defaultRowHeight="14.4" x14ac:dyDescent="0.3"/>
  <cols>
    <col min="1" max="1" width="53.33203125" customWidth="1"/>
    <col min="2" max="2" width="15.33203125" customWidth="1"/>
    <col min="3" max="3" width="18.109375" customWidth="1"/>
    <col min="4" max="4" width="10.44140625" customWidth="1"/>
    <col min="5" max="5" width="6.6640625" customWidth="1"/>
    <col min="6" max="9" width="14.33203125" customWidth="1"/>
    <col min="10" max="10" width="3.88671875" customWidth="1"/>
    <col min="11" max="11" width="34.33203125" customWidth="1"/>
    <col min="12" max="13" width="17.109375" customWidth="1"/>
  </cols>
  <sheetData>
    <row r="1" spans="1:13" ht="17.399999999999999" x14ac:dyDescent="0.35">
      <c r="A1" s="35" t="s">
        <v>1247</v>
      </c>
    </row>
    <row r="2" spans="1:13" ht="42" customHeight="1" x14ac:dyDescent="0.3">
      <c r="A2" s="78" t="s">
        <v>1248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4" spans="1:13" x14ac:dyDescent="0.3">
      <c r="A4" s="4" t="s">
        <v>1212</v>
      </c>
      <c r="B4" s="4"/>
      <c r="C4" s="4"/>
      <c r="D4" s="4"/>
      <c r="F4" s="4" t="s">
        <v>180</v>
      </c>
      <c r="G4" s="4"/>
      <c r="H4" s="4"/>
      <c r="I4" s="4"/>
    </row>
    <row r="5" spans="1:13" x14ac:dyDescent="0.3">
      <c r="A5" t="s">
        <v>168</v>
      </c>
      <c r="B5" t="s">
        <v>169</v>
      </c>
      <c r="C5" s="37">
        <f>Pilote_2025!C9</f>
        <v>750</v>
      </c>
      <c r="D5" t="s">
        <v>21</v>
      </c>
      <c r="F5" s="5" t="s">
        <v>113</v>
      </c>
      <c r="G5" s="5" t="s">
        <v>181</v>
      </c>
      <c r="H5" s="5" t="s">
        <v>182</v>
      </c>
      <c r="I5" s="5" t="s">
        <v>183</v>
      </c>
    </row>
    <row r="6" spans="1:13" x14ac:dyDescent="0.3">
      <c r="A6" t="s">
        <v>170</v>
      </c>
      <c r="B6" t="s">
        <v>95</v>
      </c>
      <c r="C6" s="37">
        <f>Pilote_2025!C36</f>
        <v>95</v>
      </c>
      <c r="D6" t="s">
        <v>21</v>
      </c>
      <c r="F6">
        <v>1</v>
      </c>
      <c r="G6" s="16">
        <f>(F6-1)*360/$C$17</f>
        <v>0</v>
      </c>
      <c r="H6" s="16">
        <f>$C$7-$C$8*COS(RADIANS(G6))</f>
        <v>95</v>
      </c>
      <c r="I6" s="16">
        <f>$C$7-H6</f>
        <v>280</v>
      </c>
    </row>
    <row r="7" spans="1:13" x14ac:dyDescent="0.3">
      <c r="A7" t="s">
        <v>89</v>
      </c>
      <c r="B7" t="s">
        <v>90</v>
      </c>
      <c r="C7" s="37">
        <f>C5/2</f>
        <v>375</v>
      </c>
      <c r="D7" t="s">
        <v>21</v>
      </c>
      <c r="F7">
        <f>F6+1</f>
        <v>2</v>
      </c>
      <c r="G7" s="16">
        <f>(F7-1)*360/$C$17</f>
        <v>15</v>
      </c>
      <c r="H7" s="16">
        <f>$C$7-$C$8*COS(RADIANS(G7))</f>
        <v>104.5407686390609</v>
      </c>
      <c r="I7" s="16">
        <f>$C$7-H7</f>
        <v>270.4592313609391</v>
      </c>
    </row>
    <row r="8" spans="1:13" x14ac:dyDescent="0.3">
      <c r="A8" t="s">
        <v>171</v>
      </c>
      <c r="B8" t="s">
        <v>98</v>
      </c>
      <c r="C8" s="37">
        <f>C7-C6</f>
        <v>280</v>
      </c>
      <c r="D8" t="s">
        <v>21</v>
      </c>
      <c r="F8">
        <f>F7+1</f>
        <v>3</v>
      </c>
      <c r="G8" s="16">
        <f>(F8-1)*360/$C$17</f>
        <v>30</v>
      </c>
      <c r="H8" s="16">
        <f>$C$7-$C$8*COS(RADIANS(G8))</f>
        <v>132.51288694035716</v>
      </c>
      <c r="I8" s="16">
        <f>$C$7-H8</f>
        <v>242.48711305964284</v>
      </c>
    </row>
    <row r="9" spans="1:13" x14ac:dyDescent="0.3">
      <c r="A9" t="s">
        <v>91</v>
      </c>
      <c r="B9" t="s">
        <v>92</v>
      </c>
      <c r="C9" s="37">
        <f>Pilote_2025!C35</f>
        <v>441786.46691106464</v>
      </c>
      <c r="D9" t="s">
        <v>93</v>
      </c>
      <c r="F9">
        <f>F8+1</f>
        <v>4</v>
      </c>
      <c r="G9" s="16">
        <f>(F9-1)*360/$C$17</f>
        <v>45</v>
      </c>
      <c r="H9" s="16">
        <f>$C$7-$C$8*COS(RADIANS(G9))</f>
        <v>177.01010126776669</v>
      </c>
      <c r="I9" s="16">
        <f>$C$7-H9</f>
        <v>197.98989873223331</v>
      </c>
    </row>
    <row r="10" spans="1:13" x14ac:dyDescent="0.3">
      <c r="A10" t="s">
        <v>172</v>
      </c>
      <c r="B10" t="s">
        <v>64</v>
      </c>
      <c r="C10" s="37">
        <f>Pilote_2025!C24</f>
        <v>16.666666666666668</v>
      </c>
      <c r="D10" t="s">
        <v>43</v>
      </c>
      <c r="F10">
        <f>F9+1</f>
        <v>5</v>
      </c>
      <c r="G10" s="16">
        <f>(F10-1)*360/$C$17</f>
        <v>60</v>
      </c>
      <c r="H10" s="16">
        <f>$C$7-$C$8*COS(RADIANS(G10))</f>
        <v>234.99999999999997</v>
      </c>
      <c r="I10" s="16">
        <f>$C$7-H10</f>
        <v>140.00000000000003</v>
      </c>
    </row>
    <row r="11" spans="1:13" x14ac:dyDescent="0.3">
      <c r="A11" t="s">
        <v>173</v>
      </c>
      <c r="B11" t="s">
        <v>70</v>
      </c>
      <c r="C11" s="37">
        <f>Pilote_2025!C26</f>
        <v>434.78260869565219</v>
      </c>
      <c r="D11" t="s">
        <v>43</v>
      </c>
      <c r="F11">
        <f>F10+1</f>
        <v>6</v>
      </c>
      <c r="G11" s="16">
        <f>(F11-1)*360/$C$17</f>
        <v>75</v>
      </c>
      <c r="H11" s="16">
        <f>$C$7-$C$8*COS(RADIANS(G11))</f>
        <v>302.53066737129416</v>
      </c>
      <c r="I11" s="16">
        <f>$C$7-H11</f>
        <v>72.469332628705843</v>
      </c>
    </row>
    <row r="12" spans="1:13" x14ac:dyDescent="0.3">
      <c r="A12" t="s">
        <v>174</v>
      </c>
      <c r="B12" t="s">
        <v>79</v>
      </c>
      <c r="C12" s="38">
        <f>Pilote_2025!C29/1000</f>
        <v>3.5000000000000001E-3</v>
      </c>
      <c r="D12" t="s">
        <v>28</v>
      </c>
      <c r="F12">
        <f>F11+1</f>
        <v>7</v>
      </c>
      <c r="G12" s="16">
        <f>(F12-1)*360/$C$17</f>
        <v>90</v>
      </c>
      <c r="H12" s="16">
        <f>$C$7-$C$8*COS(RADIANS(G12))</f>
        <v>375</v>
      </c>
      <c r="I12" s="16">
        <f>$C$7-H12</f>
        <v>0</v>
      </c>
    </row>
    <row r="13" spans="1:13" x14ac:dyDescent="0.3">
      <c r="A13" t="s">
        <v>175</v>
      </c>
      <c r="B13" t="s">
        <v>83</v>
      </c>
      <c r="C13" s="38">
        <f>Pilote_2025!C30/1000</f>
        <v>2E-3</v>
      </c>
      <c r="D13" t="s">
        <v>28</v>
      </c>
      <c r="F13">
        <f>F12+1</f>
        <v>8</v>
      </c>
      <c r="G13" s="16">
        <f>(F13-1)*360/$C$17</f>
        <v>105</v>
      </c>
      <c r="H13" s="16">
        <f>$C$7-$C$8*COS(RADIANS(G13))</f>
        <v>447.46933262870584</v>
      </c>
      <c r="I13" s="16">
        <f>$C$7-H13</f>
        <v>-72.469332628705843</v>
      </c>
    </row>
    <row r="14" spans="1:13" x14ac:dyDescent="0.3">
      <c r="A14" t="s">
        <v>75</v>
      </c>
      <c r="B14" t="s">
        <v>76</v>
      </c>
      <c r="C14" s="38">
        <f>Pilote_2025!C28</f>
        <v>2.1739130434782609E-3</v>
      </c>
      <c r="D14" t="s">
        <v>28</v>
      </c>
      <c r="F14">
        <f>F13+1</f>
        <v>9</v>
      </c>
      <c r="G14" s="16">
        <f>(F14-1)*360/$C$17</f>
        <v>120</v>
      </c>
      <c r="H14" s="16">
        <f>$C$7-$C$8*COS(RADIANS(G14))</f>
        <v>515</v>
      </c>
      <c r="I14" s="16">
        <f>$C$7-H14</f>
        <v>-140</v>
      </c>
    </row>
    <row r="15" spans="1:13" x14ac:dyDescent="0.3">
      <c r="A15" t="s">
        <v>176</v>
      </c>
      <c r="B15" t="s">
        <v>158</v>
      </c>
      <c r="C15" s="25">
        <f>Pilote_2025!C59</f>
        <v>0.13581221810508404</v>
      </c>
      <c r="D15" t="s">
        <v>28</v>
      </c>
      <c r="F15">
        <f>F14+1</f>
        <v>10</v>
      </c>
      <c r="G15" s="16">
        <f>(F15-1)*360/$C$17</f>
        <v>135</v>
      </c>
      <c r="H15" s="16">
        <f>$C$7-$C$8*COS(RADIANS(G15))</f>
        <v>572.98989873223331</v>
      </c>
      <c r="I15" s="16">
        <f>$C$7-H15</f>
        <v>-197.98989873223331</v>
      </c>
    </row>
    <row r="16" spans="1:13" x14ac:dyDescent="0.3">
      <c r="A16" t="s">
        <v>177</v>
      </c>
      <c r="B16" t="s">
        <v>162</v>
      </c>
      <c r="C16" s="25">
        <f>Pilote_2025!C60</f>
        <v>5.5683009423084448E-2</v>
      </c>
      <c r="D16" t="s">
        <v>28</v>
      </c>
      <c r="F16">
        <f>F15+1</f>
        <v>11</v>
      </c>
      <c r="G16" s="16">
        <f>(F16-1)*360/$C$17</f>
        <v>150</v>
      </c>
      <c r="H16" s="16">
        <f>$C$7-$C$8*COS(RADIANS(G16))</f>
        <v>617.48711305964287</v>
      </c>
      <c r="I16" s="16">
        <f>$C$7-H16</f>
        <v>-242.48711305964287</v>
      </c>
    </row>
    <row r="17" spans="1:13" x14ac:dyDescent="0.3">
      <c r="A17" t="s">
        <v>178</v>
      </c>
      <c r="B17" t="s">
        <v>179</v>
      </c>
      <c r="C17" s="6">
        <v>24</v>
      </c>
      <c r="D17" t="s">
        <v>28</v>
      </c>
      <c r="F17">
        <f>F16+1</f>
        <v>12</v>
      </c>
      <c r="G17" s="16">
        <f>(F17-1)*360/$C$17</f>
        <v>165</v>
      </c>
      <c r="H17" s="16">
        <f>$C$7-$C$8*COS(RADIANS(G17))</f>
        <v>645.45923136093916</v>
      </c>
      <c r="I17" s="16">
        <f>$C$7-H17</f>
        <v>-270.45923136093916</v>
      </c>
    </row>
    <row r="18" spans="1:13" x14ac:dyDescent="0.3">
      <c r="F18">
        <f>F17+1</f>
        <v>13</v>
      </c>
      <c r="G18" s="16">
        <f>(F18-1)*360/$C$17</f>
        <v>180</v>
      </c>
      <c r="H18" s="16">
        <f>$C$7-$C$8*COS(RADIANS(G18))</f>
        <v>655</v>
      </c>
      <c r="I18" s="16">
        <f>$C$7-H18</f>
        <v>-280</v>
      </c>
      <c r="K18" t="s">
        <v>209</v>
      </c>
    </row>
    <row r="19" spans="1:13" x14ac:dyDescent="0.3">
      <c r="A19" s="4" t="s">
        <v>198</v>
      </c>
      <c r="B19" s="4"/>
      <c r="C19" s="4"/>
      <c r="D19" s="4"/>
      <c r="F19">
        <f>F18+1</f>
        <v>14</v>
      </c>
      <c r="G19" s="16">
        <f>(F19-1)*360/$C$17</f>
        <v>195</v>
      </c>
      <c r="H19" s="16">
        <f>$C$7-$C$8*COS(RADIANS(G19))</f>
        <v>645.45923136093916</v>
      </c>
      <c r="I19" s="16">
        <f>$C$7-H19</f>
        <v>-270.45923136093916</v>
      </c>
      <c r="K19" t="s">
        <v>210</v>
      </c>
      <c r="L19" s="24" cm="1">
        <f t="array" ref="L19">INDEX($L$33:$L$212,$C$21)</f>
        <v>5.625331554784218E-2</v>
      </c>
    </row>
    <row r="20" spans="1:13" x14ac:dyDescent="0.3">
      <c r="A20" t="s">
        <v>199</v>
      </c>
      <c r="C20" s="18">
        <f>MIN(M33:M212)</f>
        <v>5.7030612475773151E-4</v>
      </c>
      <c r="F20">
        <f>F19+1</f>
        <v>15</v>
      </c>
      <c r="G20" s="16">
        <f>(F20-1)*360/$C$17</f>
        <v>210</v>
      </c>
      <c r="H20" s="16">
        <f>$C$7-$C$8*COS(RADIANS(G20))</f>
        <v>617.48711305964275</v>
      </c>
      <c r="I20" s="16">
        <f>$C$7-H20</f>
        <v>-242.48711305964275</v>
      </c>
      <c r="K20" t="s">
        <v>211</v>
      </c>
      <c r="L20" s="24" cm="1">
        <f t="array" ref="L20">INDEX($K$33:$K$212,$C$21)</f>
        <v>1.2660129266142338E-2</v>
      </c>
    </row>
    <row r="21" spans="1:13" x14ac:dyDescent="0.3">
      <c r="A21" t="s">
        <v>200</v>
      </c>
      <c r="C21">
        <f>MATCH(C20,M33:M212,0)</f>
        <v>21</v>
      </c>
      <c r="F21">
        <f>F20+1</f>
        <v>16</v>
      </c>
      <c r="G21" s="16">
        <f>(F21-1)*360/$C$17</f>
        <v>225</v>
      </c>
      <c r="H21" s="16">
        <f>$C$7-$C$8*COS(RADIANS(G21))</f>
        <v>572.98989873223331</v>
      </c>
      <c r="I21" s="16">
        <f>$C$7-H21</f>
        <v>-197.98989873223331</v>
      </c>
      <c r="K21" t="s">
        <v>212</v>
      </c>
      <c r="L21" s="24" cm="1">
        <f t="array" ref="L21">IF((L19-$C$16)*(IFERROR(INDEX($L$33:$L$212,$C$21+1),L19)-$C$16)&lt;0,$C$21+1,MAX(1,$C$21-1))</f>
        <v>20</v>
      </c>
    </row>
    <row r="22" spans="1:13" x14ac:dyDescent="0.3">
      <c r="A22" t="s">
        <v>201</v>
      </c>
      <c r="B22" t="s">
        <v>185</v>
      </c>
      <c r="C22" s="21" cm="1">
        <f t="array" ref="C22">INDEX(A33:A212,C21)</f>
        <v>0.25000000000000006</v>
      </c>
      <c r="F22">
        <f>F21+1</f>
        <v>17</v>
      </c>
      <c r="G22" s="16">
        <f>(F22-1)*360/$C$17</f>
        <v>240</v>
      </c>
      <c r="H22" s="16">
        <f>$C$7-$C$8*COS(RADIANS(G22))</f>
        <v>515.00000000000011</v>
      </c>
      <c r="I22" s="16">
        <f>$C$7-H22</f>
        <v>-140.00000000000011</v>
      </c>
      <c r="K22" t="s">
        <v>213</v>
      </c>
      <c r="L22" s="24" t="str" cm="1">
        <f t="array" ref="L22">INDEX($L$33:$L$212,L21)</f>
        <v/>
      </c>
    </row>
    <row r="23" spans="1:13" x14ac:dyDescent="0.3">
      <c r="A23" t="s">
        <v>202</v>
      </c>
      <c r="B23" t="s">
        <v>203</v>
      </c>
      <c r="C23" s="20">
        <f>C22*C5</f>
        <v>187.50000000000003</v>
      </c>
      <c r="D23" t="s">
        <v>21</v>
      </c>
      <c r="F23">
        <f>F22+1</f>
        <v>18</v>
      </c>
      <c r="G23" s="16">
        <f>(F23-1)*360/$C$17</f>
        <v>255</v>
      </c>
      <c r="H23" s="16">
        <f>$C$7-$C$8*COS(RADIANS(G23))</f>
        <v>447.46933262870579</v>
      </c>
      <c r="I23" s="16">
        <f>$C$7-H23</f>
        <v>-72.469332628705786</v>
      </c>
      <c r="K23" t="s">
        <v>214</v>
      </c>
      <c r="L23" s="24" cm="1">
        <f t="array" ref="L23">INDEX($K$33:$K$212,L21)</f>
        <v>-2.8133830215499121E-3</v>
      </c>
    </row>
    <row r="24" spans="1:13" x14ac:dyDescent="0.3">
      <c r="A24" t="s">
        <v>204</v>
      </c>
      <c r="B24" t="s">
        <v>196</v>
      </c>
      <c r="C24" s="24" cm="1">
        <f t="array" ref="C24">INDEX(L33:L212,C21)</f>
        <v>5.625331554784218E-2</v>
      </c>
      <c r="F24">
        <f>F23+1</f>
        <v>19</v>
      </c>
      <c r="G24" s="16">
        <f>(F24-1)*360/$C$17</f>
        <v>270</v>
      </c>
      <c r="H24" s="16">
        <f>$C$7-$C$8*COS(RADIANS(G24))</f>
        <v>375.00000000000006</v>
      </c>
      <c r="I24" s="16">
        <f>$C$7-H24</f>
        <v>0</v>
      </c>
      <c r="K24" t="s">
        <v>215</v>
      </c>
      <c r="L24" s="24">
        <f>MIN($L$33:$L$212)</f>
        <v>5.625331554784218E-2</v>
      </c>
    </row>
    <row r="25" spans="1:13" x14ac:dyDescent="0.3">
      <c r="A25" t="s">
        <v>205</v>
      </c>
      <c r="B25" t="s">
        <v>206</v>
      </c>
      <c r="C25" s="24">
        <f>MAX(L33:L212)</f>
        <v>2.5639414056556746</v>
      </c>
      <c r="F25">
        <f>F24+1</f>
        <v>20</v>
      </c>
      <c r="G25" s="16">
        <f>(F25-1)*360/$C$17</f>
        <v>285</v>
      </c>
      <c r="H25" s="16">
        <f>$C$7-$C$8*COS(RADIANS(G25))</f>
        <v>302.53066737129433</v>
      </c>
      <c r="I25" s="16">
        <f>$C$7-H25</f>
        <v>72.469332628705672</v>
      </c>
    </row>
    <row r="26" spans="1:13" x14ac:dyDescent="0.3">
      <c r="A26" t="s">
        <v>207</v>
      </c>
      <c r="B26" t="s">
        <v>208</v>
      </c>
      <c r="C26" s="24">
        <f>IFERROR(L20+($C$16-L19)*(L23-L20)/(L22-L19),L20)</f>
        <v>1.2660129266142338E-2</v>
      </c>
      <c r="F26">
        <f>F25+1</f>
        <v>21</v>
      </c>
      <c r="G26" s="16">
        <f>(F26-1)*360/$C$17</f>
        <v>300</v>
      </c>
      <c r="H26" s="16">
        <f>$C$7-$C$8*COS(RADIANS(G26))</f>
        <v>234.99999999999997</v>
      </c>
      <c r="I26" s="16">
        <f>$C$7-H26</f>
        <v>140.00000000000003</v>
      </c>
    </row>
    <row r="27" spans="1:13" x14ac:dyDescent="0.3">
      <c r="A27" t="s">
        <v>216</v>
      </c>
      <c r="C27" t="str">
        <f>IF($C$16&gt;$C$25,"FUERA DE DOMINIO: μ_Ed &gt; μ_Rd,max → aumentar D o f_ck",IF($C$16&lt;$L$24,"μ_Ed se cubre con ω→0 → rige la cuantía mínima (9.8.5)","OK — solución obtenida por interpolación"))</f>
        <v>μ_Ed se cubre con ω→0 → rige la cuantía mínima (9.8.5)</v>
      </c>
      <c r="F27">
        <f>F26+1</f>
        <v>22</v>
      </c>
      <c r="G27" s="16">
        <f>(F27-1)*360/$C$17</f>
        <v>315</v>
      </c>
      <c r="H27" s="16">
        <f>$C$7-$C$8*COS(RADIANS(G27))</f>
        <v>177.01010126776674</v>
      </c>
      <c r="I27" s="16">
        <f>$C$7-H27</f>
        <v>197.98989873223326</v>
      </c>
    </row>
    <row r="28" spans="1:13" ht="15.6" x14ac:dyDescent="0.3">
      <c r="A28" s="8" t="s">
        <v>217</v>
      </c>
      <c r="B28" s="9" t="s">
        <v>218</v>
      </c>
      <c r="C28" s="39">
        <f>IF($C$16&gt;$C$25,NA(),IF($C$16&lt;$L$24,0,MAX(0,$C$26)))</f>
        <v>0</v>
      </c>
      <c r="D28" s="9" t="s">
        <v>28</v>
      </c>
      <c r="F28">
        <f>F27+1</f>
        <v>23</v>
      </c>
      <c r="G28" s="16">
        <f>(F28-1)*360/$C$17</f>
        <v>330</v>
      </c>
      <c r="H28" s="16">
        <f>$C$7-$C$8*COS(RADIANS(G28))</f>
        <v>132.51288694035725</v>
      </c>
      <c r="I28" s="16">
        <f>$C$7-H28</f>
        <v>242.48711305964275</v>
      </c>
    </row>
    <row r="29" spans="1:13" x14ac:dyDescent="0.3">
      <c r="A29" s="1" t="s">
        <v>219</v>
      </c>
      <c r="F29">
        <f>F28+1</f>
        <v>24</v>
      </c>
      <c r="G29" s="16">
        <f>(F29-1)*360/$C$17</f>
        <v>345</v>
      </c>
      <c r="H29" s="16">
        <f>$C$7-$C$8*COS(RADIANS(G29))</f>
        <v>104.5407686390609</v>
      </c>
      <c r="I29" s="16">
        <f>$C$7-H29</f>
        <v>270.4592313609391</v>
      </c>
    </row>
    <row r="31" spans="1:13" ht="43.2" x14ac:dyDescent="0.3">
      <c r="A31" s="36" t="s">
        <v>184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</row>
    <row r="32" spans="1:13" x14ac:dyDescent="0.3">
      <c r="A32" s="5" t="s">
        <v>185</v>
      </c>
      <c r="B32" s="5" t="s">
        <v>186</v>
      </c>
      <c r="C32" s="5" t="s">
        <v>187</v>
      </c>
      <c r="D32" s="5" t="s">
        <v>188</v>
      </c>
      <c r="E32" s="5" t="s">
        <v>189</v>
      </c>
      <c r="F32" s="5" t="s">
        <v>190</v>
      </c>
      <c r="G32" s="5" t="s">
        <v>191</v>
      </c>
      <c r="H32" s="5" t="s">
        <v>192</v>
      </c>
      <c r="I32" s="5" t="s">
        <v>193</v>
      </c>
      <c r="J32" s="5" t="s">
        <v>194</v>
      </c>
      <c r="K32" s="5" t="s">
        <v>195</v>
      </c>
      <c r="L32" s="5" t="s">
        <v>196</v>
      </c>
      <c r="M32" s="5" t="s">
        <v>197</v>
      </c>
    </row>
    <row r="33" spans="1:13" x14ac:dyDescent="0.3">
      <c r="A33" s="24">
        <v>0.05</v>
      </c>
      <c r="B33" s="20">
        <f>A33*$C$5</f>
        <v>37.5</v>
      </c>
      <c r="C33" s="20">
        <f>MIN(0.8*B33,$C$5)</f>
        <v>30</v>
      </c>
      <c r="D33" s="24">
        <f>ACOS(MAX(-1,($C$7-C33)/$C$7))</f>
        <v>0.40271584158066132</v>
      </c>
      <c r="E33" s="20">
        <f>$C$7^2*(D33-SIN(D33)*COS(D33))</f>
        <v>5927.4775466687397</v>
      </c>
      <c r="F33" s="24">
        <f>E33/$C$9</f>
        <v>1.3417064556352722E-2</v>
      </c>
      <c r="G33" s="16">
        <f>IF(E33&gt;0,2*$C$7^3*SIN(D33)^3/(3*E33),0)</f>
        <v>357.04211801764848</v>
      </c>
      <c r="H33" s="24">
        <f>F33*G33/$C$5</f>
        <v>6.3872761957062627E-3</v>
      </c>
      <c r="I33" s="24" cm="1">
        <f t="array" ref="I33">_xlfn.LET(_xlpm.x,$B33,_xlpm.dep,$H$6:$H$29,_xlpm.e,IF(_xlpm.x&lt;=$C$5,$C$12*(_xlpm.x-_xlpm.dep)/_xlpm.x,$C$13*(_xlpm.x-_xlpm.dep)/(_xlpm.x-3*$C$5/7))/$C$14,_xlpm.s,(_xlpm.e&gt;=1)*1+(_xlpm.e&lt;=-1)*(-1)+(ABS(_xlpm.e)&lt;1)*_xlpm.e,AVERAGE(_xlpm.s))</f>
        <v>-1</v>
      </c>
      <c r="J33" s="24" cm="1">
        <f t="array" ref="J33">_xlfn.LET(_xlpm.x,$B33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1.5789838572446671E-17</v>
      </c>
      <c r="K33" s="24">
        <f>IFERROR(($C$15-F33)/I33,"")</f>
        <v>-0.12239515354873132</v>
      </c>
      <c r="L33" s="24" t="str">
        <f>IF(AND(ISNUMBER(K33),N(K33)&gt;0),H33+K33*J33,"")</f>
        <v/>
      </c>
      <c r="M33" s="24">
        <f>IF(ISNUMBER(L33),ABS(L33-$C$16),1000000000)</f>
        <v>1000000000</v>
      </c>
    </row>
    <row r="34" spans="1:13" x14ac:dyDescent="0.3">
      <c r="A34" s="24">
        <f>A33+0.01</f>
        <v>6.0000000000000005E-2</v>
      </c>
      <c r="B34" s="20">
        <f>A34*$C$5</f>
        <v>45</v>
      </c>
      <c r="C34" s="20">
        <f>MIN(0.8*B34,$C$5)</f>
        <v>36</v>
      </c>
      <c r="D34" s="24">
        <f>ACOS(MAX(-1,($C$7-C34)/$C$7))</f>
        <v>0.44176142415005848</v>
      </c>
      <c r="E34" s="20">
        <f>$C$7^2*(D34-SIN(D34)*COS(D34))</f>
        <v>7772.6369408721021</v>
      </c>
      <c r="F34" s="24">
        <f>E34/$C$9</f>
        <v>1.7593651057755916E-2</v>
      </c>
      <c r="G34" s="16">
        <f>IF(E34&gt;0,2*$C$7^3*SIN(D34)^3/(3*E34),0)</f>
        <v>353.46093946504305</v>
      </c>
      <c r="H34" s="24">
        <f>F34*G34/$C$5</f>
        <v>8.2915579086594061E-3</v>
      </c>
      <c r="I34" s="24" cm="1">
        <f t="array" ref="I34">_xlfn.LET(_xlpm.x,$B34,_xlpm.dep,$H$6:$H$29,_xlpm.e,IF(_xlpm.x&lt;=$C$5,$C$12*(_xlpm.x-_xlpm.dep)/_xlpm.x,$C$13*(_xlpm.x-_xlpm.dep)/(_xlpm.x-3*$C$5/7))/$C$14,_xlpm.s,(_xlpm.e&gt;=1)*1+(_xlpm.e&lt;=-1)*(-1)+(ABS(_xlpm.e)&lt;1)*_xlpm.e,AVERAGE(_xlpm.s))</f>
        <v>-1</v>
      </c>
      <c r="J34" s="24" cm="1">
        <f t="array" ref="J34">_xlfn.LET(_xlpm.x,$B34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1.5789838572446671E-17</v>
      </c>
      <c r="K34" s="24">
        <f>IFERROR(($C$15-F34)/I34,"")</f>
        <v>-0.11821856704732812</v>
      </c>
      <c r="L34" s="24" t="str">
        <f>IF(AND(ISNUMBER(K34),N(K34)&gt;0),H34+K34*J34,"")</f>
        <v/>
      </c>
      <c r="M34" s="24">
        <f>IF(ISNUMBER(L34),ABS(L34-$C$16),1000000000)</f>
        <v>1000000000</v>
      </c>
    </row>
    <row r="35" spans="1:13" x14ac:dyDescent="0.3">
      <c r="A35" s="24">
        <f>A34+0.01</f>
        <v>7.0000000000000007E-2</v>
      </c>
      <c r="B35" s="20">
        <f>A35*$C$5</f>
        <v>52.500000000000007</v>
      </c>
      <c r="C35" s="20">
        <f>MIN(0.8*B35,$C$5)</f>
        <v>42.000000000000007</v>
      </c>
      <c r="D35" s="24">
        <f>ACOS(MAX(-1,($C$7-C35)/$C$7))</f>
        <v>0.47781889725220417</v>
      </c>
      <c r="E35" s="20">
        <f>$C$7^2*(D35-SIN(D35)*COS(D35))</f>
        <v>9770.3314047443673</v>
      </c>
      <c r="F35" s="24">
        <f>E35/$C$9</f>
        <v>2.2115506328334901E-2</v>
      </c>
      <c r="G35" s="16">
        <f>IF(E35&gt;0,2*$C$7^3*SIN(D35)^3/(3*E35),0)</f>
        <v>349.88334353744875</v>
      </c>
      <c r="H35" s="24">
        <f>F35*G35/$C$5</f>
        <v>1.0317129730908562E-2</v>
      </c>
      <c r="I35" s="24" cm="1">
        <f t="array" ref="I35">_xlfn.LET(_xlpm.x,$B35,_xlpm.dep,$H$6:$H$29,_xlpm.e,IF(_xlpm.x&lt;=$C$5,$C$12*(_xlpm.x-_xlpm.dep)/_xlpm.x,$C$13*(_xlpm.x-_xlpm.dep)/(_xlpm.x-3*$C$5/7))/$C$14,_xlpm.s,(_xlpm.e&gt;=1)*1+(_xlpm.e&lt;=-1)*(-1)+(ABS(_xlpm.e)&lt;1)*_xlpm.e,AVERAGE(_xlpm.s))</f>
        <v>-1</v>
      </c>
      <c r="J35" s="24" cm="1">
        <f t="array" ref="J35">_xlfn.LET(_xlpm.x,$B35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1.5789838572446671E-17</v>
      </c>
      <c r="K35" s="24">
        <f>IFERROR(($C$15-F35)/I35,"")</f>
        <v>-0.11369671177674914</v>
      </c>
      <c r="L35" s="24" t="str">
        <f>IF(AND(ISNUMBER(K35),N(K35)&gt;0),H35+K35*J35,"")</f>
        <v/>
      </c>
      <c r="M35" s="24">
        <f>IF(ISNUMBER(L35),ABS(L35-$C$16),1000000000)</f>
        <v>1000000000</v>
      </c>
    </row>
    <row r="36" spans="1:13" x14ac:dyDescent="0.3">
      <c r="A36" s="24">
        <f>A35+0.01</f>
        <v>0.08</v>
      </c>
      <c r="B36" s="20">
        <f>A36*$C$5</f>
        <v>60</v>
      </c>
      <c r="C36" s="20">
        <f>MIN(0.8*B36,$C$5)</f>
        <v>48</v>
      </c>
      <c r="D36" s="24">
        <f>ACOS(MAX(-1,($C$7-C36)/$C$7))</f>
        <v>0.51152300369407744</v>
      </c>
      <c r="E36" s="20">
        <f>$C$7^2*(D36-SIN(D36)*COS(D36))</f>
        <v>11907.264680465385</v>
      </c>
      <c r="F36" s="24">
        <f>E36/$C$9</f>
        <v>2.6952533796972142E-2</v>
      </c>
      <c r="G36" s="16">
        <f>IF(E36&gt;0,2*$C$7^3*SIN(D36)^3/(3*E36),0)</f>
        <v>346.30938232905487</v>
      </c>
      <c r="H36" s="24">
        <f>F36*G36/$C$5</f>
        <v>1.2445220441909866E-2</v>
      </c>
      <c r="I36" s="24" cm="1">
        <f t="array" ref="I36">_xlfn.LET(_xlpm.x,$B36,_xlpm.dep,$H$6:$H$29,_xlpm.e,IF(_xlpm.x&lt;=$C$5,$C$12*(_xlpm.x-_xlpm.dep)/_xlpm.x,$C$13*(_xlpm.x-_xlpm.dep)/(_xlpm.x-3*$C$5/7))/$C$14,_xlpm.s,(_xlpm.e&gt;=1)*1+(_xlpm.e&lt;=-1)*(-1)+(ABS(_xlpm.e)&lt;1)*_xlpm.e,AVERAGE(_xlpm.s))</f>
        <v>-0.99746527777777771</v>
      </c>
      <c r="J36" s="24" cm="1">
        <f t="array" ref="J36">_xlfn.LET(_xlpm.x,$B36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9.4629629629632299E-4</v>
      </c>
      <c r="K36" s="24">
        <f>IFERROR(($C$15-F36)/I36,"")</f>
        <v>-0.10913631454985284</v>
      </c>
      <c r="L36" s="24" t="str">
        <f>IF(AND(ISNUMBER(K36),N(K36)&gt;0),H36+K36*J36,"")</f>
        <v/>
      </c>
      <c r="M36" s="24">
        <f>IF(ISNUMBER(L36),ABS(L36-$C$16),1000000000)</f>
        <v>1000000000</v>
      </c>
    </row>
    <row r="37" spans="1:13" x14ac:dyDescent="0.3">
      <c r="A37" s="24">
        <f>A36+0.01</f>
        <v>0.09</v>
      </c>
      <c r="B37" s="20">
        <f>A37*$C$5</f>
        <v>67.5</v>
      </c>
      <c r="C37" s="20">
        <f>MIN(0.8*B37,$C$5)</f>
        <v>54</v>
      </c>
      <c r="D37" s="24">
        <f>ACOS(MAX(-1,($C$7-C37)/$C$7))</f>
        <v>0.54331424735514799</v>
      </c>
      <c r="E37" s="20">
        <f>$C$7^2*(D37-SIN(D37)*COS(D37))</f>
        <v>14172.601523071371</v>
      </c>
      <c r="F37" s="24">
        <f>E37/$C$9</f>
        <v>3.2080207486130254E-2</v>
      </c>
      <c r="G37" s="16">
        <f>IF(E37&gt;0,2*$C$7^3*SIN(D37)^3/(3*E37),0)</f>
        <v>342.73910903123698</v>
      </c>
      <c r="H37" s="24">
        <f>F37*G37/$C$5</f>
        <v>1.4660188975111337E-2</v>
      </c>
      <c r="I37" s="24" cm="1">
        <f t="array" ref="I37">_xlfn.LET(_xlpm.x,$B37,_xlpm.dep,$H$6:$H$29,_xlpm.e,IF(_xlpm.x&lt;=$C$5,$C$12*(_xlpm.x-_xlpm.dep)/_xlpm.x,$C$13*(_xlpm.x-_xlpm.dep)/(_xlpm.x-3*$C$5/7))/$C$14,_xlpm.s,(_xlpm.e&gt;=1)*1+(_xlpm.e&lt;=-1)*(-1)+(ABS(_xlpm.e)&lt;1)*_xlpm.e,AVERAGE(_xlpm.s))</f>
        <v>-0.97595449075171359</v>
      </c>
      <c r="J37" s="24" cm="1">
        <f t="array" ref="J37">_xlfn.LET(_xlpm.x,$B37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8.8534805506007546E-3</v>
      </c>
      <c r="K37" s="24">
        <f>IFERROR(($C$15-F37)/I37,"")</f>
        <v>-0.10628775378558465</v>
      </c>
      <c r="L37" s="24" t="str">
        <f>IF(AND(ISNUMBER(K37),N(K37)&gt;0),H37+K37*J37,"")</f>
        <v/>
      </c>
      <c r="M37" s="24">
        <f>IF(ISNUMBER(L37),ABS(L37-$C$16),1000000000)</f>
        <v>1000000000</v>
      </c>
    </row>
    <row r="38" spans="1:13" x14ac:dyDescent="0.3">
      <c r="A38" s="24">
        <f>A37+0.01</f>
        <v>9.9999999999999992E-2</v>
      </c>
      <c r="B38" s="20">
        <f>A38*$C$5</f>
        <v>75</v>
      </c>
      <c r="C38" s="20">
        <f>MIN(0.8*B38,$C$5)</f>
        <v>60</v>
      </c>
      <c r="D38" s="24">
        <f>ACOS(MAX(-1,($C$7-C38)/$C$7))</f>
        <v>0.57351310442309666</v>
      </c>
      <c r="E38" s="20">
        <f>$C$7^2*(D38-SIN(D38)*COS(D38))</f>
        <v>16557.261968964191</v>
      </c>
      <c r="F38" s="24">
        <f>E38/$C$9</f>
        <v>3.7477974562532962E-2</v>
      </c>
      <c r="G38" s="16">
        <f>IF(E38&gt;0,2*$C$7^3*SIN(D38)^3/(3*E38),0)</f>
        <v>339.17257796332592</v>
      </c>
      <c r="H38" s="24">
        <f>F38*G38/$C$5</f>
        <v>1.6948668332291011E-2</v>
      </c>
      <c r="I38" s="24" cm="1">
        <f t="array" ref="I38">_xlfn.LET(_xlpm.x,$B38,_xlpm.dep,$H$6:$H$29,_xlpm.e,IF(_xlpm.x&lt;=$C$5,$C$12*(_xlpm.x-_xlpm.dep)/_xlpm.x,$C$13*(_xlpm.x-_xlpm.dep)/(_xlpm.x-3*$C$5/7))/$C$14,_xlpm.s,(_xlpm.e&gt;=1)*1+(_xlpm.e&lt;=-1)*(-1)+(ABS(_xlpm.e)&lt;1)*_xlpm.e,AVERAGE(_xlpm.s))</f>
        <v>-0.9457340416765424</v>
      </c>
      <c r="J38" s="24" cm="1">
        <f t="array" ref="J38">_xlfn.LET(_xlpm.x,$B38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1.9871450205007902E-2</v>
      </c>
      <c r="K38" s="24">
        <f>IFERROR(($C$15-F38)/I38,"")</f>
        <v>-0.10397663530037456</v>
      </c>
      <c r="L38" s="24" t="str">
        <f>IF(AND(ISNUMBER(K38),N(K38)&gt;0),H38+K38*J38,"")</f>
        <v/>
      </c>
      <c r="M38" s="24">
        <f>IF(ISNUMBER(L38),ABS(L38-$C$16),1000000000)</f>
        <v>1000000000</v>
      </c>
    </row>
    <row r="39" spans="1:13" x14ac:dyDescent="0.3">
      <c r="A39" s="24">
        <f>A38+0.01</f>
        <v>0.10999999999999999</v>
      </c>
      <c r="B39" s="20">
        <f>A39*$C$5</f>
        <v>82.499999999999986</v>
      </c>
      <c r="C39" s="20">
        <f>MIN(0.8*B39,$C$5)</f>
        <v>65.999999999999986</v>
      </c>
      <c r="D39" s="24">
        <f>ACOS(MAX(-1,($C$7-C39)/$C$7))</f>
        <v>0.60236134403518304</v>
      </c>
      <c r="E39" s="20">
        <f>$C$7^2*(D39-SIN(D39)*COS(D39))</f>
        <v>19053.471079655254</v>
      </c>
      <c r="F39" s="24">
        <f>E39/$C$9</f>
        <v>4.3128236165484168E-2</v>
      </c>
      <c r="G39" s="16">
        <f>IF(E39&gt;0,2*$C$7^3*SIN(D39)^3/(3*E39),0)</f>
        <v>335.60984460446491</v>
      </c>
      <c r="H39" s="24">
        <f>F39*G39/$C$5</f>
        <v>1.9299014183417073E-2</v>
      </c>
      <c r="I39" s="24" cm="1">
        <f t="array" ref="I39">_xlfn.LET(_xlpm.x,$B39,_xlpm.dep,$H$6:$H$29,_xlpm.e,IF(_xlpm.x&lt;=$C$5,$C$12*(_xlpm.x-_xlpm.dep)/_xlpm.x,$C$13*(_xlpm.x-_xlpm.dep)/(_xlpm.x-3*$C$5/7))/$C$14,_xlpm.s,(_xlpm.e&gt;=1)*1+(_xlpm.e&lt;=-1)*(-1)+(ABS(_xlpm.e)&lt;1)*_xlpm.e,AVERAGE(_xlpm.s))</f>
        <v>-0.91900897523521541</v>
      </c>
      <c r="J39" s="24" cm="1">
        <f t="array" ref="J39">_xlfn.LET(_xlpm.x,$B39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2.9532540676200578E-2</v>
      </c>
      <c r="K39" s="24">
        <f>IFERROR(($C$15-F39)/I39,"")</f>
        <v>-0.10085209659228617</v>
      </c>
      <c r="L39" s="24" t="str">
        <f>IF(AND(ISNUMBER(K39),N(K39)&gt;0),H39+K39*J39,"")</f>
        <v/>
      </c>
      <c r="M39" s="24">
        <f>IF(ISNUMBER(L39),ABS(L39-$C$16),1000000000)</f>
        <v>1000000000</v>
      </c>
    </row>
    <row r="40" spans="1:13" x14ac:dyDescent="0.3">
      <c r="A40" s="24">
        <f>A39+0.01</f>
        <v>0.11999999999999998</v>
      </c>
      <c r="B40" s="20">
        <f>A40*$C$5</f>
        <v>89.999999999999986</v>
      </c>
      <c r="C40" s="20">
        <f>MIN(0.8*B40,$C$5)</f>
        <v>71.999999999999986</v>
      </c>
      <c r="D40" s="24">
        <f>ACOS(MAX(-1,($C$7-C40)/$C$7))</f>
        <v>0.63004669044584005</v>
      </c>
      <c r="E40" s="20">
        <f>$C$7^2*(D40-SIN(D40)*COS(D40))</f>
        <v>21654.456046644387</v>
      </c>
      <c r="F40" s="24">
        <f>E40/$C$9</f>
        <v>4.9015661792563718E-2</v>
      </c>
      <c r="G40" s="16">
        <f>IF(E40&gt;0,2*$C$7^3*SIN(D40)^3/(3*E40),0)</f>
        <v>332.05096562660879</v>
      </c>
      <c r="H40" s="24">
        <f>F40*G40/$C$5</f>
        <v>2.1700930438730743E-2</v>
      </c>
      <c r="I40" s="24" cm="1">
        <f t="array" ref="I40">_xlfn.LET(_xlpm.x,$B40,_xlpm.dep,$H$6:$H$29,_xlpm.e,IF(_xlpm.x&lt;=$C$5,$C$12*(_xlpm.x-_xlpm.dep)/_xlpm.x,$C$13*(_xlpm.x-_xlpm.dep)/(_xlpm.x-3*$C$5/7))/$C$14,_xlpm.s,(_xlpm.e&gt;=1)*1+(_xlpm.e&lt;=-1)*(-1)+(ABS(_xlpm.e)&lt;1)*_xlpm.e,AVERAGE(_xlpm.s))</f>
        <v>-0.88044572729894732</v>
      </c>
      <c r="J40" s="24" cm="1">
        <f t="array" ref="J40">_xlfn.LET(_xlpm.x,$B40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4.2851032276681272E-2</v>
      </c>
      <c r="K40" s="24">
        <f>IFERROR(($C$15-F40)/I40,"")</f>
        <v>-9.8582517492357968E-2</v>
      </c>
      <c r="L40" s="24" t="str">
        <f>IF(AND(ISNUMBER(K40),N(K40)&gt;0),H40+K40*J40,"")</f>
        <v/>
      </c>
      <c r="M40" s="24">
        <f>IF(ISNUMBER(L40),ABS(L40-$C$16),1000000000)</f>
        <v>1000000000</v>
      </c>
    </row>
    <row r="41" spans="1:13" x14ac:dyDescent="0.3">
      <c r="A41" s="24">
        <f>A40+0.01</f>
        <v>0.12999999999999998</v>
      </c>
      <c r="B41" s="20">
        <f>A41*$C$5</f>
        <v>97.499999999999986</v>
      </c>
      <c r="C41" s="20">
        <f>MIN(0.8*B41,$C$5)</f>
        <v>78</v>
      </c>
      <c r="D41" s="24">
        <f>ACOS(MAX(-1,($C$7-C41)/$C$7))</f>
        <v>0.65671836474870404</v>
      </c>
      <c r="E41" s="20">
        <f>$C$7^2*(D41-SIN(D41)*COS(D41))</f>
        <v>24354.233765786619</v>
      </c>
      <c r="F41" s="24">
        <f>E41/$C$9</f>
        <v>5.512670846635357E-2</v>
      </c>
      <c r="G41" s="16">
        <f>IF(E41&gt;0,2*$C$7^3*SIN(D41)^3/(3*E41),0)</f>
        <v>328.49599892870606</v>
      </c>
      <c r="H41" s="24">
        <f>F41*G41/$C$5</f>
        <v>2.4145204220408497E-2</v>
      </c>
      <c r="I41" s="24" cm="1">
        <f t="array" ref="I41">_xlfn.LET(_xlpm.x,$B41,_xlpm.dep,$H$6:$H$29,_xlpm.e,IF(_xlpm.x&lt;=$C$5,$C$12*(_xlpm.x-_xlpm.dep)/_xlpm.x,$C$13*(_xlpm.x-_xlpm.dep)/(_xlpm.x-3*$C$5/7))/$C$14,_xlpm.s,(_xlpm.e&gt;=1)*1+(_xlpm.e&lt;=-1)*(-1)+(ABS(_xlpm.e)&lt;1)*_xlpm.e,AVERAGE(_xlpm.s))</f>
        <v>-0.84781528673748996</v>
      </c>
      <c r="J41" s="24" cm="1">
        <f t="array" ref="J41">_xlfn.LET(_xlpm.x,$B41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5.4120525169395674E-2</v>
      </c>
      <c r="K41" s="24">
        <f>IFERROR(($C$15-F41)/I41,"")</f>
        <v>-9.5168736517148009E-2</v>
      </c>
      <c r="L41" s="24" t="str">
        <f>IF(AND(ISNUMBER(K41),N(K41)&gt;0),H41+K41*J41,"")</f>
        <v/>
      </c>
      <c r="M41" s="24">
        <f>IF(ISNUMBER(L41),ABS(L41-$C$16),1000000000)</f>
        <v>1000000000</v>
      </c>
    </row>
    <row r="42" spans="1:13" x14ac:dyDescent="0.3">
      <c r="A42" s="24">
        <f>A41+0.01</f>
        <v>0.13999999999999999</v>
      </c>
      <c r="B42" s="20">
        <f>A42*$C$5</f>
        <v>104.99999999999999</v>
      </c>
      <c r="C42" s="20">
        <f>MIN(0.8*B42,$C$5)</f>
        <v>84</v>
      </c>
      <c r="D42" s="24">
        <f>ACOS(MAX(-1,($C$7-C42)/$C$7))</f>
        <v>0.68249731727597174</v>
      </c>
      <c r="E42" s="20">
        <f>$C$7^2*(D42-SIN(D42)*COS(D42))</f>
        <v>27147.456763194365</v>
      </c>
      <c r="F42" s="24">
        <f>E42/$C$9</f>
        <v>6.1449271982021526E-2</v>
      </c>
      <c r="G42" s="16">
        <f>IF(E42&gt;0,2*$C$7^3*SIN(D42)^3/(3*E42),0)</f>
        <v>324.94500367212322</v>
      </c>
      <c r="H42" s="24">
        <f>F42*G42/$C$5</f>
        <v>2.6623511879796377E-2</v>
      </c>
      <c r="I42" s="24" cm="1">
        <f t="array" ref="I42">_xlfn.LET(_xlpm.x,$B42,_xlpm.dep,$H$6:$H$29,_xlpm.e,IF(_xlpm.x&lt;=$C$5,$C$12*(_xlpm.x-_xlpm.dep)/_xlpm.x,$C$13*(_xlpm.x-_xlpm.dep)/(_xlpm.x-3*$C$5/7))/$C$14,_xlpm.s,(_xlpm.e&gt;=1)*1+(_xlpm.e&lt;=-1)*(-1)+(ABS(_xlpm.e)&lt;1)*_xlpm.e,AVERAGE(_xlpm.s))</f>
        <v>-0.81984633768481219</v>
      </c>
      <c r="J42" s="24" cm="1">
        <f t="array" ref="J42">_xlfn.LET(_xlpm.x,$B42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6.378009050600808E-2</v>
      </c>
      <c r="K42" s="24">
        <f>IFERROR(($C$15-F42)/I42,"")</f>
        <v>-9.0703516872513198E-2</v>
      </c>
      <c r="L42" s="24" t="str">
        <f>IF(AND(ISNUMBER(K42),N(K42)&gt;0),H42+K42*J42,"")</f>
        <v/>
      </c>
      <c r="M42" s="24">
        <f>IF(ISNUMBER(L42),ABS(L42-$C$16),1000000000)</f>
        <v>1000000000</v>
      </c>
    </row>
    <row r="43" spans="1:13" x14ac:dyDescent="0.3">
      <c r="A43" s="24">
        <f>A42+0.01</f>
        <v>0.15</v>
      </c>
      <c r="B43" s="20">
        <f>A43*$C$5</f>
        <v>112.5</v>
      </c>
      <c r="C43" s="20">
        <f>MIN(0.8*B43,$C$5)</f>
        <v>90</v>
      </c>
      <c r="D43" s="24">
        <f>ACOS(MAX(-1,($C$7-C43)/$C$7))</f>
        <v>0.70748321177934292</v>
      </c>
      <c r="E43" s="20">
        <f>$C$7^2*(D43-SIN(D43)*COS(D43))</f>
        <v>30029.298296832647</v>
      </c>
      <c r="F43" s="24">
        <f>E43/$C$9</f>
        <v>6.7972426830534394E-2</v>
      </c>
      <c r="G43" s="16">
        <f>IF(E43&gt;0,2*$C$7^3*SIN(D43)^3/(3*E43),0)</f>
        <v>321.39804031736242</v>
      </c>
      <c r="H43" s="24">
        <f>F43*G43/$C$5</f>
        <v>2.9128273038598745E-2</v>
      </c>
      <c r="I43" s="24" cm="1">
        <f t="array" ref="I43">_xlfn.LET(_xlpm.x,$B43,_xlpm.dep,$H$6:$H$29,_xlpm.e,IF(_xlpm.x&lt;=$C$5,$C$12*(_xlpm.x-_xlpm.dep)/_xlpm.x,$C$13*(_xlpm.x-_xlpm.dep)/(_xlpm.x-3*$C$5/7))/$C$14,_xlpm.s,(_xlpm.e&gt;=1)*1+(_xlpm.e&lt;=-1)*(-1)+(ABS(_xlpm.e)&lt;1)*_xlpm.e,AVERAGE(_xlpm.s))</f>
        <v>-0.78920751742516126</v>
      </c>
      <c r="J43" s="24" cm="1">
        <f t="array" ref="J43">_xlfn.LET(_xlpm.x,$B43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7.3840980618149782E-2</v>
      </c>
      <c r="K43" s="24">
        <f>IFERROR(($C$15-F43)/I43,"")</f>
        <v>-8.5959383022454205E-2</v>
      </c>
      <c r="L43" s="24" t="str">
        <f>IF(AND(ISNUMBER(K43),N(K43)&gt;0),H43+K43*J43,"")</f>
        <v/>
      </c>
      <c r="M43" s="24">
        <f>IF(ISNUMBER(L43),ABS(L43-$C$16),1000000000)</f>
        <v>1000000000</v>
      </c>
    </row>
    <row r="44" spans="1:13" x14ac:dyDescent="0.3">
      <c r="A44" s="24">
        <f>A43+0.01</f>
        <v>0.16</v>
      </c>
      <c r="B44" s="20">
        <f>A44*$C$5</f>
        <v>120</v>
      </c>
      <c r="C44" s="20">
        <f>MIN(0.8*B44,$C$5)</f>
        <v>96</v>
      </c>
      <c r="D44" s="24">
        <f>ACOS(MAX(-1,($C$7-C44)/$C$7))</f>
        <v>0.73175933890163392</v>
      </c>
      <c r="E44" s="20">
        <f>$C$7^2*(D44-SIN(D44)*COS(D44))</f>
        <v>32995.364649377218</v>
      </c>
      <c r="F44" s="24">
        <f>E44/$C$9</f>
        <v>7.4686227670299976E-2</v>
      </c>
      <c r="G44" s="16">
        <f>IF(E44&gt;0,2*$C$7^3*SIN(D44)^3/(3*E44),0)</f>
        <v>317.855170662131</v>
      </c>
      <c r="H44" s="24">
        <f>F44*G44/$C$5</f>
        <v>3.165253818967196E-2</v>
      </c>
      <c r="I44" s="24" cm="1">
        <f t="array" ref="I44">_xlfn.LET(_xlpm.x,$B44,_xlpm.dep,$H$6:$H$29,_xlpm.e,IF(_xlpm.x&lt;=$C$5,$C$12*(_xlpm.x-_xlpm.dep)/_xlpm.x,$C$13*(_xlpm.x-_xlpm.dep)/(_xlpm.x-3*$C$5/7))/$C$14,_xlpm.s,(_xlpm.e&gt;=1)*1+(_xlpm.e&lt;=-1)*(-1)+(ABS(_xlpm.e)&lt;1)*_xlpm.e,AVERAGE(_xlpm.s))</f>
        <v>-0.75480392258608875</v>
      </c>
      <c r="J44" s="24" cm="1">
        <f t="array" ref="J44">_xlfn.LET(_xlpm.x,$B44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8.4649138736660204E-2</v>
      </c>
      <c r="K44" s="24">
        <f>IFERROR(($C$15-F44)/I44,"")</f>
        <v>-8.0982608338011616E-2</v>
      </c>
      <c r="L44" s="24" t="str">
        <f>IF(AND(ISNUMBER(K44),N(K44)&gt;0),H44+K44*J44,"")</f>
        <v/>
      </c>
      <c r="M44" s="24">
        <f>IF(ISNUMBER(L44),ABS(L44-$C$16),1000000000)</f>
        <v>1000000000</v>
      </c>
    </row>
    <row r="45" spans="1:13" x14ac:dyDescent="0.3">
      <c r="A45" s="24">
        <f>A44+0.01</f>
        <v>0.17</v>
      </c>
      <c r="B45" s="20">
        <f>A45*$C$5</f>
        <v>127.50000000000001</v>
      </c>
      <c r="C45" s="20">
        <f>MIN(0.8*B45,$C$5)</f>
        <v>102.00000000000001</v>
      </c>
      <c r="D45" s="24">
        <f>ACOS(MAX(-1,($C$7-C45)/$C$7))</f>
        <v>0.75539616303736257</v>
      </c>
      <c r="E45" s="20">
        <f>$C$7^2*(D45-SIN(D45)*COS(D45))</f>
        <v>36041.62683140998</v>
      </c>
      <c r="F45" s="24">
        <f>E45/$C$9</f>
        <v>8.1581554734825021E-2</v>
      </c>
      <c r="G45" s="16">
        <f>IF(E45&gt;0,2*$C$7^3*SIN(D45)^3/(3*E45),0)</f>
        <v>314.31645788082363</v>
      </c>
      <c r="H45" s="24">
        <f>F45*G45/$C$5</f>
        <v>3.4189900416880983E-2</v>
      </c>
      <c r="I45" s="24" cm="1">
        <f t="array" ref="I45">_xlfn.LET(_xlpm.x,$B45,_xlpm.dep,$H$6:$H$29,_xlpm.e,IF(_xlpm.x&lt;=$C$5,$C$12*(_xlpm.x-_xlpm.dep)/_xlpm.x,$C$13*(_xlpm.x-_xlpm.dep)/(_xlpm.x-3*$C$5/7))/$C$14,_xlpm.s,(_xlpm.e&gt;=1)*1+(_xlpm.e&lt;=-1)*(-1)+(ABS(_xlpm.e)&lt;1)*_xlpm.e,AVERAGE(_xlpm.s))</f>
        <v>-0.7244478094927892</v>
      </c>
      <c r="J45" s="24" cm="1">
        <f t="array" ref="J45">_xlfn.LET(_xlpm.x,$B45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9.418574884122824E-2</v>
      </c>
      <c r="K45" s="24">
        <f>IFERROR(($C$15-F45)/I45,"")</f>
        <v>-7.4857929942845389E-2</v>
      </c>
      <c r="L45" s="24" t="str">
        <f>IF(AND(ISNUMBER(K45),N(K45)&gt;0),H45+K45*J45,"")</f>
        <v/>
      </c>
      <c r="M45" s="24">
        <f>IF(ISNUMBER(L45),ABS(L45-$C$16),1000000000)</f>
        <v>1000000000</v>
      </c>
    </row>
    <row r="46" spans="1:13" x14ac:dyDescent="0.3">
      <c r="A46" s="24">
        <f>A45+0.01</f>
        <v>0.18000000000000002</v>
      </c>
      <c r="B46" s="20">
        <f>A46*$C$5</f>
        <v>135.00000000000003</v>
      </c>
      <c r="C46" s="20">
        <f>MIN(0.8*B46,$C$5)</f>
        <v>108.00000000000003</v>
      </c>
      <c r="D46" s="24">
        <f>ACOS(MAX(-1,($C$7-C46)/$C$7))</f>
        <v>0.77845394015561797</v>
      </c>
      <c r="E46" s="20">
        <f>$C$7^2*(D46-SIN(D46)*COS(D46))</f>
        <v>39164.366477380398</v>
      </c>
      <c r="F46" s="24">
        <f>E46/$C$9</f>
        <v>8.8649991366223799E-2</v>
      </c>
      <c r="G46" s="16">
        <f>IF(E46&gt;0,2*$C$7^3*SIN(D46)^3/(3*E46),0)</f>
        <v>310.78196656548278</v>
      </c>
      <c r="H46" s="24">
        <f>F46*G46/$C$5</f>
        <v>3.6734424870410801E-2</v>
      </c>
      <c r="I46" s="24" cm="1">
        <f t="array" ref="I46">_xlfn.LET(_xlpm.x,$B46,_xlpm.dep,$H$6:$H$29,_xlpm.e,IF(_xlpm.x&lt;=$C$5,$C$12*(_xlpm.x-_xlpm.dep)/_xlpm.x,$C$13*(_xlpm.x-_xlpm.dep)/(_xlpm.x-3*$C$5/7))/$C$14,_xlpm.s,(_xlpm.e&gt;=1)*1+(_xlpm.e&lt;=-1)*(-1)+(ABS(_xlpm.e)&lt;1)*_xlpm.e,AVERAGE(_xlpm.s))</f>
        <v>-0.69746459785430071</v>
      </c>
      <c r="J46" s="24" cm="1">
        <f t="array" ref="J46">_xlfn.LET(_xlpm.x,$B46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0.10266273560084424</v>
      </c>
      <c r="K46" s="24">
        <f>IFERROR(($C$15-F46)/I46,"")</f>
        <v>-6.7619527763776707E-2</v>
      </c>
      <c r="L46" s="24" t="str">
        <f>IF(AND(ISNUMBER(K46),N(K46)&gt;0),H46+K46*J46,"")</f>
        <v/>
      </c>
      <c r="M46" s="24">
        <f>IF(ISNUMBER(L46),ABS(L46-$C$16),1000000000)</f>
        <v>1000000000</v>
      </c>
    </row>
    <row r="47" spans="1:13" x14ac:dyDescent="0.3">
      <c r="A47" s="24">
        <f>A46+0.01</f>
        <v>0.19000000000000003</v>
      </c>
      <c r="B47" s="20">
        <f>A47*$C$5</f>
        <v>142.50000000000003</v>
      </c>
      <c r="C47" s="20">
        <f>MIN(0.8*B47,$C$5)</f>
        <v>114.00000000000003</v>
      </c>
      <c r="D47" s="24">
        <f>ACOS(MAX(-1,($C$7-C47)/$C$7))</f>
        <v>0.80098468766555209</v>
      </c>
      <c r="E47" s="20">
        <f>$C$7^2*(D47-SIN(D47)*COS(D47))</f>
        <v>42360.132337271818</v>
      </c>
      <c r="F47" s="24">
        <f>E47/$C$9</f>
        <v>9.5883725532496383E-2</v>
      </c>
      <c r="G47" s="16">
        <f>IF(E47&gt;0,2*$C$7^3*SIN(D47)^3/(3*E47),0)</f>
        <v>307.25176276830155</v>
      </c>
      <c r="H47" s="24">
        <f>F47*G47/$C$5</f>
        <v>3.9280591587535357E-2</v>
      </c>
      <c r="I47" s="24" cm="1">
        <f t="array" ref="I47">_xlfn.LET(_xlpm.x,$B47,_xlpm.dep,$H$6:$H$29,_xlpm.e,IF(_xlpm.x&lt;=$C$5,$C$12*(_xlpm.x-_xlpm.dep)/_xlpm.x,$C$13*(_xlpm.x-_xlpm.dep)/(_xlpm.x-3*$C$5/7))/$C$14,_xlpm.s,(_xlpm.e&gt;=1)*1+(_xlpm.e&lt;=-1)*(-1)+(ABS(_xlpm.e)&lt;1)*_xlpm.e,AVERAGE(_xlpm.s))</f>
        <v>-0.67332172428302195</v>
      </c>
      <c r="J47" s="24" cm="1">
        <f t="array" ref="J47">_xlfn.LET(_xlpm.x,$B47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0.11024740796471119</v>
      </c>
      <c r="K47" s="24">
        <f>IFERROR(($C$15-F47)/I47,"")</f>
        <v>-5.9300763858621972E-2</v>
      </c>
      <c r="L47" s="24" t="str">
        <f>IF(AND(ISNUMBER(K47),N(K47)&gt;0),H47+K47*J47,"")</f>
        <v/>
      </c>
      <c r="M47" s="24">
        <f>IF(ISNUMBER(L47),ABS(L47-$C$16),1000000000)</f>
        <v>1000000000</v>
      </c>
    </row>
    <row r="48" spans="1:13" x14ac:dyDescent="0.3">
      <c r="A48" s="24">
        <f>A47+0.01</f>
        <v>0.20000000000000004</v>
      </c>
      <c r="B48" s="20">
        <f>A48*$C$5</f>
        <v>150.00000000000003</v>
      </c>
      <c r="C48" s="20">
        <f>MIN(0.8*B48,$C$5)</f>
        <v>120.00000000000003</v>
      </c>
      <c r="D48" s="24">
        <f>ACOS(MAX(-1,($C$7-C48)/$C$7))</f>
        <v>0.82303369213497612</v>
      </c>
      <c r="E48" s="20">
        <f>$C$7^2*(D48-SIN(D48)*COS(D48))</f>
        <v>45625.704823656662</v>
      </c>
      <c r="F48" s="24">
        <f>E48/$C$9</f>
        <v>0.10327546957847739</v>
      </c>
      <c r="G48" s="16">
        <f>IF(E48&gt;0,2*$C$7^3*SIN(D48)^3/(3*E48),0)</f>
        <v>303.72591404574473</v>
      </c>
      <c r="H48" s="24">
        <f>F48*G48/$C$5</f>
        <v>4.1823248528302062E-2</v>
      </c>
      <c r="I48" s="24" cm="1">
        <f t="array" ref="I48">_xlfn.LET(_xlpm.x,$B48,_xlpm.dep,$H$6:$H$29,_xlpm.e,IF(_xlpm.x&lt;=$C$5,$C$12*(_xlpm.x-_xlpm.dep)/_xlpm.x,$C$13*(_xlpm.x-_xlpm.dep)/(_xlpm.x-3*$C$5/7))/$C$14,_xlpm.s,(_xlpm.e&gt;=1)*1+(_xlpm.e&lt;=-1)*(-1)+(ABS(_xlpm.e)&lt;1)*_xlpm.e,AVERAGE(_xlpm.s))</f>
        <v>-0.64428758251331508</v>
      </c>
      <c r="J48" s="24" cm="1">
        <f t="array" ref="J48">_xlfn.LET(_xlpm.x,$B48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0.11843731679589518</v>
      </c>
      <c r="K48" s="24">
        <f>IFERROR(($C$15-F48)/I48,"")</f>
        <v>-5.050035016922623E-2</v>
      </c>
      <c r="L48" s="24" t="str">
        <f>IF(AND(ISNUMBER(K48),N(K48)&gt;0),H48+K48*J48,"")</f>
        <v/>
      </c>
      <c r="M48" s="24">
        <f>IF(ISNUMBER(L48),ABS(L48-$C$16),1000000000)</f>
        <v>1000000000</v>
      </c>
    </row>
    <row r="49" spans="1:13" x14ac:dyDescent="0.3">
      <c r="A49" s="24">
        <f>A48+0.01</f>
        <v>0.21000000000000005</v>
      </c>
      <c r="B49" s="20">
        <f>A49*$C$5</f>
        <v>157.50000000000003</v>
      </c>
      <c r="C49" s="20">
        <f>MIN(0.8*B49,$C$5)</f>
        <v>126.00000000000003</v>
      </c>
      <c r="D49" s="24">
        <f>ACOS(MAX(-1,($C$7-C49)/$C$7))</f>
        <v>0.84464068082071642</v>
      </c>
      <c r="E49" s="20">
        <f>$C$7^2*(D49-SIN(D49)*COS(D49))</f>
        <v>48958.066781818859</v>
      </c>
      <c r="F49" s="24">
        <f>E49/$C$9</f>
        <v>0.11081839406292754</v>
      </c>
      <c r="G49" s="16">
        <f>IF(E49&gt;0,2*$C$7^3*SIN(D49)^3/(3*E49),0)</f>
        <v>300.20448950435741</v>
      </c>
      <c r="H49" s="24">
        <f>F49*G49/$C$5</f>
        <v>4.4357572556471825E-2</v>
      </c>
      <c r="I49" s="24" cm="1">
        <f t="array" ref="I49">_xlfn.LET(_xlpm.x,$B49,_xlpm.dep,$H$6:$H$29,_xlpm.e,IF(_xlpm.x&lt;=$C$5,$C$12*(_xlpm.x-_xlpm.dep)/_xlpm.x,$C$13*(_xlpm.x-_xlpm.dep)/(_xlpm.x-3*$C$5/7))/$C$14,_xlpm.s,(_xlpm.e&gt;=1)*1+(_xlpm.e&lt;=-1)*(-1)+(ABS(_xlpm.e)&lt;1)*_xlpm.e,AVERAGE(_xlpm.s))</f>
        <v>-0.6146191262031574</v>
      </c>
      <c r="J49" s="24" cm="1">
        <f t="array" ref="J49">_xlfn.LET(_xlpm.x,$B49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0.12648180221105812</v>
      </c>
      <c r="K49" s="24">
        <f>IFERROR(($C$15-F49)/I49,"")</f>
        <v>-4.0665548754652635E-2</v>
      </c>
      <c r="L49" s="24" t="str">
        <f>IF(AND(ISNUMBER(K49),N(K49)&gt;0),H49+K49*J49,"")</f>
        <v/>
      </c>
      <c r="M49" s="24">
        <f>IF(ISNUMBER(L49),ABS(L49-$C$16),1000000000)</f>
        <v>1000000000</v>
      </c>
    </row>
    <row r="50" spans="1:13" x14ac:dyDescent="0.3">
      <c r="A50" s="24">
        <f>A49+0.01</f>
        <v>0.22000000000000006</v>
      </c>
      <c r="B50" s="20">
        <f>A50*$C$5</f>
        <v>165.00000000000003</v>
      </c>
      <c r="C50" s="20">
        <f>MIN(0.8*B50,$C$5)</f>
        <v>132.00000000000003</v>
      </c>
      <c r="D50" s="24">
        <f>ACOS(MAX(-1,($C$7-C50)/$C$7))</f>
        <v>0.86584074431493285</v>
      </c>
      <c r="E50" s="20">
        <f>$C$7^2*(D50-SIN(D50)*COS(D50))</f>
        <v>52354.379136365205</v>
      </c>
      <c r="F50" s="24">
        <f>E50/$C$9</f>
        <v>0.1185060726337382</v>
      </c>
      <c r="G50" s="16">
        <f>IF(E50&gt;0,2*$C$7^3*SIN(D50)^3/(3*E50),0)</f>
        <v>296.68755984834678</v>
      </c>
      <c r="H50" s="24">
        <f>F50*G50/$C$5</f>
        <v>4.6879036689219646E-2</v>
      </c>
      <c r="I50" s="24" cm="1">
        <f t="array" ref="I50">_xlfn.LET(_xlpm.x,$B50,_xlpm.dep,$H$6:$H$29,_xlpm.e,IF(_xlpm.x&lt;=$C$5,$C$12*(_xlpm.x-_xlpm.dep)/_xlpm.x,$C$13*(_xlpm.x-_xlpm.dep)/(_xlpm.x-3*$C$5/7))/$C$14,_xlpm.s,(_xlpm.e&gt;=1)*1+(_xlpm.e&lt;=-1)*(-1)+(ABS(_xlpm.e)&lt;1)*_xlpm.e,AVERAGE(_xlpm.s))</f>
        <v>-0.58764780228483193</v>
      </c>
      <c r="J50" s="24" cm="1">
        <f t="array" ref="J50">_xlfn.LET(_xlpm.x,$B50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0.13379497077029709</v>
      </c>
      <c r="K50" s="24">
        <f>IFERROR(($C$15-F50)/I50,"")</f>
        <v>-2.9449859940014839E-2</v>
      </c>
      <c r="L50" s="24" t="str">
        <f>IF(AND(ISNUMBER(K50),N(K50)&gt;0),H50+K50*J50,"")</f>
        <v/>
      </c>
      <c r="M50" s="24">
        <f>IF(ISNUMBER(L50),ABS(L50-$C$16),1000000000)</f>
        <v>1000000000</v>
      </c>
    </row>
    <row r="51" spans="1:13" x14ac:dyDescent="0.3">
      <c r="A51" s="24">
        <f>A50+0.01</f>
        <v>0.23000000000000007</v>
      </c>
      <c r="B51" s="20">
        <f>A51*$C$5</f>
        <v>172.50000000000006</v>
      </c>
      <c r="C51" s="20">
        <f>MIN(0.8*B51,$C$5)</f>
        <v>138.00000000000006</v>
      </c>
      <c r="D51" s="24">
        <f>ACOS(MAX(-1,($C$7-C51)/$C$7))</f>
        <v>0.88666507202864253</v>
      </c>
      <c r="E51" s="20">
        <f>$C$7^2*(D51-SIN(D51)*COS(D51))</f>
        <v>55811.960408107312</v>
      </c>
      <c r="F51" s="24">
        <f>E51/$C$9</f>
        <v>0.12633243566363642</v>
      </c>
      <c r="G51" s="16">
        <f>IF(E51&gt;0,2*$C$7^3*SIN(D51)^3/(3*E51),0)</f>
        <v>293.17519742901635</v>
      </c>
      <c r="H51" s="24">
        <f>F51*G51/$C$5</f>
        <v>4.9383382356500152E-2</v>
      </c>
      <c r="I51" s="24" cm="1">
        <f t="array" ref="I51">_xlfn.LET(_xlpm.x,$B51,_xlpm.dep,$H$6:$H$29,_xlpm.e,IF(_xlpm.x&lt;=$C$5,$C$12*(_xlpm.x-_xlpm.dep)/_xlpm.x,$C$13*(_xlpm.x-_xlpm.dep)/(_xlpm.x-3*$C$5/7))/$C$14,_xlpm.s,(_xlpm.e&gt;=1)*1+(_xlpm.e&lt;=-1)*(-1)+(ABS(_xlpm.e)&lt;1)*_xlpm.e,AVERAGE(_xlpm.s))</f>
        <v>-0.56302181088114345</v>
      </c>
      <c r="J51" s="24" cm="1">
        <f t="array" ref="J51">_xlfn.LET(_xlpm.x,$B51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0.14047221162873275</v>
      </c>
      <c r="K51" s="24">
        <f>IFERROR(($C$15-F51)/I51,"")</f>
        <v>-1.6837327183846607E-2</v>
      </c>
      <c r="L51" s="24" t="str">
        <f>IF(AND(ISNUMBER(K51),N(K51)&gt;0),H51+K51*J51,"")</f>
        <v/>
      </c>
      <c r="M51" s="24">
        <f>IF(ISNUMBER(L51),ABS(L51-$C$16),1000000000)</f>
        <v>1000000000</v>
      </c>
    </row>
    <row r="52" spans="1:13" x14ac:dyDescent="0.3">
      <c r="A52" s="24">
        <f>A51+0.01</f>
        <v>0.24000000000000007</v>
      </c>
      <c r="B52" s="20">
        <f>A52*$C$5</f>
        <v>180.00000000000006</v>
      </c>
      <c r="C52" s="20">
        <f>MIN(0.8*B52,$C$5)</f>
        <v>144.00000000000006</v>
      </c>
      <c r="D52" s="24">
        <f>ACOS(MAX(-1,($C$7-C52)/$C$7))</f>
        <v>0.90714154492811294</v>
      </c>
      <c r="E52" s="20">
        <f>$C$7^2*(D52-SIN(D52)*COS(D52))</f>
        <v>59328.269338010432</v>
      </c>
      <c r="F52" s="24">
        <f>E52/$C$9</f>
        <v>0.13429173091885072</v>
      </c>
      <c r="G52" s="16">
        <f>IF(E52&gt;0,2*$C$7^3*SIN(D52)^3/(3*E52),0)</f>
        <v>289.66747629614252</v>
      </c>
      <c r="H52" s="24">
        <f>F52*G52/$C$5</f>
        <v>5.186659571027219E-2</v>
      </c>
      <c r="I52" s="24" cm="1">
        <f t="array" ref="I52">_xlfn.LET(_xlpm.x,$B52,_xlpm.dep,$H$6:$H$29,_xlpm.e,IF(_xlpm.x&lt;=$C$5,$C$12*(_xlpm.x-_xlpm.dep)/_xlpm.x,$C$13*(_xlpm.x-_xlpm.dep)/(_xlpm.x-3*$C$5/7))/$C$14,_xlpm.s,(_xlpm.e&gt;=1)*1+(_xlpm.e&lt;=-1)*(-1)+(ABS(_xlpm.e)&lt;1)*_xlpm.e,AVERAGE(_xlpm.s))</f>
        <v>-0.54044798542776251</v>
      </c>
      <c r="J52" s="24" cm="1">
        <f t="array" ref="J52">_xlfn.LET(_xlpm.x,$B52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0.14659301574896538</v>
      </c>
      <c r="K52" s="24">
        <f>IFERROR(($C$15-F52)/I52,"")</f>
        <v>-2.8133830215499121E-3</v>
      </c>
      <c r="L52" s="24" t="str">
        <f>IF(AND(ISNUMBER(K52),N(K52)&gt;0),H52+K52*J52,"")</f>
        <v/>
      </c>
      <c r="M52" s="24">
        <f>IF(ISNUMBER(L52),ABS(L52-$C$16),1000000000)</f>
        <v>1000000000</v>
      </c>
    </row>
    <row r="53" spans="1:13" x14ac:dyDescent="0.3">
      <c r="A53" s="24">
        <f>A52+0.01</f>
        <v>0.25000000000000006</v>
      </c>
      <c r="B53" s="20">
        <f>A53*$C$5</f>
        <v>187.50000000000003</v>
      </c>
      <c r="C53" s="20">
        <f>MIN(0.8*B53,$C$5)</f>
        <v>150.00000000000003</v>
      </c>
      <c r="D53" s="24">
        <f>ACOS(MAX(-1,($C$7-C53)/$C$7))</f>
        <v>0.92729521800161219</v>
      </c>
      <c r="E53" s="20">
        <f>$C$7^2*(D53-SIN(D53)*COS(D53))</f>
        <v>62900.890031476709</v>
      </c>
      <c r="F53" s="24">
        <f>E53/$C$9</f>
        <v>0.14237848993264701</v>
      </c>
      <c r="G53" s="16">
        <f>IF(E53&gt;0,2*$C$7^3*SIN(D53)^3/(3*E53),0)</f>
        <v>286.16447225138597</v>
      </c>
      <c r="H53" s="24">
        <f>F53*G53/$C$5</f>
        <v>5.4324887242033604E-2</v>
      </c>
      <c r="I53" s="24" cm="1">
        <f t="array" ref="I53">_xlfn.LET(_xlpm.x,$B53,_xlpm.dep,$H$6:$H$29,_xlpm.e,IF(_xlpm.x&lt;=$C$5,$C$12*(_xlpm.x-_xlpm.dep)/_xlpm.x,$C$13*(_xlpm.x-_xlpm.dep)/(_xlpm.x-3*$C$5/7))/$C$14,_xlpm.s,(_xlpm.e&gt;=1)*1+(_xlpm.e&lt;=-1)*(-1)+(ABS(_xlpm.e)&lt;1)*_xlpm.e,AVERAGE(_xlpm.s))</f>
        <v>-0.5186575657741116</v>
      </c>
      <c r="J53" s="24" cm="1">
        <f t="array" ref="J53">_xlfn.LET(_xlpm.x,$B53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0.15232295541925245</v>
      </c>
      <c r="K53" s="24">
        <f>IFERROR(($C$15-F53)/I53,"")</f>
        <v>1.2660129266142338E-2</v>
      </c>
      <c r="L53" s="24">
        <f>IF(AND(ISNUMBER(K53),N(K53)&gt;0),H53+K53*J53,"")</f>
        <v>5.625331554784218E-2</v>
      </c>
      <c r="M53" s="24">
        <f>IF(ISNUMBER(L53),ABS(L53-$C$16),1000000000)</f>
        <v>5.7030612475773151E-4</v>
      </c>
    </row>
    <row r="54" spans="1:13" x14ac:dyDescent="0.3">
      <c r="A54" s="24">
        <f>A53+0.01</f>
        <v>0.26000000000000006</v>
      </c>
      <c r="B54" s="20">
        <f>A54*$C$5</f>
        <v>195.00000000000006</v>
      </c>
      <c r="C54" s="20">
        <f>MIN(0.8*B54,$C$5)</f>
        <v>156.00000000000006</v>
      </c>
      <c r="D54" s="24">
        <f>ACOS(MAX(-1,($C$7-C54)/$C$7))</f>
        <v>0.94714871655134203</v>
      </c>
      <c r="E54" s="20">
        <f>$C$7^2*(D54-SIN(D54)*COS(D54))</f>
        <v>66527.519166348109</v>
      </c>
      <c r="F54" s="24">
        <f>E54/$C$9</f>
        <v>0.15058749905017046</v>
      </c>
      <c r="G54" s="16">
        <f>IF(E54&gt;0,2*$C$7^3*SIN(D54)^3/(3*E54),0)</f>
        <v>282.66626290383971</v>
      </c>
      <c r="H54" s="24">
        <f>F54*G54/$C$5</f>
        <v>5.6754674128729601E-2</v>
      </c>
      <c r="I54" s="24" cm="1">
        <f t="array" ref="I54">_xlfn.LET(_xlpm.x,$B54,_xlpm.dep,$H$6:$H$29,_xlpm.e,IF(_xlpm.x&lt;=$C$5,$C$12*(_xlpm.x-_xlpm.dep)/_xlpm.x,$C$13*(_xlpm.x-_xlpm.dep)/(_xlpm.x-3*$C$5/7))/$C$14,_xlpm.s,(_xlpm.e&gt;=1)*1+(_xlpm.e&lt;=-1)*(-1)+(ABS(_xlpm.e)&lt;1)*_xlpm.e,AVERAGE(_xlpm.s))</f>
        <v>-0.4911611209366456</v>
      </c>
      <c r="J54" s="24" cm="1">
        <f t="array" ref="J54">_xlfn.LET(_xlpm.x,$B54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0.15832544240222901</v>
      </c>
      <c r="K54" s="24">
        <f>IFERROR(($C$15-F54)/I54,"")</f>
        <v>3.0082350404506623E-2</v>
      </c>
      <c r="L54" s="24">
        <f>IF(AND(ISNUMBER(K54),N(K54)&gt;0),H54+K54*J54,"")</f>
        <v>6.1517475565021983E-2</v>
      </c>
      <c r="M54" s="24">
        <f>IF(ISNUMBER(L54),ABS(L54-$C$16),1000000000)</f>
        <v>5.8344661419375346E-3</v>
      </c>
    </row>
    <row r="55" spans="1:13" x14ac:dyDescent="0.3">
      <c r="A55" s="24">
        <f>A54+0.01</f>
        <v>0.27000000000000007</v>
      </c>
      <c r="B55" s="20">
        <f>A55*$C$5</f>
        <v>202.50000000000006</v>
      </c>
      <c r="C55" s="20">
        <f>MIN(0.8*B55,$C$5)</f>
        <v>162.00000000000006</v>
      </c>
      <c r="D55" s="24">
        <f>ACOS(MAX(-1,($C$7-C55)/$C$7))</f>
        <v>0.96672256442390436</v>
      </c>
      <c r="E55" s="20">
        <f>$C$7^2*(D55-SIN(D55)*COS(D55))</f>
        <v>70205.954905296618</v>
      </c>
      <c r="F55" s="24">
        <f>E55/$C$9</f>
        <v>0.15891377433123063</v>
      </c>
      <c r="G55" s="16">
        <f>IF(E55&gt;0,2*$C$7^3*SIN(D55)^3/(3*E55),0)</f>
        <v>279.17292772781445</v>
      </c>
      <c r="H55" s="24">
        <f>F55*G55/$C$5</f>
        <v>5.9152564848435826E-2</v>
      </c>
      <c r="I55" s="24" cm="1">
        <f t="array" ref="I55">_xlfn.LET(_xlpm.x,$B55,_xlpm.dep,$H$6:$H$29,_xlpm.e,IF(_xlpm.x&lt;=$C$5,$C$12*(_xlpm.x-_xlpm.dep)/_xlpm.x,$C$13*(_xlpm.x-_xlpm.dep)/(_xlpm.x-3*$C$5/7))/$C$14,_xlpm.s,(_xlpm.e&gt;=1)*1+(_xlpm.e&lt;=-1)*(-1)+(ABS(_xlpm.e)&lt;1)*_xlpm.e,AVERAGE(_xlpm.s))</f>
        <v>-0.46570144979084399</v>
      </c>
      <c r="J55" s="24" cm="1">
        <f t="array" ref="J55">_xlfn.LET(_xlpm.x,$B55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0.16388330071979976</v>
      </c>
      <c r="K55" s="24">
        <f>IFERROR(($C$15-F55)/I55,"")</f>
        <v>4.9605935812572576E-2</v>
      </c>
      <c r="L55" s="24">
        <f>IF(AND(ISNUMBER(K55),N(K55)&gt;0),H55+K55*J55,"")</f>
        <v>6.7282149344694744E-2</v>
      </c>
      <c r="M55" s="24">
        <f>IF(ISNUMBER(L55),ABS(L55-$C$16),1000000000)</f>
        <v>1.1599139921610296E-2</v>
      </c>
    </row>
    <row r="56" spans="1:13" x14ac:dyDescent="0.3">
      <c r="A56" s="24">
        <f>A55+0.01</f>
        <v>0.28000000000000008</v>
      </c>
      <c r="B56" s="20">
        <f>A56*$C$5</f>
        <v>210.00000000000006</v>
      </c>
      <c r="C56" s="20">
        <f>MIN(0.8*B56,$C$5)</f>
        <v>168.00000000000006</v>
      </c>
      <c r="D56" s="24">
        <f>ACOS(MAX(-1,($C$7-C56)/$C$7))</f>
        <v>0.98603545796151482</v>
      </c>
      <c r="E56" s="20">
        <f>$C$7^2*(D56-SIN(D56)*COS(D56))</f>
        <v>73934.087226926567</v>
      </c>
      <c r="F56" s="24">
        <f>E56/$C$9</f>
        <v>0.16735253966439431</v>
      </c>
      <c r="G56" s="16">
        <f>IF(E56&gt;0,2*$C$7^3*SIN(D56)^3/(3*E56),0)</f>
        <v>275.68454812297449</v>
      </c>
      <c r="H56" s="24">
        <f>F56*G56/$C$5</f>
        <v>6.1515345699480944E-2</v>
      </c>
      <c r="I56" s="24" cm="1">
        <f t="array" ref="I56">_xlfn.LET(_xlpm.x,$B56,_xlpm.dep,$H$6:$H$29,_xlpm.e,IF(_xlpm.x&lt;=$C$5,$C$12*(_xlpm.x-_xlpm.dep)/_xlpm.x,$C$13*(_xlpm.x-_xlpm.dep)/(_xlpm.x-3*$C$5/7))/$C$14,_xlpm.s,(_xlpm.e&gt;=1)*1+(_xlpm.e&lt;=-1)*(-1)+(ABS(_xlpm.e)&lt;1)*_xlpm.e,AVERAGE(_xlpm.s))</f>
        <v>-0.44206032658402811</v>
      </c>
      <c r="J56" s="24" cm="1">
        <f t="array" ref="J56">_xlfn.LET(_xlpm.x,$B56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0.16904416915754411</v>
      </c>
      <c r="K56" s="24">
        <f>IFERROR(($C$15-F56)/I56,"")</f>
        <v>7.1348455544596359E-2</v>
      </c>
      <c r="L56" s="24">
        <f>IF(AND(ISNUMBER(K56),N(K56)&gt;0),H56+K56*J56,"")</f>
        <v>7.3576386087691209E-2</v>
      </c>
      <c r="M56" s="24">
        <f>IF(ISNUMBER(L56),ABS(L56-$C$16),1000000000)</f>
        <v>1.7893376664606761E-2</v>
      </c>
    </row>
    <row r="57" spans="1:13" x14ac:dyDescent="0.3">
      <c r="A57" s="24">
        <f>A56+0.01</f>
        <v>0.29000000000000009</v>
      </c>
      <c r="B57" s="20">
        <f>A57*$C$5</f>
        <v>217.50000000000006</v>
      </c>
      <c r="C57" s="20">
        <f>MIN(0.8*B57,$C$5)</f>
        <v>174.00000000000006</v>
      </c>
      <c r="D57" s="24">
        <f>ACOS(MAX(-1,($C$7-C57)/$C$7))</f>
        <v>1.0051044962776214</v>
      </c>
      <c r="E57" s="20">
        <f>$C$7^2*(D57-SIN(D57)*COS(D57))</f>
        <v>77709.889446331959</v>
      </c>
      <c r="F57" s="24">
        <f>E57/$C$9</f>
        <v>0.1758992075734534</v>
      </c>
      <c r="G57" s="16">
        <f>IF(E57&gt;0,2*$C$7^3*SIN(D57)^3/(3*E57),0)</f>
        <v>272.20120747694062</v>
      </c>
      <c r="H57" s="24">
        <f>F57*G57/$C$5</f>
        <v>6.3839968927641377E-2</v>
      </c>
      <c r="I57" s="24" cm="1">
        <f t="array" ref="I57">_xlfn.LET(_xlpm.x,$B57,_xlpm.dep,$H$6:$H$29,_xlpm.e,IF(_xlpm.x&lt;=$C$5,$C$12*(_xlpm.x-_xlpm.dep)/_xlpm.x,$C$13*(_xlpm.x-_xlpm.dep)/(_xlpm.x-3*$C$5/7))/$C$14,_xlpm.s,(_xlpm.e&gt;=1)*1+(_xlpm.e&lt;=-1)*(-1)+(ABS(_xlpm.e)&lt;1)*_xlpm.e,AVERAGE(_xlpm.s))</f>
        <v>-0.42004962566733745</v>
      </c>
      <c r="J57" s="24" cm="1">
        <f t="array" ref="J57">_xlfn.LET(_xlpm.x,$B57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0.17384911563406472</v>
      </c>
      <c r="K57" s="24">
        <f>IFERROR(($C$15-F57)/I57,"")</f>
        <v>9.5433936894200821E-2</v>
      </c>
      <c r="L57" s="24">
        <f>IF(AND(ISNUMBER(K57),N(K57)&gt;0),H57+K57*J57,"")</f>
        <v>8.0431074458175322E-2</v>
      </c>
      <c r="M57" s="24">
        <f>IF(ISNUMBER(L57),ABS(L57-$C$16),1000000000)</f>
        <v>2.4748065035090874E-2</v>
      </c>
    </row>
    <row r="58" spans="1:13" x14ac:dyDescent="0.3">
      <c r="A58" s="24">
        <f>A57+0.01</f>
        <v>0.3000000000000001</v>
      </c>
      <c r="B58" s="20">
        <f>A58*$C$5</f>
        <v>225.00000000000009</v>
      </c>
      <c r="C58" s="20">
        <f>MIN(0.8*B58,$C$5)</f>
        <v>180.00000000000009</v>
      </c>
      <c r="D58" s="24">
        <f>ACOS(MAX(-1,($C$7-C58)/$C$7))</f>
        <v>1.0239453760989528</v>
      </c>
      <c r="E58" s="20">
        <f>$C$7^2*(D58-SIN(D58)*COS(D58))</f>
        <v>81531.41073953209</v>
      </c>
      <c r="F58" s="24">
        <f>E58/$C$9</f>
        <v>0.18454936229620872</v>
      </c>
      <c r="G58" s="16">
        <f>IF(E58&gt;0,2*$C$7^3*SIN(D58)^3/(3*E58),0)</f>
        <v>268.72299123048396</v>
      </c>
      <c r="H58" s="24">
        <f>F58*G58/$C$5</f>
        <v>6.612354222122066E-2</v>
      </c>
      <c r="I58" s="24" cm="1">
        <f t="array" ref="I58">_xlfn.LET(_xlpm.x,$B58,_xlpm.dep,$H$6:$H$29,_xlpm.e,IF(_xlpm.x&lt;=$C$5,$C$12*(_xlpm.x-_xlpm.dep)/_xlpm.x,$C$13*(_xlpm.x-_xlpm.dep)/(_xlpm.x-3*$C$5/7))/$C$14,_xlpm.s,(_xlpm.e&gt;=1)*1+(_xlpm.e&lt;=-1)*(-1)+(ABS(_xlpm.e)&lt;1)*_xlpm.e,AVERAGE(_xlpm.s))</f>
        <v>-0.39950630481175953</v>
      </c>
      <c r="J58" s="24" cm="1">
        <f t="array" ref="J58">_xlfn.LET(_xlpm.x,$B58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0.17833373234548394</v>
      </c>
      <c r="K58" s="24">
        <f>IFERROR(($C$15-F58)/I58,"")</f>
        <v>0.12199342940054171</v>
      </c>
      <c r="L58" s="24">
        <f>IF(AND(ISNUMBER(K58),N(K58)&gt;0),H58+K58*J58,"")</f>
        <v>8.7879085807844565E-2</v>
      </c>
      <c r="M58" s="24">
        <f>IF(ISNUMBER(L58),ABS(L58-$C$16),1000000000)</f>
        <v>3.2196076384760117E-2</v>
      </c>
    </row>
    <row r="59" spans="1:13" x14ac:dyDescent="0.3">
      <c r="A59" s="24">
        <f>A58+0.01</f>
        <v>0.31000000000000011</v>
      </c>
      <c r="B59" s="20">
        <f>A59*$C$5</f>
        <v>232.50000000000009</v>
      </c>
      <c r="C59" s="20">
        <f>MIN(0.8*B59,$C$5)</f>
        <v>186.00000000000009</v>
      </c>
      <c r="D59" s="24">
        <f>ACOS(MAX(-1,($C$7-C59)/$C$7))</f>
        <v>1.0425725576412255</v>
      </c>
      <c r="E59" s="20">
        <f>$C$7^2*(D59-SIN(D59)*COS(D59))</f>
        <v>85396.769520355752</v>
      </c>
      <c r="F59" s="24">
        <f>E59/$C$9</f>
        <v>0.19329874479280246</v>
      </c>
      <c r="G59" s="16">
        <f>IF(E59&gt;0,2*$C$7^3*SIN(D59)^3/(3*E59),0)</f>
        <v>265.24998694544297</v>
      </c>
      <c r="H59" s="24">
        <f>F59*G59/$C$5</f>
        <v>6.8363319377148485E-2</v>
      </c>
      <c r="I59" s="24" cm="1">
        <f t="array" ref="I59">_xlfn.LET(_xlpm.x,$B59,_xlpm.dep,$H$6:$H$29,_xlpm.e,IF(_xlpm.x&lt;=$C$5,$C$12*(_xlpm.x-_xlpm.dep)/_xlpm.x,$C$13*(_xlpm.x-_xlpm.dep)/(_xlpm.x-3*$C$5/7))/$C$14,_xlpm.s,(_xlpm.e&gt;=1)*1+(_xlpm.e&lt;=-1)*(-1)+(ABS(_xlpm.e)&lt;1)*_xlpm.e,AVERAGE(_xlpm.s))</f>
        <v>-0.37918620895761673</v>
      </c>
      <c r="J59" s="24" cm="1">
        <f t="array" ref="J59">_xlfn.LET(_xlpm.x,$B59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0.18252901894648899</v>
      </c>
      <c r="K59" s="24">
        <f>IFERROR(($C$15-F59)/I59,"")</f>
        <v>0.15160500389966433</v>
      </c>
      <c r="L59" s="24">
        <f>IF(AND(ISNUMBER(K59),N(K59)&gt;0),H59+K59*J59,"")</f>
        <v>9.6035632006332861E-2</v>
      </c>
      <c r="M59" s="24">
        <f>IF(ISNUMBER(L59),ABS(L59-$C$16),1000000000)</f>
        <v>4.0352622583248413E-2</v>
      </c>
    </row>
    <row r="60" spans="1:13" x14ac:dyDescent="0.3">
      <c r="A60" s="24">
        <f>A59+0.01</f>
        <v>0.32000000000000012</v>
      </c>
      <c r="B60" s="20">
        <f>A60*$C$5</f>
        <v>240.00000000000009</v>
      </c>
      <c r="C60" s="20">
        <f>MIN(0.8*B60,$C$5)</f>
        <v>192.00000000000009</v>
      </c>
      <c r="D60" s="24">
        <f>ACOS(MAX(-1,($C$7-C60)/$C$7))</f>
        <v>1.0609994066378645</v>
      </c>
      <c r="E60" s="20">
        <f>$C$7^2*(D60-SIN(D60)*COS(D60))</f>
        <v>89304.147545287822</v>
      </c>
      <c r="F60" s="24">
        <f>E60/$C$9</f>
        <v>0.20214323940182058</v>
      </c>
      <c r="G60" s="16">
        <f>IF(E60&gt;0,2*$C$7^3*SIN(D60)^3/(3*E60),0)</f>
        <v>261.78228437550325</v>
      </c>
      <c r="H60" s="24">
        <f>F60*G60/$C$5</f>
        <v>7.0556691975563773E-2</v>
      </c>
      <c r="I60" s="24" cm="1">
        <f t="array" ref="I60">_xlfn.LET(_xlpm.x,$B60,_xlpm.dep,$H$6:$H$29,_xlpm.e,IF(_xlpm.x&lt;=$C$5,$C$12*(_xlpm.x-_xlpm.dep)/_xlpm.x,$C$13*(_xlpm.x-_xlpm.dep)/(_xlpm.x-3*$C$5/7))/$C$14,_xlpm.s,(_xlpm.e&gt;=1)*1+(_xlpm.e&lt;=-1)*(-1)+(ABS(_xlpm.e)&lt;1)*_xlpm.e,AVERAGE(_xlpm.s))</f>
        <v>-0.3544069524276911</v>
      </c>
      <c r="J60" s="24" cm="1">
        <f t="array" ref="J60">_xlfn.LET(_xlpm.x,$B60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0.1864621001349312</v>
      </c>
      <c r="K60" s="24">
        <f>IFERROR(($C$15-F60)/I60,"")</f>
        <v>0.18716060969562925</v>
      </c>
      <c r="L60" s="24">
        <f>IF(AND(ISNUMBER(K60),N(K60)&gt;0),H60+K60*J60,"")</f>
        <v>0.10545505232194496</v>
      </c>
      <c r="M60" s="24">
        <f>IF(ISNUMBER(L60),ABS(L60-$C$16),1000000000)</f>
        <v>4.9772042898860516E-2</v>
      </c>
    </row>
    <row r="61" spans="1:13" x14ac:dyDescent="0.3">
      <c r="A61" s="24">
        <f>A60+0.01</f>
        <v>0.33000000000000013</v>
      </c>
      <c r="B61" s="20">
        <f>A61*$C$5</f>
        <v>247.50000000000009</v>
      </c>
      <c r="C61" s="20">
        <f>MIN(0.8*B61,$C$5)</f>
        <v>198.00000000000009</v>
      </c>
      <c r="D61" s="24">
        <f>ACOS(MAX(-1,($C$7-C61)/$C$7))</f>
        <v>1.0792383166073571</v>
      </c>
      <c r="E61" s="20">
        <f>$C$7^2*(D61-SIN(D61)*COS(D61))</f>
        <v>93251.784643224906</v>
      </c>
      <c r="F61" s="24">
        <f>E61/$C$9</f>
        <v>0.21107886191089978</v>
      </c>
      <c r="G61" s="16">
        <f>IF(E61&gt;0,2*$C$7^3*SIN(D61)^3/(3*E61),0)</f>
        <v>258.31997553998718</v>
      </c>
      <c r="H61" s="24">
        <f>F61*G61/$C$5</f>
        <v>7.2701181927775957E-2</v>
      </c>
      <c r="I61" s="24" cm="1">
        <f t="array" ref="I61">_xlfn.LET(_xlpm.x,$B61,_xlpm.dep,$H$6:$H$29,_xlpm.e,IF(_xlpm.x&lt;=$C$5,$C$12*(_xlpm.x-_xlpm.dep)/_xlpm.x,$C$13*(_xlpm.x-_xlpm.dep)/(_xlpm.x-3*$C$5/7))/$C$14,_xlpm.s,(_xlpm.e&gt;=1)*1+(_xlpm.e&lt;=-1)*(-1)+(ABS(_xlpm.e)&lt;1)*_xlpm.e,AVERAGE(_xlpm.s))</f>
        <v>-0.33112946902079132</v>
      </c>
      <c r="J61" s="24" cm="1">
        <f t="array" ref="J61">_xlfn.LET(_xlpm.x,$B61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0.19015681276649818</v>
      </c>
      <c r="K61" s="24">
        <f>IFERROR(($C$15-F61)/I61,"")</f>
        <v>0.22730276477171477</v>
      </c>
      <c r="L61" s="24">
        <f>IF(AND(ISNUMBER(K61),N(K61)&gt;0),H61+K61*J61,"")</f>
        <v>0.1159243512097783</v>
      </c>
      <c r="M61" s="24">
        <f>IF(ISNUMBER(L61),ABS(L61-$C$16),1000000000)</f>
        <v>6.0241341786693853E-2</v>
      </c>
    </row>
    <row r="62" spans="1:13" x14ac:dyDescent="0.3">
      <c r="A62" s="24">
        <f>A61+0.01</f>
        <v>0.34000000000000014</v>
      </c>
      <c r="B62" s="20">
        <f>A62*$C$5</f>
        <v>255.00000000000011</v>
      </c>
      <c r="C62" s="20">
        <f>MIN(0.8*B62,$C$5)</f>
        <v>204.00000000000011</v>
      </c>
      <c r="D62" s="24">
        <f>ACOS(MAX(-1,($C$7-C62)/$C$7))</f>
        <v>1.0973008146448406</v>
      </c>
      <c r="E62" s="20">
        <f>$C$7^2*(D62-SIN(D62)*COS(D62))</f>
        <v>97237.973984279204</v>
      </c>
      <c r="F62" s="24">
        <f>E62/$C$9</f>
        <v>0.22010174884749023</v>
      </c>
      <c r="G62" s="16">
        <f>IF(E62&gt;0,2*$C$7^3*SIN(D62)^3/(3*E62),0)</f>
        <v>254.8631548008137</v>
      </c>
      <c r="H62" s="24">
        <f>F62*G62/$C$5</f>
        <v>7.4794434784596964E-2</v>
      </c>
      <c r="I62" s="24" cm="1">
        <f t="array" ref="I62">_xlfn.LET(_xlpm.x,$B62,_xlpm.dep,$H$6:$H$29,_xlpm.e,IF(_xlpm.x&lt;=$C$5,$C$12*(_xlpm.x-_xlpm.dep)/_xlpm.x,$C$13*(_xlpm.x-_xlpm.dep)/(_xlpm.x-3*$C$5/7))/$C$14,_xlpm.s,(_xlpm.e&gt;=1)*1+(_xlpm.e&lt;=-1)*(-1)+(ABS(_xlpm.e)&lt;1)*_xlpm.e,AVERAGE(_xlpm.s))</f>
        <v>-0.30964608594501647</v>
      </c>
      <c r="J62" s="24" cm="1">
        <f t="array" ref="J62">_xlfn.LET(_xlpm.x,$B62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0.19347558369642612</v>
      </c>
      <c r="K62" s="24">
        <f>IFERROR(($C$15-F62)/I62,"")</f>
        <v>0.27221248570012085</v>
      </c>
      <c r="L62" s="24">
        <f>IF(AND(ISNUMBER(K62),N(K62)&gt;0),H62+K62*J62,"")</f>
        <v>0.12746090434488289</v>
      </c>
      <c r="M62" s="24">
        <f>IF(ISNUMBER(L62),ABS(L62-$C$16),1000000000)</f>
        <v>7.1777894921798438E-2</v>
      </c>
    </row>
    <row r="63" spans="1:13" x14ac:dyDescent="0.3">
      <c r="A63" s="24">
        <f>A62+0.01</f>
        <v>0.35000000000000014</v>
      </c>
      <c r="B63" s="20">
        <f>A63*$C$5</f>
        <v>262.50000000000011</v>
      </c>
      <c r="C63" s="20">
        <f>MIN(0.8*B63,$C$5)</f>
        <v>210.00000000000011</v>
      </c>
      <c r="D63" s="24">
        <f>ACOS(MAX(-1,($C$7-C63)/$C$7))</f>
        <v>1.1151976533990735</v>
      </c>
      <c r="E63" s="20">
        <f>$C$7^2*(D63-SIN(D63)*COS(D63))</f>
        <v>101261.0578156517</v>
      </c>
      <c r="F63" s="24">
        <f>E63/$C$9</f>
        <v>0.22920814782684687</v>
      </c>
      <c r="G63" s="16">
        <f>IF(E63&gt;0,2*$C$7^3*SIN(D63)^3/(3*E63),0)</f>
        <v>251.41191894279103</v>
      </c>
      <c r="H63" s="24">
        <f>F63*G63/$C$5</f>
        <v>7.6834213709960658E-2</v>
      </c>
      <c r="I63" s="24" cm="1">
        <f t="array" ref="I63">_xlfn.LET(_xlpm.x,$B63,_xlpm.dep,$H$6:$H$29,_xlpm.e,IF(_xlpm.x&lt;=$C$5,$C$12*(_xlpm.x-_xlpm.dep)/_xlpm.x,$C$13*(_xlpm.x-_xlpm.dep)/(_xlpm.x-3*$C$5/7))/$C$14,_xlpm.s,(_xlpm.e&gt;=1)*1+(_xlpm.e&lt;=-1)*(-1)+(ABS(_xlpm.e)&lt;1)*_xlpm.e,AVERAGE(_xlpm.s))</f>
        <v>-0.28970381682277785</v>
      </c>
      <c r="J63" s="24" cm="1">
        <f t="array" ref="J63">_xlfn.LET(_xlpm.x,$B63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0.19648767353617833</v>
      </c>
      <c r="K63" s="24">
        <f>IFERROR(($C$15-F63)/I63,"")</f>
        <v>0.32238418791319018</v>
      </c>
      <c r="L63" s="24">
        <f>IF(AND(ISNUMBER(K63),N(K63)&gt;0),H63+K63*J63,"")</f>
        <v>0.14017873277787352</v>
      </c>
      <c r="M63" s="24">
        <f>IF(ISNUMBER(L63),ABS(L63-$C$16),1000000000)</f>
        <v>8.4495723354789068E-2</v>
      </c>
    </row>
    <row r="64" spans="1:13" x14ac:dyDescent="0.3">
      <c r="A64" s="24">
        <f>A63+0.01</f>
        <v>0.36000000000000015</v>
      </c>
      <c r="B64" s="20">
        <f>A64*$C$5</f>
        <v>270.00000000000011</v>
      </c>
      <c r="C64" s="20">
        <f>MIN(0.8*B64,$C$5)</f>
        <v>216.00000000000011</v>
      </c>
      <c r="D64" s="24">
        <f>ACOS(MAX(-1,($C$7-C64)/$C$7))</f>
        <v>1.1329388914046707</v>
      </c>
      <c r="E64" s="20">
        <f>$C$7^2*(D64-SIN(D64)*COS(D64))</f>
        <v>105319.42360388984</v>
      </c>
      <c r="F64" s="24">
        <f>E64/$C$9</f>
        <v>0.23839440881988702</v>
      </c>
      <c r="G64" s="16">
        <f>IF(E64&gt;0,2*$C$7^3*SIN(D64)^3/(3*E64),0)</f>
        <v>247.96636725742528</v>
      </c>
      <c r="H64" s="24">
        <f>F64*G64/$C$5</f>
        <v>7.8818394039398512E-2</v>
      </c>
      <c r="I64" s="24" cm="1">
        <f t="array" ref="I64">_xlfn.LET(_xlpm.x,$B64,_xlpm.dep,$H$6:$H$29,_xlpm.e,IF(_xlpm.x&lt;=$C$5,$C$12*(_xlpm.x-_xlpm.dep)/_xlpm.x,$C$13*(_xlpm.x-_xlpm.dep)/(_xlpm.x-3*$C$5/7))/$C$14,_xlpm.s,(_xlpm.e&gt;=1)*1+(_xlpm.e&lt;=-1)*(-1)+(ABS(_xlpm.e)&lt;1)*_xlpm.e,AVERAGE(_xlpm.s))</f>
        <v>-0.27086945154066372</v>
      </c>
      <c r="J64" s="24" cm="1">
        <f t="array" ref="J64">_xlfn.LET(_xlpm.x,$B64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0.19933242505149987</v>
      </c>
      <c r="K64" s="24">
        <f>IFERROR(($C$15-F64)/I64,"")</f>
        <v>0.37871450667962475</v>
      </c>
      <c r="L64" s="24">
        <f>IF(AND(ISNUMBER(K64),N(K64)&gt;0),H64+K64*J64,"")</f>
        <v>0.15430847505803055</v>
      </c>
      <c r="M64" s="24">
        <f>IF(ISNUMBER(L64),ABS(L64-$C$16),1000000000)</f>
        <v>9.8625465634946105E-2</v>
      </c>
    </row>
    <row r="65" spans="1:13" x14ac:dyDescent="0.3">
      <c r="A65" s="24">
        <f>A64+0.01</f>
        <v>0.37000000000000016</v>
      </c>
      <c r="B65" s="20">
        <f>A65*$C$5</f>
        <v>277.50000000000011</v>
      </c>
      <c r="C65" s="20">
        <f>MIN(0.8*B65,$C$5)</f>
        <v>222.00000000000011</v>
      </c>
      <c r="D65" s="24">
        <f>ACOS(MAX(-1,($C$7-C65)/$C$7))</f>
        <v>1.1505339635501028</v>
      </c>
      <c r="E65" s="20">
        <f>$C$7^2*(D65-SIN(D65)*COS(D65))</f>
        <v>109411.50053208618</v>
      </c>
      <c r="F65" s="24">
        <f>E65/$C$9</f>
        <v>0.24765697622447011</v>
      </c>
      <c r="G65" s="16">
        <f>IF(E65&gt;0,2*$C$7^3*SIN(D65)^3/(3*E65),0)</f>
        <v>244.52660163042981</v>
      </c>
      <c r="H65" s="24">
        <f>F65*G65/$C$5</f>
        <v>8.074495835498377E-2</v>
      </c>
      <c r="I65" s="24" cm="1">
        <f t="array" ref="I65">_xlfn.LET(_xlpm.x,$B65,_xlpm.dep,$H$6:$H$29,_xlpm.e,IF(_xlpm.x&lt;=$C$5,$C$12*(_xlpm.x-_xlpm.dep)/_xlpm.x,$C$13*(_xlpm.x-_xlpm.dep)/(_xlpm.x-3*$C$5/7))/$C$14,_xlpm.s,(_xlpm.e&gt;=1)*1+(_xlpm.e&lt;=-1)*(-1)+(ABS(_xlpm.e)&lt;1)*_xlpm.e,AVERAGE(_xlpm.s))</f>
        <v>-0.25218679009461825</v>
      </c>
      <c r="J65" s="24" cm="1">
        <f t="array" ref="J65">_xlfn.LET(_xlpm.x,$B65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0.20180727715085092</v>
      </c>
      <c r="K65" s="24">
        <f>IFERROR(($C$15-F65)/I65,"")</f>
        <v>0.44349966973854144</v>
      </c>
      <c r="L65" s="24">
        <f>IF(AND(ISNUMBER(K65),N(K65)&gt;0),H65+K65*J65,"")</f>
        <v>0.17024641912222044</v>
      </c>
      <c r="M65" s="24">
        <f>IF(ISNUMBER(L65),ABS(L65-$C$16),1000000000)</f>
        <v>0.11456340969913599</v>
      </c>
    </row>
    <row r="66" spans="1:13" x14ac:dyDescent="0.3">
      <c r="A66" s="24">
        <f>A65+0.01</f>
        <v>0.38000000000000017</v>
      </c>
      <c r="B66" s="20">
        <f>A66*$C$5</f>
        <v>285.00000000000011</v>
      </c>
      <c r="C66" s="20">
        <f>MIN(0.8*B66,$C$5)</f>
        <v>228.00000000000011</v>
      </c>
      <c r="D66" s="24">
        <f>ACOS(MAX(-1,($C$7-C66)/$C$7))</f>
        <v>1.1679917431511839</v>
      </c>
      <c r="E66" s="20">
        <f>$C$7^2*(D66-SIN(D66)*COS(D66))</f>
        <v>113535.75630818657</v>
      </c>
      <c r="F66" s="24">
        <f>E66/$C$9</f>
        <v>0.25699238164088506</v>
      </c>
      <c r="G66" s="16">
        <f>IF(E66&gt;0,2*$C$7^3*SIN(D66)^3/(3*E66),0)</f>
        <v>241.09272663313988</v>
      </c>
      <c r="H66" s="24">
        <f>F66*G66/$C$5</f>
        <v>8.2611992018327265E-2</v>
      </c>
      <c r="I66" s="24" cm="1">
        <f t="array" ref="I66">_xlfn.LET(_xlpm.x,$B66,_xlpm.dep,$H$6:$H$29,_xlpm.e,IF(_xlpm.x&lt;=$C$5,$C$12*(_xlpm.x-_xlpm.dep)/_xlpm.x,$C$13*(_xlpm.x-_xlpm.dep)/(_xlpm.x-3*$C$5/7))/$C$14,_xlpm.s,(_xlpm.e&gt;=1)*1+(_xlpm.e&lt;=-1)*(-1)+(ABS(_xlpm.e)&lt;1)*_xlpm.e,AVERAGE(_xlpm.s))</f>
        <v>-0.23094503246054934</v>
      </c>
      <c r="J66" s="24" cm="1">
        <f t="array" ref="J66">_xlfn.LET(_xlpm.x,$B66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0.20332686185594162</v>
      </c>
      <c r="K66" s="24">
        <f>IFERROR(($C$15-F66)/I66,"")</f>
        <v>0.52471431078086228</v>
      </c>
      <c r="L66" s="24">
        <f>IF(AND(ISNUMBER(K66),N(K66)&gt;0),H66+K66*J66,"")</f>
        <v>0.18930050620030325</v>
      </c>
      <c r="M66" s="24">
        <f>IF(ISNUMBER(L66),ABS(L66-$C$16),1000000000)</f>
        <v>0.13361749677721879</v>
      </c>
    </row>
    <row r="67" spans="1:13" x14ac:dyDescent="0.3">
      <c r="A67" s="24">
        <f>A66+0.01</f>
        <v>0.39000000000000018</v>
      </c>
      <c r="B67" s="20">
        <f>A67*$C$5</f>
        <v>292.50000000000011</v>
      </c>
      <c r="C67" s="20">
        <f>MIN(0.8*B67,$C$5)</f>
        <v>234.00000000000011</v>
      </c>
      <c r="D67" s="24">
        <f>ACOS(MAX(-1,($C$7-C67)/$C$7))</f>
        <v>1.1853205968501044</v>
      </c>
      <c r="E67" s="20">
        <f>$C$7^2*(D67-SIN(D67)*COS(D67))</f>
        <v>117690.69424687618</v>
      </c>
      <c r="F67" s="24">
        <f>E67/$C$9</f>
        <v>0.26639723726659176</v>
      </c>
      <c r="G67" s="16">
        <f>IF(E67&gt;0,2*$C$7^3*SIN(D67)^3/(3*E67),0)</f>
        <v>237.66484961804497</v>
      </c>
      <c r="H67" s="24">
        <f>F67*G67/$C$5</f>
        <v>8.44176791115029E-2</v>
      </c>
      <c r="I67" s="24" cm="1">
        <f t="array" ref="I67">_xlfn.LET(_xlpm.x,$B67,_xlpm.dep,$H$6:$H$29,_xlpm.e,IF(_xlpm.x&lt;=$C$5,$C$12*(_xlpm.x-_xlpm.dep)/_xlpm.x,$C$13*(_xlpm.x-_xlpm.dep)/(_xlpm.x-3*$C$5/7))/$C$14,_xlpm.s,(_xlpm.e&gt;=1)*1+(_xlpm.e&lt;=-1)*(-1)+(ABS(_xlpm.e)&lt;1)*_xlpm.e,AVERAGE(_xlpm.s))</f>
        <v>-0.21079259573079159</v>
      </c>
      <c r="J67" s="24" cm="1">
        <f t="array" ref="J67">_xlfn.LET(_xlpm.x,$B67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0.20476851914025843</v>
      </c>
      <c r="K67" s="24">
        <f>IFERROR(($C$15-F67)/I67,"")</f>
        <v>0.61949528496855299</v>
      </c>
      <c r="L67" s="24">
        <f>IF(AND(ISNUMBER(K67),N(K67)&gt;0),H67+K67*J67,"")</f>
        <v>0.21127081122888591</v>
      </c>
      <c r="M67" s="24">
        <f>IF(ISNUMBER(L67),ABS(L67-$C$16),1000000000)</f>
        <v>0.15558780180580145</v>
      </c>
    </row>
    <row r="68" spans="1:13" x14ac:dyDescent="0.3">
      <c r="A68" s="24">
        <f>A67+0.01</f>
        <v>0.40000000000000019</v>
      </c>
      <c r="B68" s="20">
        <f>A68*$C$5</f>
        <v>300.00000000000011</v>
      </c>
      <c r="C68" s="20">
        <f>MIN(0.8*B68,$C$5)</f>
        <v>240.00000000000011</v>
      </c>
      <c r="D68" s="24">
        <f>ACOS(MAX(-1,($C$7-C68)/$C$7))</f>
        <v>1.2025284333582569</v>
      </c>
      <c r="E68" s="20">
        <f>$C$7^2*(D68-SIN(D68)*COS(D68))</f>
        <v>121874.85059275795</v>
      </c>
      <c r="F68" s="24">
        <f>E68/$C$9</f>
        <v>0.27586822983713621</v>
      </c>
      <c r="G68" s="16">
        <f>IF(E68&gt;0,2*$C$7^3*SIN(D68)^3/(3*E68),0)</f>
        <v>234.24308081866886</v>
      </c>
      <c r="H68" s="24">
        <f>F68*G68/$C$5</f>
        <v>8.6160298742724559E-2</v>
      </c>
      <c r="I68" s="24" cm="1">
        <f t="array" ref="I68">_xlfn.LET(_xlpm.x,$B68,_xlpm.dep,$H$6:$H$29,_xlpm.e,IF(_xlpm.x&lt;=$C$5,$C$12*(_xlpm.x-_xlpm.dep)/_xlpm.x,$C$13*(_xlpm.x-_xlpm.dep)/(_xlpm.x-3*$C$5/7))/$C$14,_xlpm.s,(_xlpm.e&gt;=1)*1+(_xlpm.e&lt;=-1)*(-1)+(ABS(_xlpm.e)&lt;1)*_xlpm.e,AVERAGE(_xlpm.s))</f>
        <v>-0.19164778083752179</v>
      </c>
      <c r="J68" s="24" cm="1">
        <f t="array" ref="J68">_xlfn.LET(_xlpm.x,$B68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0.20613809356035939</v>
      </c>
      <c r="K68" s="24">
        <f>IFERROR(($C$15-F68)/I68,"")</f>
        <v>0.73079902683971643</v>
      </c>
      <c r="L68" s="24">
        <f>IF(AND(ISNUMBER(K68),N(K68)&gt;0),H68+K68*J68,"")</f>
        <v>0.23680581691122959</v>
      </c>
      <c r="M68" s="24">
        <f>IF(ISNUMBER(L68),ABS(L68-$C$16),1000000000)</f>
        <v>0.18112280748814513</v>
      </c>
    </row>
    <row r="69" spans="1:13" x14ac:dyDescent="0.3">
      <c r="A69" s="24">
        <f>A68+0.01</f>
        <v>0.4100000000000002</v>
      </c>
      <c r="B69" s="20">
        <f>A69*$C$5</f>
        <v>307.50000000000017</v>
      </c>
      <c r="C69" s="20">
        <f>MIN(0.8*B69,$C$5)</f>
        <v>246.00000000000014</v>
      </c>
      <c r="D69" s="24">
        <f>ACOS(MAX(-1,($C$7-C69)/$C$7))</f>
        <v>1.2196227468970278</v>
      </c>
      <c r="E69" s="20">
        <f>$C$7^2*(D69-SIN(D69)*COS(D69))</f>
        <v>126086.79205692331</v>
      </c>
      <c r="F69" s="24">
        <f>E69/$C$9</f>
        <v>0.28540211505008745</v>
      </c>
      <c r="G69" s="16">
        <f>IF(E69&gt;0,2*$C$7^3*SIN(D69)^3/(3*E69),0)</f>
        <v>230.8275334540412</v>
      </c>
      <c r="H69" s="24">
        <f>F69*G69/$C$5</f>
        <v>8.783822167943757E-2</v>
      </c>
      <c r="I69" s="24" cm="1">
        <f t="array" ref="I69">_xlfn.LET(_xlpm.x,$B69,_xlpm.dep,$H$6:$H$29,_xlpm.e,IF(_xlpm.x&lt;=$C$5,$C$12*(_xlpm.x-_xlpm.dep)/_xlpm.x,$C$13*(_xlpm.x-_xlpm.dep)/(_xlpm.x-3*$C$5/7))/$C$14,_xlpm.s,(_xlpm.e&gt;=1)*1+(_xlpm.e&lt;=-1)*(-1)+(ABS(_xlpm.e)&lt;1)*_xlpm.e,AVERAGE(_xlpm.s))</f>
        <v>-0.1734368593536797</v>
      </c>
      <c r="J69" s="24" cm="1">
        <f t="array" ref="J69">_xlfn.LET(_xlpm.x,$B69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0.20744085947216273</v>
      </c>
      <c r="K69" s="24">
        <f>IFERROR(($C$15-F69)/I69,"")</f>
        <v>0.86250349263966686</v>
      </c>
      <c r="L69" s="24">
        <f>IF(AND(ISNUMBER(K69),N(K69)&gt;0),H69+K69*J69,"")</f>
        <v>0.26675668749035225</v>
      </c>
      <c r="M69" s="24">
        <f>IF(ISNUMBER(L69),ABS(L69-$C$16),1000000000)</f>
        <v>0.21107367806726779</v>
      </c>
    </row>
    <row r="70" spans="1:13" x14ac:dyDescent="0.3">
      <c r="A70" s="24">
        <f>A69+0.01</f>
        <v>0.42000000000000021</v>
      </c>
      <c r="B70" s="20">
        <f>A70*$C$5</f>
        <v>315.00000000000017</v>
      </c>
      <c r="C70" s="20">
        <f>MIN(0.8*B70,$C$5)</f>
        <v>252.00000000000014</v>
      </c>
      <c r="D70" s="24">
        <f>ACOS(MAX(-1,($C$7-C70)/$C$7))</f>
        <v>1.2366106560566177</v>
      </c>
      <c r="E70" s="20">
        <f>$C$7^2*(D70-SIN(D70)*COS(D70))</f>
        <v>130325.11354270337</v>
      </c>
      <c r="F70" s="24">
        <f>E70/$C$9</f>
        <v>0.29499571241719119</v>
      </c>
      <c r="G70" s="16">
        <f>IF(E70&gt;0,2*$C$7^3*SIN(D70)^3/(3*E70),0)</f>
        <v>227.4183238380198</v>
      </c>
      <c r="H70" s="24">
        <f>F70*G70/$C$5</f>
        <v>8.9449907276426877E-2</v>
      </c>
      <c r="I70" s="24" cm="1">
        <f t="array" ref="I70">_xlfn.LET(_xlpm.x,$B70,_xlpm.dep,$H$6:$H$29,_xlpm.e,IF(_xlpm.x&lt;=$C$5,$C$12*(_xlpm.x-_xlpm.dep)/_xlpm.x,$C$13*(_xlpm.x-_xlpm.dep)/(_xlpm.x-3*$C$5/7))/$C$14,_xlpm.s,(_xlpm.e&gt;=1)*1+(_xlpm.e&lt;=-1)*(-1)+(ABS(_xlpm.e)&lt;1)*_xlpm.e,AVERAGE(_xlpm.s))</f>
        <v>-0.1560931246071636</v>
      </c>
      <c r="J70" s="24" cm="1">
        <f t="array" ref="J70">_xlfn.LET(_xlpm.x,$B70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0.20868158891197547</v>
      </c>
      <c r="K70" s="24">
        <f>IFERROR(($C$15-F70)/I70,"")</f>
        <v>1.0197982435979869</v>
      </c>
      <c r="L70" s="24">
        <f>IF(AND(ISNUMBER(K70),N(K70)&gt;0),H70+K70*J70,"")</f>
        <v>0.30226302512009662</v>
      </c>
      <c r="M70" s="24">
        <f>IF(ISNUMBER(L70),ABS(L70-$C$16),1000000000)</f>
        <v>0.24658001569701216</v>
      </c>
    </row>
    <row r="71" spans="1:13" x14ac:dyDescent="0.3">
      <c r="A71" s="24">
        <f>A70+0.01</f>
        <v>0.43000000000000022</v>
      </c>
      <c r="B71" s="20">
        <f>A71*$C$5</f>
        <v>322.50000000000017</v>
      </c>
      <c r="C71" s="20">
        <f>MIN(0.8*B71,$C$5)</f>
        <v>258.00000000000017</v>
      </c>
      <c r="D71" s="24">
        <f>ACOS(MAX(-1,($C$7-C71)/$C$7))</f>
        <v>1.2534989386827577</v>
      </c>
      <c r="E71" s="20">
        <f>$C$7^2*(D71-SIN(D71)*COS(D71))</f>
        <v>134588.43603949857</v>
      </c>
      <c r="F71" s="24">
        <f>E71/$C$9</f>
        <v>0.30464590049697554</v>
      </c>
      <c r="G71" s="16">
        <f>IF(E71&gt;0,2*$C$7^3*SIN(D71)^3/(3*E71),0)</f>
        <v>224.01557149374275</v>
      </c>
      <c r="H71" s="24">
        <f>F71*G71/$C$5</f>
        <v>9.099390067074116E-2</v>
      </c>
      <c r="I71" s="24" cm="1">
        <f t="array" ref="I71">_xlfn.LET(_xlpm.x,$B71,_xlpm.dep,$H$6:$H$29,_xlpm.e,IF(_xlpm.x&lt;=$C$5,$C$12*(_xlpm.x-_xlpm.dep)/_xlpm.x,$C$13*(_xlpm.x-_xlpm.dep)/(_xlpm.x-3*$C$5/7))/$C$14,_xlpm.s,(_xlpm.e&gt;=1)*1+(_xlpm.e&lt;=-1)*(-1)+(ABS(_xlpm.e)&lt;1)*_xlpm.e,AVERAGE(_xlpm.s))</f>
        <v>-0.1363067211925266</v>
      </c>
      <c r="J71" s="24" cm="1">
        <f t="array" ref="J71">_xlfn.LET(_xlpm.x,$B71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0.20925806392478569</v>
      </c>
      <c r="K71" s="24">
        <f>IFERROR(($C$15-F71)/I71,"")</f>
        <v>1.2386306479591873</v>
      </c>
      <c r="L71" s="24">
        <f>IF(AND(ISNUMBER(K71),N(K71)&gt;0),H71+K71*J71,"")</f>
        <v>0.35018735198058348</v>
      </c>
      <c r="M71" s="24">
        <f>IF(ISNUMBER(L71),ABS(L71-$C$16),1000000000)</f>
        <v>0.29450434255749902</v>
      </c>
    </row>
    <row r="72" spans="1:13" x14ac:dyDescent="0.3">
      <c r="A72" s="24">
        <f>A71+0.01</f>
        <v>0.44000000000000022</v>
      </c>
      <c r="B72" s="20">
        <f>A72*$C$5</f>
        <v>330.00000000000017</v>
      </c>
      <c r="C72" s="20">
        <f>MIN(0.8*B72,$C$5)</f>
        <v>264.00000000000017</v>
      </c>
      <c r="D72" s="24">
        <f>ACOS(MAX(-1,($C$7-C72)/$C$7))</f>
        <v>1.2702940633102178</v>
      </c>
      <c r="E72" s="20">
        <f>$C$7^2*(D72-SIN(D72)*COS(D72))</f>
        <v>138875.40466621891</v>
      </c>
      <c r="F72" s="24">
        <f>E72/$C$9</f>
        <v>0.31434961246600546</v>
      </c>
      <c r="G72" s="16">
        <f>IF(E72&gt;0,2*$C$7^3*SIN(D72)^3/(3*E72),0)</f>
        <v>220.61939927350892</v>
      </c>
      <c r="H72" s="24">
        <f>F72*G72/$C$5</f>
        <v>9.2468830218813941E-2</v>
      </c>
      <c r="I72" s="24" cm="1">
        <f t="array" ref="I72">_xlfn.LET(_xlpm.x,$B72,_xlpm.dep,$H$6:$H$29,_xlpm.e,IF(_xlpm.x&lt;=$C$5,$C$12*(_xlpm.x-_xlpm.dep)/_xlpm.x,$C$13*(_xlpm.x-_xlpm.dep)/(_xlpm.x-3*$C$5/7))/$C$14,_xlpm.s,(_xlpm.e&gt;=1)*1+(_xlpm.e&lt;=-1)*(-1)+(ABS(_xlpm.e)&lt;1)*_xlpm.e,AVERAGE(_xlpm.s))</f>
        <v>-0.11565202298360554</v>
      </c>
      <c r="J72" s="24" cm="1">
        <f t="array" ref="J72">_xlfn.LET(_xlpm.x,$B72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0.20947836919795643</v>
      </c>
      <c r="K72" s="24">
        <f>IFERROR(($C$15-F72)/I72,"")</f>
        <v>1.5437464019650595</v>
      </c>
      <c r="L72" s="24">
        <f>IF(AND(ISNUMBER(K72),N(K72)&gt;0),H72+K72*J72,"")</f>
        <v>0.4158503089576675</v>
      </c>
      <c r="M72" s="24">
        <f>IF(ISNUMBER(L72),ABS(L72-$C$16),1000000000)</f>
        <v>0.36016729953458304</v>
      </c>
    </row>
    <row r="73" spans="1:13" x14ac:dyDescent="0.3">
      <c r="A73" s="24">
        <f>A72+0.01</f>
        <v>0.45000000000000023</v>
      </c>
      <c r="B73" s="20">
        <f>A73*$C$5</f>
        <v>337.50000000000017</v>
      </c>
      <c r="C73" s="20">
        <f>MIN(0.8*B73,$C$5)</f>
        <v>270.00000000000017</v>
      </c>
      <c r="D73" s="24">
        <f>ACOS(MAX(-1,($C$7-C73)/$C$7))</f>
        <v>1.2870022175865692</v>
      </c>
      <c r="E73" s="20">
        <f>$C$7^2*(D73-SIN(D73)*COS(D73))</f>
        <v>143184.68684811136</v>
      </c>
      <c r="F73" s="24">
        <f>E73/$C$9</f>
        <v>0.32410383199206427</v>
      </c>
      <c r="G73" s="16">
        <f>IF(E73&gt;0,2*$C$7^3*SIN(D73)^3/(3*E73),0)</f>
        <v>217.22993348440093</v>
      </c>
      <c r="H73" s="24">
        <f>F73*G73/$C$5</f>
        <v>9.3873405154234105E-2</v>
      </c>
      <c r="I73" s="24" cm="1">
        <f t="array" ref="I73">_xlfn.LET(_xlpm.x,$B73,_xlpm.dep,$H$6:$H$29,_xlpm.e,IF(_xlpm.x&lt;=$C$5,$C$12*(_xlpm.x-_xlpm.dep)/_xlpm.x,$C$13*(_xlpm.x-_xlpm.dep)/(_xlpm.x-3*$C$5/7))/$C$14,_xlpm.s,(_xlpm.e&gt;=1)*1+(_xlpm.e&lt;=-1)*(-1)+(ABS(_xlpm.e)&lt;1)*_xlpm.e,AVERAGE(_xlpm.s))</f>
        <v>-9.5915311361747621E-2</v>
      </c>
      <c r="J73" s="24" cm="1">
        <f t="array" ref="J73">_xlfn.LET(_xlpm.x,$B73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0.20968888312565287</v>
      </c>
      <c r="K73" s="24">
        <f>IFERROR(($C$15-F73)/I73,"")</f>
        <v>1.9631027748722254</v>
      </c>
      <c r="L73" s="24">
        <f>IF(AND(ISNUMBER(K73),N(K73)&gt;0),H73+K73*J73,"")</f>
        <v>0.50551423347806101</v>
      </c>
      <c r="M73" s="24">
        <f>IF(ISNUMBER(L73),ABS(L73-$C$16),1000000000)</f>
        <v>0.44983122405497655</v>
      </c>
    </row>
    <row r="74" spans="1:13" x14ac:dyDescent="0.3">
      <c r="A74" s="24">
        <f>A73+0.01</f>
        <v>0.46000000000000024</v>
      </c>
      <c r="B74" s="20">
        <f>A74*$C$5</f>
        <v>345.00000000000017</v>
      </c>
      <c r="C74" s="20">
        <f>MIN(0.8*B74,$C$5)</f>
        <v>276.00000000000017</v>
      </c>
      <c r="D74" s="24">
        <f>ACOS(MAX(-1,($C$7-C74)/$C$7))</f>
        <v>1.3036293340668403</v>
      </c>
      <c r="E74" s="20">
        <f>$C$7^2*(D74-SIN(D74)*COS(D74))</f>
        <v>147514.97061266023</v>
      </c>
      <c r="F74" s="24">
        <f>E74/$C$9</f>
        <v>0.33390558937686121</v>
      </c>
      <c r="G74" s="16">
        <f>IF(E74&gt;0,2*$C$7^3*SIN(D74)^3/(3*E74),0)</f>
        <v>213.84730401999499</v>
      </c>
      <c r="H74" s="24">
        <f>F74*G74/$C$5</f>
        <v>9.5206413447265673E-2</v>
      </c>
      <c r="I74" s="24" cm="1">
        <f t="array" ref="I74">_xlfn.LET(_xlpm.x,$B74,_xlpm.dep,$H$6:$H$29,_xlpm.e,IF(_xlpm.x&lt;=$C$5,$C$12*(_xlpm.x-_xlpm.dep)/_xlpm.x,$C$13*(_xlpm.x-_xlpm.dep)/(_xlpm.x-3*$C$5/7))/$C$14,_xlpm.s,(_xlpm.e&gt;=1)*1+(_xlpm.e&lt;=-1)*(-1)+(ABS(_xlpm.e)&lt;1)*_xlpm.e,AVERAGE(_xlpm.s))</f>
        <v>-7.7036717636492266E-2</v>
      </c>
      <c r="J74" s="24" cm="1">
        <f t="array" ref="J74">_xlfn.LET(_xlpm.x,$B74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0.20989024427388431</v>
      </c>
      <c r="K74" s="24">
        <f>IFERROR(($C$15-F74)/I74,"")</f>
        <v>2.5714149998771547</v>
      </c>
      <c r="L74" s="24">
        <f>IF(AND(ISNUMBER(K74),N(K74)&gt;0),H74+K74*J74,"")</f>
        <v>0.63492133590101185</v>
      </c>
      <c r="M74" s="24">
        <f>IF(ISNUMBER(L74),ABS(L74-$C$16),1000000000)</f>
        <v>0.57923832647792739</v>
      </c>
    </row>
    <row r="75" spans="1:13" x14ac:dyDescent="0.3">
      <c r="A75" s="24">
        <f>A74+0.01</f>
        <v>0.47000000000000025</v>
      </c>
      <c r="B75" s="20">
        <f>A75*$C$5</f>
        <v>352.50000000000017</v>
      </c>
      <c r="C75" s="20">
        <f>MIN(0.8*B75,$C$5)</f>
        <v>282.00000000000017</v>
      </c>
      <c r="D75" s="24">
        <f>ACOS(MAX(-1,($C$7-C75)/$C$7))</f>
        <v>1.3201811137071817</v>
      </c>
      <c r="E75" s="20">
        <f>$C$7^2*(D75-SIN(D75)*COS(D75))</f>
        <v>151864.96299188409</v>
      </c>
      <c r="F75" s="24">
        <f>E75/$C$9</f>
        <v>0.34375195793957131</v>
      </c>
      <c r="G75" s="16">
        <f>IF(E75&gt;0,2*$C$7^3*SIN(D75)^3/(3*E75),0)</f>
        <v>210.47164449851974</v>
      </c>
      <c r="H75" s="24">
        <f>F75*G75/$C$5</f>
        <v>9.6466719849503418E-2</v>
      </c>
      <c r="I75" s="24" cm="1">
        <f t="array" ref="I75">_xlfn.LET(_xlpm.x,$B75,_xlpm.dep,$H$6:$H$29,_xlpm.e,IF(_xlpm.x&lt;=$C$5,$C$12*(_xlpm.x-_xlpm.dep)/_xlpm.x,$C$13*(_xlpm.x-_xlpm.dep)/(_xlpm.x-3*$C$5/7))/$C$14,_xlpm.s,(_xlpm.e&gt;=1)*1+(_xlpm.e&lt;=-1)*(-1)+(ABS(_xlpm.e)&lt;1)*_xlpm.e,AVERAGE(_xlpm.s))</f>
        <v>-5.9358454619646082E-2</v>
      </c>
      <c r="J75" s="24" cm="1">
        <f t="array" ref="J75">_xlfn.LET(_xlpm.x,$B75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0.20995468478195758</v>
      </c>
      <c r="K75" s="24">
        <f>IFERROR(($C$15-F75)/I75,"")</f>
        <v>3.5031191625003104</v>
      </c>
      <c r="L75" s="24">
        <f>IF(AND(ISNUMBER(K75),N(K75)&gt;0),H75+K75*J75,"")</f>
        <v>0.83196299936589135</v>
      </c>
      <c r="M75" s="24">
        <f>IF(ISNUMBER(L75),ABS(L75-$C$16),1000000000)</f>
        <v>0.77627998994280689</v>
      </c>
    </row>
    <row r="76" spans="1:13" x14ac:dyDescent="0.3">
      <c r="A76" s="24">
        <f>A75+0.01</f>
        <v>0.48000000000000026</v>
      </c>
      <c r="B76" s="20">
        <f>A76*$C$5</f>
        <v>360.00000000000017</v>
      </c>
      <c r="C76" s="20">
        <f>MIN(0.8*B76,$C$5)</f>
        <v>288.00000000000017</v>
      </c>
      <c r="D76" s="24">
        <f>ACOS(MAX(-1,($C$7-C76)/$C$7))</f>
        <v>1.3366630473416077</v>
      </c>
      <c r="E76" s="20">
        <f>$C$7^2*(D76-SIN(D76)*COS(D76))</f>
        <v>156233.3885197581</v>
      </c>
      <c r="F76" s="24">
        <f>E76/$C$9</f>
        <v>0.35364005061569531</v>
      </c>
      <c r="G76" s="16">
        <f>IF(E76&gt;0,2*$C$7^3*SIN(D76)^3/(3*E76),0)</f>
        <v>207.10309240785634</v>
      </c>
      <c r="H76" s="24">
        <f>F76*G76/$C$5</f>
        <v>9.7653264109041779E-2</v>
      </c>
      <c r="I76" s="24" cm="1">
        <f t="array" ref="I76">_xlfn.LET(_xlpm.x,$B76,_xlpm.dep,$H$6:$H$29,_xlpm.e,IF(_xlpm.x&lt;=$C$5,$C$12*(_xlpm.x-_xlpm.dep)/_xlpm.x,$C$13*(_xlpm.x-_xlpm.dep)/(_xlpm.x-3*$C$5/7))/$C$14,_xlpm.s,(_xlpm.e&gt;=1)*1+(_xlpm.e&lt;=-1)*(-1)+(ABS(_xlpm.e)&lt;1)*_xlpm.e,AVERAGE(_xlpm.s))</f>
        <v>-3.9131944444444067E-2</v>
      </c>
      <c r="J76" s="24" cm="1">
        <f t="array" ref="J76">_xlfn.LET(_xlpm.x,$B76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0.20875561031343579</v>
      </c>
      <c r="K76" s="24">
        <f>IFERROR(($C$15-F76)/I76,"")</f>
        <v>5.566496518461105</v>
      </c>
      <c r="L76" s="24">
        <f>IF(AND(ISNUMBER(K76),N(K76)&gt;0),H76+K76*J76,"")</f>
        <v>1.2596906421280052</v>
      </c>
      <c r="M76" s="24">
        <f>IF(ISNUMBER(L76),ABS(L76-$C$16),1000000000)</f>
        <v>1.2040076327049207</v>
      </c>
    </row>
    <row r="77" spans="1:13" x14ac:dyDescent="0.3">
      <c r="A77" s="24">
        <f>A76+0.01</f>
        <v>0.49000000000000027</v>
      </c>
      <c r="B77" s="20">
        <f>A77*$C$5</f>
        <v>367.50000000000023</v>
      </c>
      <c r="C77" s="20">
        <f>MIN(0.8*B77,$C$5)</f>
        <v>294.00000000000017</v>
      </c>
      <c r="D77" s="24">
        <f>ACOS(MAX(-1,($C$7-C77)/$C$7))</f>
        <v>1.3530804353887878</v>
      </c>
      <c r="E77" s="20">
        <f>$C$7^2*(D77-SIN(D77)*COS(D77))</f>
        <v>160618.98781469758</v>
      </c>
      <c r="F77" s="24">
        <f>E77/$C$9</f>
        <v>0.36356701674845904</v>
      </c>
      <c r="G77" s="16">
        <f>IF(E77&gt;0,2*$C$7^3*SIN(D77)^3/(3*E77),0)</f>
        <v>203.74178925779756</v>
      </c>
      <c r="H77" s="24">
        <f>F77*G77/$C$5</f>
        <v>9.8765059343267597E-2</v>
      </c>
      <c r="I77" s="24" cm="1">
        <f t="array" ref="I77">_xlfn.LET(_xlpm.x,$B77,_xlpm.dep,$H$6:$H$29,_xlpm.e,IF(_xlpm.x&lt;=$C$5,$C$12*(_xlpm.x-_xlpm.dep)/_xlpm.x,$C$13*(_xlpm.x-_xlpm.dep)/(_xlpm.x-3*$C$5/7))/$C$14,_xlpm.s,(_xlpm.e&gt;=1)*1+(_xlpm.e&lt;=-1)*(-1)+(ABS(_xlpm.e)&lt;1)*_xlpm.e,AVERAGE(_xlpm.s))</f>
        <v>-1.916666666666611E-2</v>
      </c>
      <c r="J77" s="24" cm="1">
        <f t="array" ref="J77">_xlfn.LET(_xlpm.x,$B77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0.20745649964681506</v>
      </c>
      <c r="K77" s="24">
        <f>IFERROR(($C$15-F77)/I77,"")</f>
        <v>11.882859059654693</v>
      </c>
      <c r="L77" s="24">
        <f>IF(AND(ISNUMBER(K77),N(K77)&gt;0),H77+K77*J77,"")</f>
        <v>2.5639414056556746</v>
      </c>
      <c r="M77" s="24">
        <f>IF(ISNUMBER(L77),ABS(L77-$C$16),1000000000)</f>
        <v>2.5082583962325904</v>
      </c>
    </row>
    <row r="78" spans="1:13" x14ac:dyDescent="0.3">
      <c r="A78" s="24">
        <f>A77+0.01</f>
        <v>0.50000000000000022</v>
      </c>
      <c r="B78" s="20">
        <f>A78*$C$5</f>
        <v>375.00000000000017</v>
      </c>
      <c r="C78" s="20">
        <f>MIN(0.8*B78,$C$5)</f>
        <v>300.00000000000017</v>
      </c>
      <c r="D78" s="24">
        <f>ACOS(MAX(-1,($C$7-C78)/$C$7))</f>
        <v>1.3694384060045661</v>
      </c>
      <c r="E78" s="20">
        <f>$C$7^2*(D78-SIN(D78)*COS(D78))</f>
        <v>165020.51623808139</v>
      </c>
      <c r="F78" s="24">
        <f>E78/$C$9</f>
        <v>0.37353003905233118</v>
      </c>
      <c r="G78" s="16">
        <f>IF(E78&gt;0,2*$C$7^3*SIN(D78)^3/(3*E78),0)</f>
        <v>200.38788074001835</v>
      </c>
      <c r="H78" s="24">
        <f>F78*G78/$C$5</f>
        <v>9.9801190557910577E-2</v>
      </c>
      <c r="I78" s="24" cm="1">
        <f t="array" ref="I78">_xlfn.LET(_xlpm.x,$B78,_xlpm.dep,$H$6:$H$29,_xlpm.e,IF(_xlpm.x&lt;=$C$5,$C$12*(_xlpm.x-_xlpm.dep)/_xlpm.x,$C$13*(_xlpm.x-_xlpm.dep)/(_xlpm.x-3*$C$5/7))/$C$14,_xlpm.s,(_xlpm.e&gt;=1)*1+(_xlpm.e&lt;=-1)*(-1)+(ABS(_xlpm.e)&lt;1)*_xlpm.e,AVERAGE(_xlpm.s))</f>
        <v>3.793262000802618E-16</v>
      </c>
      <c r="J78" s="24" cm="1">
        <f t="array" ref="J78">_xlfn.LET(_xlpm.x,$B78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0.20620935340685911</v>
      </c>
      <c r="K78" s="24">
        <f>IFERROR(($C$15-F78)/I78,"")</f>
        <v>-626684423319423.5</v>
      </c>
      <c r="L78" s="24" t="str">
        <f>IF(AND(ISNUMBER(K78),N(K78)&gt;0),H78+K78*J78,"")</f>
        <v/>
      </c>
      <c r="M78" s="24">
        <f>IF(ISNUMBER(L78),ABS(L78-$C$16),1000000000)</f>
        <v>1000000000</v>
      </c>
    </row>
    <row r="79" spans="1:13" x14ac:dyDescent="0.3">
      <c r="A79" s="24">
        <f>A78+0.01</f>
        <v>0.51000000000000023</v>
      </c>
      <c r="B79" s="20">
        <f>A79*$C$5</f>
        <v>382.50000000000017</v>
      </c>
      <c r="C79" s="20">
        <f>MIN(0.8*B79,$C$5)</f>
        <v>306.00000000000017</v>
      </c>
      <c r="D79" s="24">
        <f>ACOS(MAX(-1,($C$7-C79)/$C$7))</f>
        <v>1.3857419318694051</v>
      </c>
      <c r="E79" s="20">
        <f>$C$7^2*(D79-SIN(D79)*COS(D79))</f>
        <v>169436.74262069204</v>
      </c>
      <c r="F79" s="24">
        <f>E79/$C$9</f>
        <v>0.38352633073027359</v>
      </c>
      <c r="G79" s="16">
        <f>IF(E79&gt;0,2*$C$7^3*SIN(D79)^3/(3*E79),0)</f>
        <v>197.04151689623956</v>
      </c>
      <c r="H79" s="24">
        <f>F79*G79/$C$5</f>
        <v>0.10076081330232262</v>
      </c>
      <c r="I79" s="24" cm="1">
        <f t="array" ref="I79">_xlfn.LET(_xlpm.x,$B79,_xlpm.dep,$H$6:$H$29,_xlpm.e,IF(_xlpm.x&lt;=$C$5,$C$12*(_xlpm.x-_xlpm.dep)/_xlpm.x,$C$13*(_xlpm.x-_xlpm.dep)/(_xlpm.x-3*$C$5/7))/$C$14,_xlpm.s,(_xlpm.e&gt;=1)*1+(_xlpm.e&lt;=-1)*(-1)+(ABS(_xlpm.e)&lt;1)*_xlpm.e,AVERAGE(_xlpm.s))</f>
        <v>1.9323692369058249E-2</v>
      </c>
      <c r="J79" s="24" cm="1">
        <f t="array" ref="J79">_xlfn.LET(_xlpm.x,$B79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0.20471733050949872</v>
      </c>
      <c r="K79" s="24">
        <f>IFERROR(($C$15-F79)/I79,"")</f>
        <v>-12.819191482360679</v>
      </c>
      <c r="L79" s="24" t="str">
        <f>IF(AND(ISNUMBER(K79),N(K79)&gt;0),H79+K79*J79,"")</f>
        <v/>
      </c>
      <c r="M79" s="24">
        <f>IF(ISNUMBER(L79),ABS(L79-$C$16),1000000000)</f>
        <v>1000000000</v>
      </c>
    </row>
    <row r="80" spans="1:13" x14ac:dyDescent="0.3">
      <c r="A80" s="24">
        <f>A79+0.01</f>
        <v>0.52000000000000024</v>
      </c>
      <c r="B80" s="20">
        <f>A80*$C$5</f>
        <v>390.00000000000017</v>
      </c>
      <c r="C80" s="20">
        <f>MIN(0.8*B80,$C$5)</f>
        <v>312.00000000000017</v>
      </c>
      <c r="D80" s="24">
        <f>ACOS(MAX(-1,($C$7-C80)/$C$7))</f>
        <v>1.4019958457774899</v>
      </c>
      <c r="E80" s="20">
        <f>$C$7^2*(D80-SIN(D80)*COS(D80))</f>
        <v>173866.44804972652</v>
      </c>
      <c r="F80" s="24">
        <f>E80/$C$9</f>
        <v>0.39355313272809533</v>
      </c>
      <c r="G80" s="16">
        <f>IF(E80&gt;0,2*$C$7^3*SIN(D80)^3/(3*E80),0)</f>
        <v>193.70285229510824</v>
      </c>
      <c r="H80" s="24">
        <f>F80*G80/$C$5</f>
        <v>0.10164315245214317</v>
      </c>
      <c r="I80" s="24" cm="1">
        <f t="array" ref="I80">_xlfn.LET(_xlpm.x,$B80,_xlpm.dep,$H$6:$H$29,_xlpm.e,IF(_xlpm.x&lt;=$C$5,$C$12*(_xlpm.x-_xlpm.dep)/_xlpm.x,$C$13*(_xlpm.x-_xlpm.dep)/(_xlpm.x-3*$C$5/7))/$C$14,_xlpm.s,(_xlpm.e&gt;=1)*1+(_xlpm.e&lt;=-1)*(-1)+(ABS(_xlpm.e)&lt;1)*_xlpm.e,AVERAGE(_xlpm.s))</f>
        <v>4.1195672644012214E-2</v>
      </c>
      <c r="J80" s="24" cm="1">
        <f t="array" ref="J80">_xlfn.LET(_xlpm.x,$B80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0.20221849578550305</v>
      </c>
      <c r="K80" s="24">
        <f>IFERROR(($C$15-F80)/I80,"")</f>
        <v>-6.2565045812032372</v>
      </c>
      <c r="L80" s="24" t="str">
        <f>IF(AND(ISNUMBER(K80),N(K80)&gt;0),H80+K80*J80,"")</f>
        <v/>
      </c>
      <c r="M80" s="24">
        <f>IF(ISNUMBER(L80),ABS(L80-$C$16),1000000000)</f>
        <v>1000000000</v>
      </c>
    </row>
    <row r="81" spans="1:13" x14ac:dyDescent="0.3">
      <c r="A81" s="24">
        <f>A80+0.01</f>
        <v>0.53000000000000025</v>
      </c>
      <c r="B81" s="20">
        <f>A81*$C$5</f>
        <v>397.50000000000017</v>
      </c>
      <c r="C81" s="20">
        <f>MIN(0.8*B81,$C$5)</f>
        <v>318.00000000000017</v>
      </c>
      <c r="D81" s="24">
        <f>ACOS(MAX(-1,($C$7-C81)/$C$7))</f>
        <v>1.4182048551751854</v>
      </c>
      <c r="E81" s="20">
        <f>$C$7^2*(D81-SIN(D81)*COS(D81))</f>
        <v>178308.42470970517</v>
      </c>
      <c r="F81" s="24">
        <f>E81/$C$9</f>
        <v>0.40360771111080723</v>
      </c>
      <c r="G81" s="16">
        <f>IF(E81&gt;0,2*$C$7^3*SIN(D81)^3/(3*E81),0)</f>
        <v>190.37204621835198</v>
      </c>
      <c r="H81" s="24">
        <f>F81*G81/$C$5</f>
        <v>0.1024475011115598</v>
      </c>
      <c r="I81" s="24" cm="1">
        <f t="array" ref="I81">_xlfn.LET(_xlpm.x,$B81,_xlpm.dep,$H$6:$H$29,_xlpm.e,IF(_xlpm.x&lt;=$C$5,$C$12*(_xlpm.x-_xlpm.dep)/_xlpm.x,$C$13*(_xlpm.x-_xlpm.dep)/(_xlpm.x-3*$C$5/7))/$C$14,_xlpm.s,(_xlpm.e&gt;=1)*1+(_xlpm.e&lt;=-1)*(-1)+(ABS(_xlpm.e)&lt;1)*_xlpm.e,AVERAGE(_xlpm.s))</f>
        <v>6.2242295172741539E-2</v>
      </c>
      <c r="J81" s="24" cm="1">
        <f t="array" ref="J81">_xlfn.LET(_xlpm.x,$B81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0.19981395671146948</v>
      </c>
      <c r="K81" s="24">
        <f>IFERROR(($C$15-F81)/I81,"")</f>
        <v>-4.3024681571029513</v>
      </c>
      <c r="L81" s="24" t="str">
        <f>IF(AND(ISNUMBER(K81),N(K81)&gt;0),H81+K81*J81,"")</f>
        <v/>
      </c>
      <c r="M81" s="24">
        <f>IF(ISNUMBER(L81),ABS(L81-$C$16),1000000000)</f>
        <v>1000000000</v>
      </c>
    </row>
    <row r="82" spans="1:13" x14ac:dyDescent="0.3">
      <c r="A82" s="24">
        <f>A81+0.01</f>
        <v>0.54000000000000026</v>
      </c>
      <c r="B82" s="20">
        <f>A82*$C$5</f>
        <v>405.00000000000017</v>
      </c>
      <c r="C82" s="20">
        <f>MIN(0.8*B82,$C$5)</f>
        <v>324.00000000000017</v>
      </c>
      <c r="D82" s="24">
        <f>ACOS(MAX(-1,($C$7-C82)/$C$7))</f>
        <v>1.434373555780329</v>
      </c>
      <c r="E82" s="20">
        <f>$C$7^2*(D82-SIN(D82)*COS(D82))</f>
        <v>182761.47477118365</v>
      </c>
      <c r="F82" s="24">
        <f>E82/$C$9</f>
        <v>0.41368735454718014</v>
      </c>
      <c r="G82" s="16">
        <f>IF(E82&gt;0,2*$C$7^3*SIN(D82)^3/(3*E82),0)</f>
        <v>187.04926285681432</v>
      </c>
      <c r="H82" s="24">
        <f>F82*G82/$C$5</f>
        <v>0.10317321962831418</v>
      </c>
      <c r="I82" s="24" cm="1">
        <f t="array" ref="I82">_xlfn.LET(_xlpm.x,$B82,_xlpm.dep,$H$6:$H$29,_xlpm.e,IF(_xlpm.x&lt;=$C$5,$C$12*(_xlpm.x-_xlpm.dep)/_xlpm.x,$C$13*(_xlpm.x-_xlpm.dep)/(_xlpm.x-3*$C$5/7))/$C$14,_xlpm.s,(_xlpm.e&gt;=1)*1+(_xlpm.e&lt;=-1)*(-1)+(ABS(_xlpm.e)&lt;1)*_xlpm.e,AVERAGE(_xlpm.s))</f>
        <v>8.6441643103470259E-2</v>
      </c>
      <c r="J82" s="24" cm="1">
        <f t="array" ref="J82">_xlfn.LET(_xlpm.x,$B82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0.19607719225546713</v>
      </c>
      <c r="K82" s="24">
        <f>IFERROR(($C$15-F82)/I82,"")</f>
        <v>-3.2145980393903528</v>
      </c>
      <c r="L82" s="24" t="str">
        <f>IF(AND(ISNUMBER(K82),N(K82)&gt;0),H82+K82*J82,"")</f>
        <v/>
      </c>
      <c r="M82" s="24">
        <f>IF(ISNUMBER(L82),ABS(L82-$C$16),1000000000)</f>
        <v>1000000000</v>
      </c>
    </row>
    <row r="83" spans="1:13" x14ac:dyDescent="0.3">
      <c r="A83" s="24">
        <f>A82+0.01</f>
        <v>0.55000000000000027</v>
      </c>
      <c r="B83" s="20">
        <f>A83*$C$5</f>
        <v>412.50000000000023</v>
      </c>
      <c r="C83" s="20">
        <f>MIN(0.8*B83,$C$5)</f>
        <v>330.00000000000023</v>
      </c>
      <c r="D83" s="24">
        <f>ACOS(MAX(-1,($C$7-C83)/$C$7))</f>
        <v>1.450506444400109</v>
      </c>
      <c r="E83" s="20">
        <f>$C$7^2*(D83-SIN(D83)*COS(D83))</f>
        <v>187224.40932167775</v>
      </c>
      <c r="F83" s="24">
        <f>E83/$C$9</f>
        <v>0.42378937188985377</v>
      </c>
      <c r="G83" s="16">
        <f>IF(E83&gt;0,2*$C$7^3*SIN(D83)^3/(3*E83),0)</f>
        <v>183.73467151702053</v>
      </c>
      <c r="H83" s="24">
        <f>F83*G83/$C$5</f>
        <v>0.10381973471544899</v>
      </c>
      <c r="I83" s="24" cm="1">
        <f t="array" ref="I83">_xlfn.LET(_xlpm.x,$B83,_xlpm.dep,$H$6:$H$29,_xlpm.e,IF(_xlpm.x&lt;=$C$5,$C$12*(_xlpm.x-_xlpm.dep)/_xlpm.x,$C$13*(_xlpm.x-_xlpm.dep)/(_xlpm.x-3*$C$5/7))/$C$14,_xlpm.s,(_xlpm.e&gt;=1)*1+(_xlpm.e&lt;=-1)*(-1)+(ABS(_xlpm.e)&lt;1)*_xlpm.e,AVERAGE(_xlpm.s))</f>
        <v>0.11183209807734677</v>
      </c>
      <c r="J83" s="24" cm="1">
        <f t="array" ref="J83">_xlfn.LET(_xlpm.x,$B83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0.19170751144658679</v>
      </c>
      <c r="K83" s="24">
        <f>IFERROR(($C$15-F83)/I83,"")</f>
        <v>-2.575084959826071</v>
      </c>
      <c r="L83" s="24" t="str">
        <f>IF(AND(ISNUMBER(K83),N(K83)&gt;0),H83+K83*J83,"")</f>
        <v/>
      </c>
      <c r="M83" s="24">
        <f>IF(ISNUMBER(L83),ABS(L83-$C$16),1000000000)</f>
        <v>1000000000</v>
      </c>
    </row>
    <row r="84" spans="1:13" x14ac:dyDescent="0.3">
      <c r="A84" s="24">
        <f>A83+0.01</f>
        <v>0.56000000000000028</v>
      </c>
      <c r="B84" s="20">
        <f>A84*$C$5</f>
        <v>420.00000000000023</v>
      </c>
      <c r="C84" s="20">
        <f>MIN(0.8*B84,$C$5)</f>
        <v>336.00000000000023</v>
      </c>
      <c r="D84" s="24">
        <f>ACOS(MAX(-1,($C$7-C84)/$C$7))</f>
        <v>1.4666079310536013</v>
      </c>
      <c r="E84" s="20">
        <f>$C$7^2*(D84-SIN(D84)*COS(D84))</f>
        <v>191696.04733363958</v>
      </c>
      <c r="F84" s="24">
        <f>E84/$C$9</f>
        <v>0.43391108983931287</v>
      </c>
      <c r="G84" s="16">
        <f>IF(E84&gt;0,2*$C$7^3*SIN(D84)^3/(3*E84),0)</f>
        <v>180.42844683897917</v>
      </c>
      <c r="H84" s="24">
        <f>F84*G84/$C$5</f>
        <v>0.10438653867455464</v>
      </c>
      <c r="I84" s="24" cm="1">
        <f t="array" ref="I84">_xlfn.LET(_xlpm.x,$B84,_xlpm.dep,$H$6:$H$29,_xlpm.e,IF(_xlpm.x&lt;=$C$5,$C$12*(_xlpm.x-_xlpm.dep)/_xlpm.x,$C$13*(_xlpm.x-_xlpm.dep)/(_xlpm.x-3*$C$5/7))/$C$14,_xlpm.s,(_xlpm.e&gt;=1)*1+(_xlpm.e&lt;=-1)*(-1)+(ABS(_xlpm.e)&lt;1)*_xlpm.e,AVERAGE(_xlpm.s))</f>
        <v>0.13631575108787033</v>
      </c>
      <c r="J84" s="24" cm="1">
        <f t="array" ref="J84">_xlfn.LET(_xlpm.x,$B84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0.18749389066659505</v>
      </c>
      <c r="K84" s="24">
        <f>IFERROR(($C$15-F84)/I84,"")</f>
        <v>-2.1868263157796908</v>
      </c>
      <c r="L84" s="24" t="str">
        <f>IF(AND(ISNUMBER(K84),N(K84)&gt;0),H84+K84*J84,"")</f>
        <v/>
      </c>
      <c r="M84" s="24">
        <f>IF(ISNUMBER(L84),ABS(L84-$C$16),1000000000)</f>
        <v>1000000000</v>
      </c>
    </row>
    <row r="85" spans="1:13" x14ac:dyDescent="0.3">
      <c r="A85" s="24">
        <f>A84+0.01</f>
        <v>0.57000000000000028</v>
      </c>
      <c r="B85" s="20">
        <f>A85*$C$5</f>
        <v>427.50000000000023</v>
      </c>
      <c r="C85" s="20">
        <f>MIN(0.8*B85,$C$5)</f>
        <v>342.00000000000023</v>
      </c>
      <c r="D85" s="24">
        <f>ACOS(MAX(-1,($C$7-C85)/$C$7))</f>
        <v>1.4826823504951778</v>
      </c>
      <c r="E85" s="20">
        <f>$C$7^2*(D85-SIN(D85)*COS(D85))</f>
        <v>196175.21466469593</v>
      </c>
      <c r="F85" s="24">
        <f>E85/$C$9</f>
        <v>0.44404985068088937</v>
      </c>
      <c r="G85" s="16">
        <f>IF(E85&gt;0,2*$C$7^3*SIN(D85)^3/(3*E85),0)</f>
        <v>177.13076902597828</v>
      </c>
      <c r="H85" s="24">
        <f>F85*G85/$C$5</f>
        <v>0.10487318871596901</v>
      </c>
      <c r="I85" s="24" cm="1">
        <f t="array" ref="I85">_xlfn.LET(_xlpm.x,$B85,_xlpm.dep,$H$6:$H$29,_xlpm.e,IF(_xlpm.x&lt;=$C$5,$C$12*(_xlpm.x-_xlpm.dep)/_xlpm.x,$C$13*(_xlpm.x-_xlpm.dep)/(_xlpm.x-3*$C$5/7))/$C$14,_xlpm.s,(_xlpm.e&gt;=1)*1+(_xlpm.e&lt;=-1)*(-1)+(ABS(_xlpm.e)&lt;1)*_xlpm.e,AVERAGE(_xlpm.s))</f>
        <v>0.15994032855416498</v>
      </c>
      <c r="J85" s="24" cm="1">
        <f t="array" ref="J85">_xlfn.LET(_xlpm.x,$B85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0.18342811622976088</v>
      </c>
      <c r="K85" s="24">
        <f>IFERROR(($C$15-F85)/I85,"")</f>
        <v>-1.9272039476361233</v>
      </c>
      <c r="L85" s="24" t="str">
        <f>IF(AND(ISNUMBER(K85),N(K85)&gt;0),H85+K85*J85,"")</f>
        <v/>
      </c>
      <c r="M85" s="24">
        <f>IF(ISNUMBER(L85),ABS(L85-$C$16),1000000000)</f>
        <v>1000000000</v>
      </c>
    </row>
    <row r="86" spans="1:13" x14ac:dyDescent="0.3">
      <c r="A86" s="24">
        <f>A85+0.01</f>
        <v>0.58000000000000029</v>
      </c>
      <c r="B86" s="20">
        <f>A86*$C$5</f>
        <v>435.00000000000023</v>
      </c>
      <c r="C86" s="20">
        <f>MIN(0.8*B86,$C$5)</f>
        <v>348.00000000000023</v>
      </c>
      <c r="D86" s="24">
        <f>ACOS(MAX(-1,($C$7-C86)/$C$7))</f>
        <v>1.4987339732266935</v>
      </c>
      <c r="E86" s="20">
        <f>$C$7^2*(D86-SIN(D86)*COS(D86))</f>
        <v>200660.74308567421</v>
      </c>
      <c r="F86" s="24">
        <f>E86/$C$9</f>
        <v>0.45420301008466363</v>
      </c>
      <c r="G86" s="16">
        <f>IF(E86&gt;0,2*$C$7^3*SIN(D86)^3/(3*E86),0)</f>
        <v>173.84182408720017</v>
      </c>
      <c r="H86" s="24">
        <f>F86*G86/$C$5</f>
        <v>0.10527930637201986</v>
      </c>
      <c r="I86" s="24" cm="1">
        <f t="array" ref="I86">_xlfn.LET(_xlpm.x,$B86,_xlpm.dep,$H$6:$H$29,_xlpm.e,IF(_xlpm.x&lt;=$C$5,$C$12*(_xlpm.x-_xlpm.dep)/_xlpm.x,$C$13*(_xlpm.x-_xlpm.dep)/(_xlpm.x-3*$C$5/7))/$C$14,_xlpm.s,(_xlpm.e&gt;=1)*1+(_xlpm.e&lt;=-1)*(-1)+(ABS(_xlpm.e)&lt;1)*_xlpm.e,AVERAGE(_xlpm.s))</f>
        <v>0.18275026541817366</v>
      </c>
      <c r="J86" s="24" cm="1">
        <f t="array" ref="J86">_xlfn.LET(_xlpm.x,$B86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0.17950254091143827</v>
      </c>
      <c r="K86" s="24">
        <f>IFERROR(($C$15-F86)/I86,"")</f>
        <v>-1.7422179456266722</v>
      </c>
      <c r="L86" s="24" t="str">
        <f>IF(AND(ISNUMBER(K86),N(K86)&gt;0),H86+K86*J86,"")</f>
        <v/>
      </c>
      <c r="M86" s="24">
        <f>IF(ISNUMBER(L86),ABS(L86-$C$16),1000000000)</f>
        <v>1000000000</v>
      </c>
    </row>
    <row r="87" spans="1:13" x14ac:dyDescent="0.3">
      <c r="A87" s="24">
        <f>A86+0.01</f>
        <v>0.5900000000000003</v>
      </c>
      <c r="B87" s="20">
        <f>A87*$C$5</f>
        <v>442.50000000000023</v>
      </c>
      <c r="C87" s="20">
        <f>MIN(0.8*B87,$C$5)</f>
        <v>354.00000000000023</v>
      </c>
      <c r="D87" s="24">
        <f>ACOS(MAX(-1,($C$7-C87)/$C$7))</f>
        <v>1.5147670160794133</v>
      </c>
      <c r="E87" s="20">
        <f>$C$7^2*(D87-SIN(D87)*COS(D87))</f>
        <v>205151.46933220894</v>
      </c>
      <c r="F87" s="24">
        <f>E87/$C$9</f>
        <v>0.46436793495874029</v>
      </c>
      <c r="G87" s="16">
        <f>IF(E87&gt;0,2*$C$7^3*SIN(D87)^3/(3*E87),0)</f>
        <v>170.56180409404473</v>
      </c>
      <c r="H87" s="24">
        <f>F87*G87/$C$5</f>
        <v>0.10560457699998502</v>
      </c>
      <c r="I87" s="24" cm="1">
        <f t="array" ref="I87">_xlfn.LET(_xlpm.x,$B87,_xlpm.dep,$H$6:$H$29,_xlpm.e,IF(_xlpm.x&lt;=$C$5,$C$12*(_xlpm.x-_xlpm.dep)/_xlpm.x,$C$13*(_xlpm.x-_xlpm.dep)/(_xlpm.x-3*$C$5/7))/$C$14,_xlpm.s,(_xlpm.e&gt;=1)*1+(_xlpm.e&lt;=-1)*(-1)+(ABS(_xlpm.e)&lt;1)*_xlpm.e,AVERAGE(_xlpm.s))</f>
        <v>0.20478698408340223</v>
      </c>
      <c r="J87" s="24" cm="1">
        <f t="array" ref="J87">_xlfn.LET(_xlpm.x,$B87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0.17571003594288934</v>
      </c>
      <c r="K87" s="24">
        <f>IFERROR(($C$15-F87)/I87,"")</f>
        <v>-1.6043779262838676</v>
      </c>
      <c r="L87" s="24" t="str">
        <f>IF(AND(ISNUMBER(K87),N(K87)&gt;0),H87+K87*J87,"")</f>
        <v/>
      </c>
      <c r="M87" s="24">
        <f>IF(ISNUMBER(L87),ABS(L87-$C$16),1000000000)</f>
        <v>1000000000</v>
      </c>
    </row>
    <row r="88" spans="1:13" x14ac:dyDescent="0.3">
      <c r="A88" s="24">
        <f>A87+0.01</f>
        <v>0.60000000000000031</v>
      </c>
      <c r="B88" s="20">
        <f>A88*$C$5</f>
        <v>450.00000000000023</v>
      </c>
      <c r="C88" s="20">
        <f>MIN(0.8*B88,$C$5)</f>
        <v>360.00000000000023</v>
      </c>
      <c r="D88" s="24">
        <f>ACOS(MAX(-1,($C$7-C88)/$C$7))</f>
        <v>1.5307856524409083</v>
      </c>
      <c r="E88" s="20">
        <f>$C$7^2*(D88-SIN(D88)*COS(D88))</f>
        <v>209646.23417594424</v>
      </c>
      <c r="F88" s="24">
        <f>E88/$C$9</f>
        <v>0.47454200134688101</v>
      </c>
      <c r="G88" s="16">
        <f>IF(E88&gt;0,2*$C$7^3*SIN(D88)^3/(3*E88),0)</f>
        <v>167.29090745112805</v>
      </c>
      <c r="H88" s="24">
        <f>F88*G88/$C$5</f>
        <v>0.10584874937199219</v>
      </c>
      <c r="I88" s="24" cm="1">
        <f t="array" ref="I88">_xlfn.LET(_xlpm.x,$B88,_xlpm.dep,$H$6:$H$29,_xlpm.e,IF(_xlpm.x&lt;=$C$5,$C$12*(_xlpm.x-_xlpm.dep)/_xlpm.x,$C$13*(_xlpm.x-_xlpm.dep)/(_xlpm.x-3*$C$5/7))/$C$14,_xlpm.s,(_xlpm.e&gt;=1)*1+(_xlpm.e&lt;=-1)*(-1)+(ABS(_xlpm.e)&lt;1)*_xlpm.e,AVERAGE(_xlpm.s))</f>
        <v>0.22608914545978998</v>
      </c>
      <c r="J88" s="24" cm="1">
        <f t="array" ref="J88">_xlfn.LET(_xlpm.x,$B88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0.17204394780662532</v>
      </c>
      <c r="K88" s="24">
        <f>IFERROR(($C$15-F88)/I88,"")</f>
        <v>-1.498213381951325</v>
      </c>
      <c r="L88" s="24" t="str">
        <f>IF(AND(ISNUMBER(K88),N(K88)&gt;0),H88+K88*J88,"")</f>
        <v/>
      </c>
      <c r="M88" s="24">
        <f>IF(ISNUMBER(L88),ABS(L88-$C$16),1000000000)</f>
        <v>1000000000</v>
      </c>
    </row>
    <row r="89" spans="1:13" x14ac:dyDescent="0.3">
      <c r="A89" s="24">
        <f>A88+0.01</f>
        <v>0.61000000000000032</v>
      </c>
      <c r="B89" s="20">
        <f>A89*$C$5</f>
        <v>457.50000000000023</v>
      </c>
      <c r="C89" s="20">
        <f>MIN(0.8*B89,$C$5)</f>
        <v>366.00000000000023</v>
      </c>
      <c r="D89" s="24">
        <f>ACOS(MAX(-1,($C$7-C89)/$C$7))</f>
        <v>1.5467940221974956</v>
      </c>
      <c r="E89" s="20">
        <f>$C$7^2*(D89-SIN(D89)*COS(D89))</f>
        <v>214143.88151153125</v>
      </c>
      <c r="F89" s="24">
        <f>E89/$C$9</f>
        <v>0.48472259236188925</v>
      </c>
      <c r="G89" s="16">
        <f>IF(E89&gt;0,2*$C$7^3*SIN(D89)^3/(3*E89),0)</f>
        <v>164.02933918300411</v>
      </c>
      <c r="H89" s="24">
        <f>F89*G89/$C$5</f>
        <v>0.10601163534959115</v>
      </c>
      <c r="I89" s="24" cm="1">
        <f t="array" ref="I89">_xlfn.LET(_xlpm.x,$B89,_xlpm.dep,$H$6:$H$29,_xlpm.e,IF(_xlpm.x&lt;=$C$5,$C$12*(_xlpm.x-_xlpm.dep)/_xlpm.x,$C$13*(_xlpm.x-_xlpm.dep)/(_xlpm.x-3*$C$5/7))/$C$14,_xlpm.s,(_xlpm.e&gt;=1)*1+(_xlpm.e&lt;=-1)*(-1)+(ABS(_xlpm.e)&lt;1)*_xlpm.e,AVERAGE(_xlpm.s))</f>
        <v>0.24669287531564046</v>
      </c>
      <c r="J89" s="24" cm="1">
        <f t="array" ref="J89">_xlfn.LET(_xlpm.x,$B89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0.16849805928138639</v>
      </c>
      <c r="K89" s="24">
        <f>IFERROR(($C$15-F89)/I89,"")</f>
        <v>-1.4143512406281646</v>
      </c>
      <c r="L89" s="24" t="str">
        <f>IF(AND(ISNUMBER(K89),N(K89)&gt;0),H89+K89*J89,"")</f>
        <v/>
      </c>
      <c r="M89" s="24">
        <f>IF(ISNUMBER(L89),ABS(L89-$C$16),1000000000)</f>
        <v>1000000000</v>
      </c>
    </row>
    <row r="90" spans="1:13" x14ac:dyDescent="0.3">
      <c r="A90" s="24">
        <f>A89+0.01</f>
        <v>0.62000000000000033</v>
      </c>
      <c r="B90" s="20">
        <f>A90*$C$5</f>
        <v>465.00000000000023</v>
      </c>
      <c r="C90" s="20">
        <f>MIN(0.8*B90,$C$5)</f>
        <v>372.00000000000023</v>
      </c>
      <c r="D90" s="24">
        <f>ACOS(MAX(-1,($C$7-C90)/$C$7))</f>
        <v>1.5627962414591061</v>
      </c>
      <c r="E90" s="20">
        <f>$C$7^2*(D90-SIN(D90)*COS(D90))</f>
        <v>218643.25745576288</v>
      </c>
      <c r="F90" s="24">
        <f>E90/$C$9</f>
        <v>0.49490709614646849</v>
      </c>
      <c r="G90" s="16">
        <f>IF(E90&gt;0,2*$C$7^3*SIN(D90)^3/(3*E90),0)</f>
        <v>160.77731123774947</v>
      </c>
      <c r="H90" s="24">
        <f>F90*G90/$C$5</f>
        <v>0.10609310964121543</v>
      </c>
      <c r="I90" s="24" cm="1">
        <f t="array" ref="I90">_xlfn.LET(_xlpm.x,$B90,_xlpm.dep,$H$6:$H$29,_xlpm.e,IF(_xlpm.x&lt;=$C$5,$C$12*(_xlpm.x-_xlpm.dep)/_xlpm.x,$C$13*(_xlpm.x-_xlpm.dep)/(_xlpm.x-3*$C$5/7))/$C$14,_xlpm.s,(_xlpm.e&gt;=1)*1+(_xlpm.e&lt;=-1)*(-1)+(ABS(_xlpm.e)&lt;1)*_xlpm.e,AVERAGE(_xlpm.s))</f>
        <v>0.26663196872452799</v>
      </c>
      <c r="J90" s="24" cm="1">
        <f t="array" ref="J90">_xlfn.LET(_xlpm.x,$B90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0.1650665542569616</v>
      </c>
      <c r="K90" s="24">
        <f>IFERROR(($C$15-F90)/I90,"")</f>
        <v>-1.3467810321439173</v>
      </c>
      <c r="L90" s="24" t="str">
        <f>IF(AND(ISNUMBER(K90),N(K90)&gt;0),H90+K90*J90,"")</f>
        <v/>
      </c>
      <c r="M90" s="24">
        <f>IF(ISNUMBER(L90),ABS(L90-$C$16),1000000000)</f>
        <v>1000000000</v>
      </c>
    </row>
    <row r="91" spans="1:13" x14ac:dyDescent="0.3">
      <c r="A91" s="24">
        <f>A90+0.01</f>
        <v>0.63000000000000034</v>
      </c>
      <c r="B91" s="20">
        <f>A91*$C$5</f>
        <v>472.50000000000023</v>
      </c>
      <c r="C91" s="20">
        <f>MIN(0.8*B91,$C$5)</f>
        <v>378.00000000000023</v>
      </c>
      <c r="D91" s="24">
        <f>ACOS(MAX(-1,($C$7-C91)/$C$7))</f>
        <v>1.5787964121306881</v>
      </c>
      <c r="E91" s="20">
        <f>$C$7^2*(D91-SIN(D91)*COS(D91))</f>
        <v>223143.20945530207</v>
      </c>
      <c r="F91" s="24">
        <f>E91/$C$9</f>
        <v>0.50509290385353223</v>
      </c>
      <c r="G91" s="16">
        <f>IF(E91&gt;0,2*$C$7^3*SIN(D91)^3/(3*E91),0)</f>
        <v>157.53504280865005</v>
      </c>
      <c r="H91" s="24">
        <f>F91*G91/$C$5</f>
        <v>0.10609310964121541</v>
      </c>
      <c r="I91" s="24" cm="1">
        <f t="array" ref="I91">_xlfn.LET(_xlpm.x,$B91,_xlpm.dep,$H$6:$H$29,_xlpm.e,IF(_xlpm.x&lt;=$C$5,$C$12*(_xlpm.x-_xlpm.dep)/_xlpm.x,$C$13*(_xlpm.x-_xlpm.dep)/(_xlpm.x-3*$C$5/7))/$C$14,_xlpm.s,(_xlpm.e&gt;=1)*1+(_xlpm.e&lt;=-1)*(-1)+(ABS(_xlpm.e)&lt;1)*_xlpm.e,AVERAGE(_xlpm.s))</f>
        <v>0.28536686922821347</v>
      </c>
      <c r="J91" s="24" cm="1">
        <f t="array" ref="J91">_xlfn.LET(_xlpm.x,$B91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0.16159319525858862</v>
      </c>
      <c r="K91" s="24">
        <f>IFERROR(($C$15-F91)/I91,"")</f>
        <v>-1.2940559173781565</v>
      </c>
      <c r="L91" s="24" t="str">
        <f>IF(AND(ISNUMBER(K91),N(K91)&gt;0),H91+K91*J91,"")</f>
        <v/>
      </c>
      <c r="M91" s="24">
        <f>IF(ISNUMBER(L91),ABS(L91-$C$16),1000000000)</f>
        <v>1000000000</v>
      </c>
    </row>
    <row r="92" spans="1:13" x14ac:dyDescent="0.3">
      <c r="A92" s="24">
        <f>A91+0.01</f>
        <v>0.64000000000000035</v>
      </c>
      <c r="B92" s="20">
        <f>A92*$C$5</f>
        <v>480.00000000000028</v>
      </c>
      <c r="C92" s="20">
        <f>MIN(0.8*B92,$C$5)</f>
        <v>384.00000000000023</v>
      </c>
      <c r="D92" s="24">
        <f>ACOS(MAX(-1,($C$7-C92)/$C$7))</f>
        <v>1.5947986313922988</v>
      </c>
      <c r="E92" s="20">
        <f>$C$7^2*(D92-SIN(D92)*COS(D92))</f>
        <v>227642.5853995338</v>
      </c>
      <c r="F92" s="24">
        <f>E92/$C$9</f>
        <v>0.5152774076381117</v>
      </c>
      <c r="G92" s="16">
        <f>IF(E92&gt;0,2*$C$7^3*SIN(D92)^3/(3*E92),0)</f>
        <v>154.30276067534038</v>
      </c>
      <c r="H92" s="24">
        <f>F92*G92/$C$5</f>
        <v>0.10601163534959115</v>
      </c>
      <c r="I92" s="24" cm="1">
        <f t="array" ref="I92">_xlfn.LET(_xlpm.x,$B92,_xlpm.dep,$H$6:$H$29,_xlpm.e,IF(_xlpm.x&lt;=$C$5,$C$12*(_xlpm.x-_xlpm.dep)/_xlpm.x,$C$13*(_xlpm.x-_xlpm.dep)/(_xlpm.x-3*$C$5/7))/$C$14,_xlpm.s,(_xlpm.e&gt;=1)*1+(_xlpm.e&lt;=-1)*(-1)+(ABS(_xlpm.e)&lt;1)*_xlpm.e,AVERAGE(_xlpm.s))</f>
        <v>0.30328431397985606</v>
      </c>
      <c r="J92" s="24" cm="1">
        <f t="array" ref="J92">_xlfn.LET(_xlpm.x,$B92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0.15816713646405642</v>
      </c>
      <c r="K92" s="24">
        <f>IFERROR(($C$15-F92)/I92,"")</f>
        <v>-1.2511863358624986</v>
      </c>
      <c r="L92" s="24" t="str">
        <f>IF(AND(ISNUMBER(K92),N(K92)&gt;0),H92+K92*J92,"")</f>
        <v/>
      </c>
      <c r="M92" s="24">
        <f>IF(ISNUMBER(L92),ABS(L92-$C$16),1000000000)</f>
        <v>1000000000</v>
      </c>
    </row>
    <row r="93" spans="1:13" x14ac:dyDescent="0.3">
      <c r="A93" s="24">
        <f>A92+0.01</f>
        <v>0.65000000000000036</v>
      </c>
      <c r="B93" s="20">
        <f>A93*$C$5</f>
        <v>487.50000000000028</v>
      </c>
      <c r="C93" s="20">
        <f>MIN(0.8*B93,$C$5)</f>
        <v>390.00000000000023</v>
      </c>
      <c r="D93" s="24">
        <f>ACOS(MAX(-1,($C$7-C93)/$C$7))</f>
        <v>1.6108070011488862</v>
      </c>
      <c r="E93" s="20">
        <f>$C$7^2*(D93-SIN(D93)*COS(D93))</f>
        <v>232140.23273512078</v>
      </c>
      <c r="F93" s="24">
        <f>E93/$C$9</f>
        <v>0.52545799865311982</v>
      </c>
      <c r="G93" s="16">
        <f>IF(E93&gt;0,2*$C$7^3*SIN(D93)^3/(3*E93),0)</f>
        <v>151.08069956586777</v>
      </c>
      <c r="H93" s="24">
        <f>F93*G93/$C$5</f>
        <v>0.10584874937199219</v>
      </c>
      <c r="I93" s="24" cm="1">
        <f t="array" ref="I93">_xlfn.LET(_xlpm.x,$B93,_xlpm.dep,$H$6:$H$29,_xlpm.e,IF(_xlpm.x&lt;=$C$5,$C$12*(_xlpm.x-_xlpm.dep)/_xlpm.x,$C$13*(_xlpm.x-_xlpm.dep)/(_xlpm.x-3*$C$5/7))/$C$14,_xlpm.s,(_xlpm.e&gt;=1)*1+(_xlpm.e&lt;=-1)*(-1)+(ABS(_xlpm.e)&lt;1)*_xlpm.e,AVERAGE(_xlpm.s))</f>
        <v>0.32065045273914039</v>
      </c>
      <c r="J93" s="24" cm="1">
        <f t="array" ref="J93">_xlfn.LET(_xlpm.x,$B93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0.15484649486320223</v>
      </c>
      <c r="K93" s="24">
        <f>IFERROR(($C$15-F93)/I93,"")</f>
        <v>-1.2151730247673325</v>
      </c>
      <c r="L93" s="24" t="str">
        <f>IF(AND(ISNUMBER(K93),N(K93)&gt;0),H93+K93*J93,"")</f>
        <v/>
      </c>
      <c r="M93" s="24">
        <f>IF(ISNUMBER(L93),ABS(L93-$C$16),1000000000)</f>
        <v>1000000000</v>
      </c>
    </row>
    <row r="94" spans="1:13" x14ac:dyDescent="0.3">
      <c r="A94" s="24">
        <f>A93+0.01</f>
        <v>0.66000000000000036</v>
      </c>
      <c r="B94" s="20">
        <f>A94*$C$5</f>
        <v>495.00000000000028</v>
      </c>
      <c r="C94" s="20">
        <f>MIN(0.8*B94,$C$5)</f>
        <v>396.00000000000023</v>
      </c>
      <c r="D94" s="24">
        <f>ACOS(MAX(-1,($C$7-C94)/$C$7))</f>
        <v>1.6268256375103811</v>
      </c>
      <c r="E94" s="20">
        <f>$C$7^2*(D94-SIN(D94)*COS(D94))</f>
        <v>236634.99757885607</v>
      </c>
      <c r="F94" s="24">
        <f>E94/$C$9</f>
        <v>0.53563206504126049</v>
      </c>
      <c r="G94" s="16">
        <f>IF(E94&gt;0,2*$C$7^3*SIN(D94)^3/(3*E94),0)</f>
        <v>147.86910254128941</v>
      </c>
      <c r="H94" s="24">
        <f>F94*G94/$C$5</f>
        <v>0.105604576999985</v>
      </c>
      <c r="I94" s="24" cm="1">
        <f t="array" ref="I94">_xlfn.LET(_xlpm.x,$B94,_xlpm.dep,$H$6:$H$29,_xlpm.e,IF(_xlpm.x&lt;=$C$5,$C$12*(_xlpm.x-_xlpm.dep)/_xlpm.x,$C$13*(_xlpm.x-_xlpm.dep)/(_xlpm.x-3*$C$5/7))/$C$14,_xlpm.s,(_xlpm.e&gt;=1)*1+(_xlpm.e&lt;=-1)*(-1)+(ABS(_xlpm.e)&lt;1)*_xlpm.e,AVERAGE(_xlpm.s))</f>
        <v>0.33749034486935536</v>
      </c>
      <c r="J94" s="24" cm="1">
        <f t="array" ref="J94">_xlfn.LET(_xlpm.x,$B94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0.15162647876540414</v>
      </c>
      <c r="K94" s="24">
        <f>IFERROR(($C$15-F94)/I94,"")</f>
        <v>-1.1846852895627258</v>
      </c>
      <c r="L94" s="24" t="str">
        <f>IF(AND(ISNUMBER(K94),N(K94)&gt;0),H94+K94*J94,"")</f>
        <v/>
      </c>
      <c r="M94" s="24">
        <f>IF(ISNUMBER(L94),ABS(L94-$C$16),1000000000)</f>
        <v>1000000000</v>
      </c>
    </row>
    <row r="95" spans="1:13" x14ac:dyDescent="0.3">
      <c r="A95" s="24">
        <f>A94+0.01</f>
        <v>0.67000000000000037</v>
      </c>
      <c r="B95" s="20">
        <f>A95*$C$5</f>
        <v>502.50000000000028</v>
      </c>
      <c r="C95" s="20">
        <f>MIN(0.8*B95,$C$5)</f>
        <v>402.00000000000023</v>
      </c>
      <c r="D95" s="24">
        <f>ACOS(MAX(-1,($C$7-C95)/$C$7))</f>
        <v>1.6428586803631007</v>
      </c>
      <c r="E95" s="20">
        <f>$C$7^2*(D95-SIN(D95)*COS(D95))</f>
        <v>241125.72382539074</v>
      </c>
      <c r="F95" s="24">
        <f>E95/$C$9</f>
        <v>0.54579698991533709</v>
      </c>
      <c r="G95" s="16">
        <f>IF(E95&gt;0,2*$C$7^3*SIN(D95)^3/(3*E95),0)</f>
        <v>144.66822140456088</v>
      </c>
      <c r="H95" s="24">
        <f>F95*G95/$C$5</f>
        <v>0.10527930637201982</v>
      </c>
      <c r="I95" s="24" cm="1">
        <f t="array" ref="I95">_xlfn.LET(_xlpm.x,$B95,_xlpm.dep,$H$6:$H$29,_xlpm.e,IF(_xlpm.x&lt;=$C$5,$C$12*(_xlpm.x-_xlpm.dep)/_xlpm.x,$C$13*(_xlpm.x-_xlpm.dep)/(_xlpm.x-3*$C$5/7))/$C$14,_xlpm.s,(_xlpm.e&gt;=1)*1+(_xlpm.e&lt;=-1)*(-1)+(ABS(_xlpm.e)&lt;1)*_xlpm.e,AVERAGE(_xlpm.s))</f>
        <v>0.35382755365239982</v>
      </c>
      <c r="J95" s="24" cm="1">
        <f t="array" ref="J95">_xlfn.LET(_xlpm.x,$B95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0.14850258255112248</v>
      </c>
      <c r="K95" s="24">
        <f>IFERROR(($C$15-F95)/I95,"")</f>
        <v>-1.1587135246482869</v>
      </c>
      <c r="L95" s="24" t="str">
        <f>IF(AND(ISNUMBER(K95),N(K95)&gt;0),H95+K95*J95,"")</f>
        <v/>
      </c>
      <c r="M95" s="24">
        <f>IF(ISNUMBER(L95),ABS(L95-$C$16),1000000000)</f>
        <v>1000000000</v>
      </c>
    </row>
    <row r="96" spans="1:13" x14ac:dyDescent="0.3">
      <c r="A96" s="24">
        <f>A95+0.01</f>
        <v>0.68000000000000038</v>
      </c>
      <c r="B96" s="20">
        <f>A96*$C$5</f>
        <v>510.00000000000028</v>
      </c>
      <c r="C96" s="20">
        <f>MIN(0.8*B96,$C$5)</f>
        <v>408.00000000000023</v>
      </c>
      <c r="D96" s="24">
        <f>ACOS(MAX(-1,($C$7-C96)/$C$7))</f>
        <v>1.6589103030946164</v>
      </c>
      <c r="E96" s="20">
        <f>$C$7^2*(D96-SIN(D96)*COS(D96))</f>
        <v>245611.25224636903</v>
      </c>
      <c r="F96" s="24">
        <f>E96/$C$9</f>
        <v>0.55595014931911135</v>
      </c>
      <c r="G96" s="16">
        <f>IF(E96&gt;0,2*$C$7^3*SIN(D96)^3/(3*E96),0)</f>
        <v>141.47831713564199</v>
      </c>
      <c r="H96" s="24">
        <f>F96*G96/$C$5</f>
        <v>0.104873188715969</v>
      </c>
      <c r="I96" s="24" cm="1">
        <f t="array" ref="I96">_xlfn.LET(_xlpm.x,$B96,_xlpm.dep,$H$6:$H$29,_xlpm.e,IF(_xlpm.x&lt;=$C$5,$C$12*(_xlpm.x-_xlpm.dep)/_xlpm.x,$C$13*(_xlpm.x-_xlpm.dep)/(_xlpm.x-3*$C$5/7))/$C$14,_xlpm.s,(_xlpm.e&gt;=1)*1+(_xlpm.e&lt;=-1)*(-1)+(ABS(_xlpm.e)&lt;1)*_xlpm.e,AVERAGE(_xlpm.s))</f>
        <v>0.36968425629476648</v>
      </c>
      <c r="J96" s="24" cm="1">
        <f t="array" ref="J96">_xlfn.LET(_xlpm.x,$B96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0.14547056563726082</v>
      </c>
      <c r="K96" s="24">
        <f>IFERROR(($C$15-F96)/I96,"")</f>
        <v>-1.1364777484033071</v>
      </c>
      <c r="L96" s="24" t="str">
        <f>IF(AND(ISNUMBER(K96),N(K96)&gt;0),H96+K96*J96,"")</f>
        <v/>
      </c>
      <c r="M96" s="24">
        <f>IF(ISNUMBER(L96),ABS(L96-$C$16),1000000000)</f>
        <v>1000000000</v>
      </c>
    </row>
    <row r="97" spans="1:13" x14ac:dyDescent="0.3">
      <c r="A97" s="24">
        <f>A96+0.01</f>
        <v>0.69000000000000039</v>
      </c>
      <c r="B97" s="20">
        <f>A97*$C$5</f>
        <v>517.50000000000034</v>
      </c>
      <c r="C97" s="20">
        <f>MIN(0.8*B97,$C$5)</f>
        <v>414.00000000000028</v>
      </c>
      <c r="D97" s="24">
        <f>ACOS(MAX(-1,($C$7-C97)/$C$7))</f>
        <v>1.6749847225361931</v>
      </c>
      <c r="E97" s="20">
        <f>$C$7^2*(D97-SIN(D97)*COS(D97))</f>
        <v>250090.4195774254</v>
      </c>
      <c r="F97" s="24">
        <f>E97/$C$9</f>
        <v>0.56608891016068796</v>
      </c>
      <c r="G97" s="16">
        <f>IF(E97&gt;0,2*$C$7^3*SIN(D97)^3/(3*E97),0)</f>
        <v>138.29966035493058</v>
      </c>
      <c r="H97" s="24">
        <f>F97*G97/$C$5</f>
        <v>0.10438653867455461</v>
      </c>
      <c r="I97" s="24" cm="1">
        <f t="array" ref="I97">_xlfn.LET(_xlpm.x,$B97,_xlpm.dep,$H$6:$H$29,_xlpm.e,IF(_xlpm.x&lt;=$C$5,$C$12*(_xlpm.x-_xlpm.dep)/_xlpm.x,$C$13*(_xlpm.x-_xlpm.dep)/(_xlpm.x-3*$C$5/7))/$C$14,_xlpm.s,(_xlpm.e&gt;=1)*1+(_xlpm.e&lt;=-1)*(-1)+(ABS(_xlpm.e)&lt;1)*_xlpm.e,AVERAGE(_xlpm.s))</f>
        <v>0.38508134436778924</v>
      </c>
      <c r="J97" s="24" cm="1">
        <f t="array" ref="J97">_xlfn.LET(_xlpm.x,$B97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0.14252643327162712</v>
      </c>
      <c r="K97" s="24">
        <f>IFERROR(($C$15-F97)/I97,"")</f>
        <v>-1.1173657159684391</v>
      </c>
      <c r="L97" s="24" t="str">
        <f>IF(AND(ISNUMBER(K97),N(K97)&gt;0),H97+K97*J97,"")</f>
        <v/>
      </c>
      <c r="M97" s="24">
        <f>IF(ISNUMBER(L97),ABS(L97-$C$16),1000000000)</f>
        <v>1000000000</v>
      </c>
    </row>
    <row r="98" spans="1:13" x14ac:dyDescent="0.3">
      <c r="A98" s="24">
        <f>A97+0.01</f>
        <v>0.7000000000000004</v>
      </c>
      <c r="B98" s="20">
        <f>A98*$C$5</f>
        <v>525.00000000000034</v>
      </c>
      <c r="C98" s="20">
        <f>MIN(0.8*B98,$C$5)</f>
        <v>420.00000000000028</v>
      </c>
      <c r="D98" s="24">
        <f>ACOS(MAX(-1,($C$7-C98)/$C$7))</f>
        <v>1.6910862091896854</v>
      </c>
      <c r="E98" s="20">
        <f>$C$7^2*(D98-SIN(D98)*COS(D98))</f>
        <v>254562.05758938729</v>
      </c>
      <c r="F98" s="24">
        <f>E98/$C$9</f>
        <v>0.57621062811014712</v>
      </c>
      <c r="G98" s="16">
        <f>IF(E98&gt;0,2*$C$7^3*SIN(D98)^3/(3*E98),0)</f>
        <v>135.13253181734484</v>
      </c>
      <c r="H98" s="24">
        <f>F98*G98/$C$5</f>
        <v>0.10381973471544895</v>
      </c>
      <c r="I98" s="24" cm="1">
        <f t="array" ref="I98">_xlfn.LET(_xlpm.x,$B98,_xlpm.dep,$H$6:$H$29,_xlpm.e,IF(_xlpm.x&lt;=$C$5,$C$12*(_xlpm.x-_xlpm.dep)/_xlpm.x,$C$13*(_xlpm.x-_xlpm.dep)/(_xlpm.x-3*$C$5/7))/$C$14,_xlpm.s,(_xlpm.e&gt;=1)*1+(_xlpm.e&lt;=-1)*(-1)+(ABS(_xlpm.e)&lt;1)*_xlpm.e,AVERAGE(_xlpm.s))</f>
        <v>0.40003851563872567</v>
      </c>
      <c r="J98" s="24" cm="1">
        <f t="array" ref="J98">_xlfn.LET(_xlpm.x,$B98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0.1396664189735829</v>
      </c>
      <c r="K98" s="24">
        <f>IFERROR(($C$15-F98)/I98,"")</f>
        <v>-1.1008900213068142</v>
      </c>
      <c r="L98" s="24" t="str">
        <f>IF(AND(ISNUMBER(K98),N(K98)&gt;0),H98+K98*J98,"")</f>
        <v/>
      </c>
      <c r="M98" s="24">
        <f>IF(ISNUMBER(L98),ABS(L98-$C$16),1000000000)</f>
        <v>1000000000</v>
      </c>
    </row>
    <row r="99" spans="1:13" x14ac:dyDescent="0.3">
      <c r="A99" s="24">
        <f>A98+0.01</f>
        <v>0.71000000000000041</v>
      </c>
      <c r="B99" s="20">
        <f>A99*$C$5</f>
        <v>532.50000000000034</v>
      </c>
      <c r="C99" s="20">
        <f>MIN(0.8*B99,$C$5)</f>
        <v>426.00000000000028</v>
      </c>
      <c r="D99" s="24">
        <f>ACOS(MAX(-1,($C$7-C99)/$C$7))</f>
        <v>1.7072190978094655</v>
      </c>
      <c r="E99" s="20">
        <f>$C$7^2*(D99-SIN(D99)*COS(D99))</f>
        <v>259024.99213988136</v>
      </c>
      <c r="F99" s="24">
        <f>E99/$C$9</f>
        <v>0.58631264545282069</v>
      </c>
      <c r="G99" s="16">
        <f>IF(E99&gt;0,2*$C$7^3*SIN(D99)^3/(3*E99),0)</f>
        <v>131.97722293960345</v>
      </c>
      <c r="H99" s="24">
        <f>F99*G99/$C$5</f>
        <v>0.10317321962831412</v>
      </c>
      <c r="I99" s="24" cm="1">
        <f t="array" ref="I99">_xlfn.LET(_xlpm.x,$B99,_xlpm.dep,$H$6:$H$29,_xlpm.e,IF(_xlpm.x&lt;=$C$5,$C$12*(_xlpm.x-_xlpm.dep)/_xlpm.x,$C$13*(_xlpm.x-_xlpm.dep)/(_xlpm.x-3*$C$5/7))/$C$14,_xlpm.s,(_xlpm.e&gt;=1)*1+(_xlpm.e&lt;=-1)*(-1)+(ABS(_xlpm.e)&lt;1)*_xlpm.e,AVERAGE(_xlpm.s))</f>
        <v>0.41457435814146654</v>
      </c>
      <c r="J99" s="24" cm="1">
        <f t="array" ref="J99">_xlfn.LET(_xlpm.x,$B99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0.13688696845858211</v>
      </c>
      <c r="K99" s="24">
        <f>IFERROR(($C$15-F99)/I99,"")</f>
        <v>-1.0866577213490154</v>
      </c>
      <c r="L99" s="24" t="str">
        <f>IF(AND(ISNUMBER(K99),N(K99)&gt;0),H99+K99*J99,"")</f>
        <v/>
      </c>
      <c r="M99" s="24">
        <f>IF(ISNUMBER(L99),ABS(L99-$C$16),1000000000)</f>
        <v>1000000000</v>
      </c>
    </row>
    <row r="100" spans="1:13" x14ac:dyDescent="0.3">
      <c r="A100" s="24">
        <f>A99+0.01</f>
        <v>0.72000000000000042</v>
      </c>
      <c r="B100" s="20">
        <f>A100*$C$5</f>
        <v>540.00000000000034</v>
      </c>
      <c r="C100" s="20">
        <f>MIN(0.8*B100,$C$5)</f>
        <v>432.00000000000028</v>
      </c>
      <c r="D100" s="24">
        <f>ACOS(MAX(-1,($C$7-C100)/$C$7))</f>
        <v>1.7233877984146089</v>
      </c>
      <c r="E100" s="20">
        <f>$C$7^2*(D100-SIN(D100)*COS(D100))</f>
        <v>263478.04220135981</v>
      </c>
      <c r="F100" s="24">
        <f>E100/$C$9</f>
        <v>0.5963922888891936</v>
      </c>
      <c r="G100" s="16">
        <f>IF(E100&gt;0,2*$C$7^3*SIN(D100)^3/(3*E100),0)</f>
        <v>128.8340363635142</v>
      </c>
      <c r="H100" s="24">
        <f>F100*G100/$C$5</f>
        <v>0.10244750111155979</v>
      </c>
      <c r="I100" s="24" cm="1">
        <f t="array" ref="I100">_xlfn.LET(_xlpm.x,$B100,_xlpm.dep,$H$6:$H$29,_xlpm.e,IF(_xlpm.x&lt;=$C$5,$C$12*(_xlpm.x-_xlpm.dep)/_xlpm.x,$C$13*(_xlpm.x-_xlpm.dep)/(_xlpm.x-3*$C$5/7))/$C$14,_xlpm.s,(_xlpm.e&gt;=1)*1+(_xlpm.e&lt;=-1)*(-1)+(ABS(_xlpm.e)&lt;1)*_xlpm.e,AVERAGE(_xlpm.s))</f>
        <v>0.4287064272413536</v>
      </c>
      <c r="J100" s="24" cm="1">
        <f t="array" ref="J100">_xlfn.LET(_xlpm.x,$B100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0.13418472490233146</v>
      </c>
      <c r="K100" s="24">
        <f>IFERROR(($C$15-F100)/I100,"")</f>
        <v>-1.074348415412983</v>
      </c>
      <c r="L100" s="24" t="str">
        <f>IF(AND(ISNUMBER(K100),N(K100)&gt;0),H100+K100*J100,"")</f>
        <v/>
      </c>
      <c r="M100" s="24">
        <f>IF(ISNUMBER(L100),ABS(L100-$C$16),1000000000)</f>
        <v>1000000000</v>
      </c>
    </row>
    <row r="101" spans="1:13" x14ac:dyDescent="0.3">
      <c r="A101" s="24">
        <f>A100+0.01</f>
        <v>0.73000000000000043</v>
      </c>
      <c r="B101" s="20">
        <f>A101*$C$5</f>
        <v>547.50000000000034</v>
      </c>
      <c r="C101" s="20">
        <f>MIN(0.8*B101,$C$5)</f>
        <v>438.00000000000028</v>
      </c>
      <c r="D101" s="24">
        <f>ACOS(MAX(-1,($C$7-C101)/$C$7))</f>
        <v>1.7395968078123043</v>
      </c>
      <c r="E101" s="20">
        <f>$C$7^2*(D101-SIN(D101)*COS(D101))</f>
        <v>267920.01886133838</v>
      </c>
      <c r="F101" s="24">
        <f>E101/$C$9</f>
        <v>0.60644686727190522</v>
      </c>
      <c r="G101" s="16">
        <f>IF(E101&gt;0,2*$C$7^3*SIN(D101)^3/(3*E101),0)</f>
        <v>125.70328655837206</v>
      </c>
      <c r="H101" s="24">
        <f>F101*G101/$C$5</f>
        <v>0.10164315245214309</v>
      </c>
      <c r="I101" s="24" cm="1">
        <f t="array" ref="I101">_xlfn.LET(_xlpm.x,$B101,_xlpm.dep,$H$6:$H$29,_xlpm.e,IF(_xlpm.x&lt;=$C$5,$C$12*(_xlpm.x-_xlpm.dep)/_xlpm.x,$C$13*(_xlpm.x-_xlpm.dep)/(_xlpm.x-3*$C$5/7))/$C$14,_xlpm.s,(_xlpm.e&gt;=1)*1+(_xlpm.e&lt;=-1)*(-1)+(ABS(_xlpm.e)&lt;1)*_xlpm.e,AVERAGE(_xlpm.s))</f>
        <v>0.44245131636590118</v>
      </c>
      <c r="J101" s="24" cm="1">
        <f t="array" ref="J101">_xlfn.LET(_xlpm.x,$B101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0.13155651541611499</v>
      </c>
      <c r="K101" s="24">
        <f>IFERROR(($C$15-F101)/I101,"")</f>
        <v>-1.0636981556127019</v>
      </c>
      <c r="L101" s="24" t="str">
        <f>IF(AND(ISNUMBER(K101),N(K101)&gt;0),H101+K101*J101,"")</f>
        <v/>
      </c>
      <c r="M101" s="24">
        <f>IF(ISNUMBER(L101),ABS(L101-$C$16),1000000000)</f>
        <v>1000000000</v>
      </c>
    </row>
    <row r="102" spans="1:13" x14ac:dyDescent="0.3">
      <c r="A102" s="24">
        <f>A101+0.01</f>
        <v>0.74000000000000044</v>
      </c>
      <c r="B102" s="20">
        <f>A102*$C$5</f>
        <v>555.00000000000034</v>
      </c>
      <c r="C102" s="20">
        <f>MIN(0.8*B102,$C$5)</f>
        <v>444.00000000000028</v>
      </c>
      <c r="D102" s="24">
        <f>ACOS(MAX(-1,($C$7-C102)/$C$7))</f>
        <v>1.7558507217203894</v>
      </c>
      <c r="E102" s="20">
        <f>$C$7^2*(D102-SIN(D102)*COS(D102))</f>
        <v>272349.72429037298</v>
      </c>
      <c r="F102" s="24">
        <f>E102/$C$9</f>
        <v>0.61647366926972724</v>
      </c>
      <c r="G102" s="16">
        <f>IF(E102&gt;0,2*$C$7^3*SIN(D102)^3/(3*E102),0)</f>
        <v>122.58530046589438</v>
      </c>
      <c r="H102" s="24">
        <f>F102*G102/$C$5</f>
        <v>0.10076081330232255</v>
      </c>
      <c r="I102" s="24" cm="1">
        <f t="array" ref="I102">_xlfn.LET(_xlpm.x,$B102,_xlpm.dep,$H$6:$H$29,_xlpm.e,IF(_xlpm.x&lt;=$C$5,$C$12*(_xlpm.x-_xlpm.dep)/_xlpm.x,$C$13*(_xlpm.x-_xlpm.dep)/(_xlpm.x-3*$C$5/7))/$C$14,_xlpm.s,(_xlpm.e&gt;=1)*1+(_xlpm.e&lt;=-1)*(-1)+(ABS(_xlpm.e)&lt;1)*_xlpm.e,AVERAGE(_xlpm.s))</f>
        <v>0.45582472200059626</v>
      </c>
      <c r="J102" s="24" cm="1">
        <f t="array" ref="J102">_xlfn.LET(_xlpm.x,$B102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0.12899933861871524</v>
      </c>
      <c r="K102" s="24">
        <f>IFERROR(($C$15-F102)/I102,"")</f>
        <v>-1.0544874552986936</v>
      </c>
      <c r="L102" s="24" t="str">
        <f>IF(AND(ISNUMBER(K102),N(K102)&gt;0),H102+K102*J102,"")</f>
        <v/>
      </c>
      <c r="M102" s="24">
        <f>IF(ISNUMBER(L102),ABS(L102-$C$16),1000000000)</f>
        <v>1000000000</v>
      </c>
    </row>
    <row r="103" spans="1:13" x14ac:dyDescent="0.3">
      <c r="A103" s="24">
        <f>A102+0.01</f>
        <v>0.75000000000000044</v>
      </c>
      <c r="B103" s="20">
        <f>A103*$C$5</f>
        <v>562.50000000000034</v>
      </c>
      <c r="C103" s="20">
        <f>MIN(0.8*B103,$C$5)</f>
        <v>450.00000000000028</v>
      </c>
      <c r="D103" s="24">
        <f>ACOS(MAX(-1,($C$7-C103)/$C$7))</f>
        <v>1.7721542475852281</v>
      </c>
      <c r="E103" s="20">
        <f>$C$7^2*(D103-SIN(D103)*COS(D103))</f>
        <v>276765.95067298354</v>
      </c>
      <c r="F103" s="24">
        <f>E103/$C$9</f>
        <v>0.62646996094766949</v>
      </c>
      <c r="G103" s="16">
        <f>IF(E103&gt;0,2*$C$7^3*SIN(D103)^3/(3*E103),0)</f>
        <v>119.48041819148828</v>
      </c>
      <c r="H103" s="24">
        <f>F103*G103/$C$5</f>
        <v>9.9801190557910521E-2</v>
      </c>
      <c r="I103" s="24" cm="1">
        <f t="array" ref="I103">_xlfn.LET(_xlpm.x,$B103,_xlpm.dep,$H$6:$H$29,_xlpm.e,IF(_xlpm.x&lt;=$C$5,$C$12*(_xlpm.x-_xlpm.dep)/_xlpm.x,$C$13*(_xlpm.x-_xlpm.dep)/(_xlpm.x-3*$C$5/7))/$C$14,_xlpm.s,(_xlpm.e&gt;=1)*1+(_xlpm.e&lt;=-1)*(-1)+(ABS(_xlpm.e)&lt;1)*_xlpm.e,AVERAGE(_xlpm.s))</f>
        <v>0.46884150348503278</v>
      </c>
      <c r="J103" s="24" cm="1">
        <f t="array" ref="J103">_xlfn.LET(_xlpm.x,$B103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0.12651035320257945</v>
      </c>
      <c r="K103" s="24">
        <f>IFERROR(($C$15-F103)/I103,"")</f>
        <v>-1.0465322271927429</v>
      </c>
      <c r="L103" s="24" t="str">
        <f>IF(AND(ISNUMBER(K103),N(K103)&gt;0),H103+K103*J103,"")</f>
        <v/>
      </c>
      <c r="M103" s="24">
        <f>IF(ISNUMBER(L103),ABS(L103-$C$16),1000000000)</f>
        <v>1000000000</v>
      </c>
    </row>
    <row r="104" spans="1:13" x14ac:dyDescent="0.3">
      <c r="A104" s="24">
        <f>A103+0.01</f>
        <v>0.76000000000000045</v>
      </c>
      <c r="B104" s="20">
        <f>A104*$C$5</f>
        <v>570.00000000000034</v>
      </c>
      <c r="C104" s="20">
        <f>MIN(0.8*B104,$C$5)</f>
        <v>456.00000000000028</v>
      </c>
      <c r="D104" s="24">
        <f>ACOS(MAX(-1,($C$7-C104)/$C$7))</f>
        <v>1.7885122182010067</v>
      </c>
      <c r="E104" s="20">
        <f>$C$7^2*(D104-SIN(D104)*COS(D104))</f>
        <v>281167.47909636743</v>
      </c>
      <c r="F104" s="24">
        <f>E104/$C$9</f>
        <v>0.63643298325154185</v>
      </c>
      <c r="G104" s="16">
        <f>IF(E104&gt;0,2*$C$7^3*SIN(D104)^3/(3*E104),0)</f>
        <v>116.388993746061</v>
      </c>
      <c r="H104" s="24">
        <f>F104*G104/$C$5</f>
        <v>9.8765059343267542E-2</v>
      </c>
      <c r="I104" s="24" cm="1">
        <f t="array" ref="I104">_xlfn.LET(_xlpm.x,$B104,_xlpm.dep,$H$6:$H$29,_xlpm.e,IF(_xlpm.x&lt;=$C$5,$C$12*(_xlpm.x-_xlpm.dep)/_xlpm.x,$C$13*(_xlpm.x-_xlpm.dep)/(_xlpm.x-3*$C$5/7))/$C$14,_xlpm.s,(_xlpm.e&gt;=1)*1+(_xlpm.e&lt;=-1)*(-1)+(ABS(_xlpm.e)&lt;1)*_xlpm.e,AVERAGE(_xlpm.s))</f>
        <v>0.48151573808829989</v>
      </c>
      <c r="J104" s="24" cm="1">
        <f t="array" ref="J104">_xlfn.LET(_xlpm.x,$B104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0.12408686740265779</v>
      </c>
      <c r="K104" s="24">
        <f>IFERROR(($C$15-F104)/I104,"")</f>
        <v>-1.0396768486405203</v>
      </c>
      <c r="L104" s="24" t="str">
        <f>IF(AND(ISNUMBER(K104),N(K104)&gt;0),H104+K104*J104,"")</f>
        <v/>
      </c>
      <c r="M104" s="24">
        <f>IF(ISNUMBER(L104),ABS(L104-$C$16),1000000000)</f>
        <v>1000000000</v>
      </c>
    </row>
    <row r="105" spans="1:13" x14ac:dyDescent="0.3">
      <c r="A105" s="24">
        <f>A104+0.01</f>
        <v>0.77000000000000046</v>
      </c>
      <c r="B105" s="20">
        <f>A105*$C$5</f>
        <v>577.50000000000034</v>
      </c>
      <c r="C105" s="20">
        <f>MIN(0.8*B105,$C$5)</f>
        <v>462.00000000000028</v>
      </c>
      <c r="D105" s="24">
        <f>ACOS(MAX(-1,($C$7-C105)/$C$7))</f>
        <v>1.8049296062481868</v>
      </c>
      <c r="E105" s="20">
        <f>$C$7^2*(D105-SIN(D105)*COS(D105))</f>
        <v>285553.07839130692</v>
      </c>
      <c r="F105" s="24">
        <f>E105/$C$9</f>
        <v>0.64635994938430552</v>
      </c>
      <c r="G105" s="16">
        <f>IF(E105&gt;0,2*$C$7^3*SIN(D105)^3/(3*E105),0)</f>
        <v>113.3113958430538</v>
      </c>
      <c r="H105" s="24">
        <f>F105*G105/$C$5</f>
        <v>9.7653264109041682E-2</v>
      </c>
      <c r="I105" s="24" cm="1">
        <f t="array" ref="I105">_xlfn.LET(_xlpm.x,$B105,_xlpm.dep,$H$6:$H$29,_xlpm.e,IF(_xlpm.x&lt;=$C$5,$C$12*(_xlpm.x-_xlpm.dep)/_xlpm.x,$C$13*(_xlpm.x-_xlpm.dep)/(_xlpm.x-3*$C$5/7))/$C$14,_xlpm.s,(_xlpm.e&gt;=1)*1+(_xlpm.e&lt;=-1)*(-1)+(ABS(_xlpm.e)&lt;1)*_xlpm.e,AVERAGE(_xlpm.s))</f>
        <v>0.49386077179278082</v>
      </c>
      <c r="J105" s="24" cm="1">
        <f t="array" ref="J105">_xlfn.LET(_xlpm.x,$B105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0.12172632928585093</v>
      </c>
      <c r="K105" s="24">
        <f>IFERROR(($C$15-F105)/I105,"")</f>
        <v>-1.0337887931974528</v>
      </c>
      <c r="L105" s="24" t="str">
        <f>IF(AND(ISNUMBER(K105),N(K105)&gt;0),H105+K105*J105,"")</f>
        <v/>
      </c>
      <c r="M105" s="24">
        <f>IF(ISNUMBER(L105),ABS(L105-$C$16),1000000000)</f>
        <v>1000000000</v>
      </c>
    </row>
    <row r="106" spans="1:13" x14ac:dyDescent="0.3">
      <c r="A106" s="24">
        <f>A105+0.01</f>
        <v>0.78000000000000047</v>
      </c>
      <c r="B106" s="20">
        <f>A106*$C$5</f>
        <v>585.00000000000034</v>
      </c>
      <c r="C106" s="20">
        <f>MIN(0.8*B106,$C$5)</f>
        <v>468.00000000000028</v>
      </c>
      <c r="D106" s="24">
        <f>ACOS(MAX(-1,($C$7-C106)/$C$7))</f>
        <v>1.8214115398826127</v>
      </c>
      <c r="E106" s="20">
        <f>$C$7^2*(D106-SIN(D106)*COS(D106))</f>
        <v>289921.50391918089</v>
      </c>
      <c r="F106" s="24">
        <f>E106/$C$9</f>
        <v>0.65624804206042953</v>
      </c>
      <c r="G106" s="16">
        <f>IF(E106&gt;0,2*$C$7^3*SIN(D106)^3/(3*E106),0)</f>
        <v>110.2480087559107</v>
      </c>
      <c r="H106" s="24">
        <f>F106*G106/$C$5</f>
        <v>9.6466719849503321E-2</v>
      </c>
      <c r="I106" s="24" cm="1">
        <f t="array" ref="I106">_xlfn.LET(_xlpm.x,$B106,_xlpm.dep,$H$6:$H$29,_xlpm.e,IF(_xlpm.x&lt;=$C$5,$C$12*(_xlpm.x-_xlpm.dep)/_xlpm.x,$C$13*(_xlpm.x-_xlpm.dep)/(_xlpm.x-3*$C$5/7))/$C$14,_xlpm.s,(_xlpm.e&gt;=1)*1+(_xlpm.e&lt;=-1)*(-1)+(ABS(_xlpm.e)&lt;1)*_xlpm.e,AVERAGE(_xlpm.s))</f>
        <v>0.50588926617150587</v>
      </c>
      <c r="J106" s="24" cm="1">
        <f t="array" ref="J106">_xlfn.LET(_xlpm.x,$B106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0.11942631778742374</v>
      </c>
      <c r="K106" s="24">
        <f>IFERROR(($C$15-F106)/I106,"")</f>
        <v>-1.0287544305771217</v>
      </c>
      <c r="L106" s="24" t="str">
        <f>IF(AND(ISNUMBER(K106),N(K106)&gt;0),H106+K106*J106,"")</f>
        <v/>
      </c>
      <c r="M106" s="24">
        <f>IF(ISNUMBER(L106),ABS(L106-$C$16),1000000000)</f>
        <v>1000000000</v>
      </c>
    </row>
    <row r="107" spans="1:13" x14ac:dyDescent="0.3">
      <c r="A107" s="24">
        <f>A106+0.01</f>
        <v>0.79000000000000048</v>
      </c>
      <c r="B107" s="20">
        <f>A107*$C$5</f>
        <v>592.50000000000034</v>
      </c>
      <c r="C107" s="20">
        <f>MIN(0.8*B107,$C$5)</f>
        <v>474.00000000000028</v>
      </c>
      <c r="D107" s="24">
        <f>ACOS(MAX(-1,($C$7-C107)/$C$7))</f>
        <v>1.8379633195229541</v>
      </c>
      <c r="E107" s="20">
        <f>$C$7^2*(D107-SIN(D107)*COS(D107))</f>
        <v>294271.49629840476</v>
      </c>
      <c r="F107" s="24">
        <f>E107/$C$9</f>
        <v>0.66609441062313957</v>
      </c>
      <c r="G107" s="16">
        <f>IF(E107&gt;0,2*$C$7^3*SIN(D107)^3/(3*E107),0)</f>
        <v>107.19923324179989</v>
      </c>
      <c r="H107" s="24">
        <f>F107*G107/$C$5</f>
        <v>9.5206413447265562E-2</v>
      </c>
      <c r="I107" s="24" cm="1">
        <f t="array" ref="I107">_xlfn.LET(_xlpm.x,$B107,_xlpm.dep,$H$6:$H$29,_xlpm.e,IF(_xlpm.x&lt;=$C$5,$C$12*(_xlpm.x-_xlpm.dep)/_xlpm.x,$C$13*(_xlpm.x-_xlpm.dep)/(_xlpm.x-3*$C$5/7))/$C$14,_xlpm.s,(_xlpm.e&gt;=1)*1+(_xlpm.e&lt;=-1)*(-1)+(ABS(_xlpm.e)&lt;1)*_xlpm.e,AVERAGE(_xlpm.s))</f>
        <v>0.51761324170519984</v>
      </c>
      <c r="J107" s="24" cm="1">
        <f t="array" ref="J107">_xlfn.LET(_xlpm.x,$B107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0.11718453442819723</v>
      </c>
      <c r="K107" s="24">
        <f>IFERROR(($C$15-F107)/I107,"")</f>
        <v>-1.0244757084867453</v>
      </c>
      <c r="L107" s="24" t="str">
        <f>IF(AND(ISNUMBER(K107),N(K107)&gt;0),H107+K107*J107,"")</f>
        <v/>
      </c>
      <c r="M107" s="24">
        <f>IF(ISNUMBER(L107),ABS(L107-$C$16),1000000000)</f>
        <v>1000000000</v>
      </c>
    </row>
    <row r="108" spans="1:13" x14ac:dyDescent="0.3">
      <c r="A108" s="24">
        <f>A107+0.01</f>
        <v>0.80000000000000049</v>
      </c>
      <c r="B108" s="20">
        <f>A108*$C$5</f>
        <v>600.00000000000034</v>
      </c>
      <c r="C108" s="20">
        <f>MIN(0.8*B108,$C$5)</f>
        <v>480.00000000000028</v>
      </c>
      <c r="D108" s="24">
        <f>ACOS(MAX(-1,($C$7-C108)/$C$7))</f>
        <v>1.8545904360032253</v>
      </c>
      <c r="E108" s="20">
        <f>$C$7^2*(D108-SIN(D108)*COS(D108))</f>
        <v>298601.78006295365</v>
      </c>
      <c r="F108" s="24">
        <f>E108/$C$9</f>
        <v>0.67589616800793662</v>
      </c>
      <c r="G108" s="16">
        <f>IF(E108&gt;0,2*$C$7^3*SIN(D108)^3/(3*E108),0)</f>
        <v>104.16548753809298</v>
      </c>
      <c r="H108" s="24">
        <f>F108*G108/$C$5</f>
        <v>9.3873405154234021E-2</v>
      </c>
      <c r="I108" s="24" cm="1">
        <f t="array" ref="I108">_xlfn.LET(_xlpm.x,$B108,_xlpm.dep,$H$6:$H$29,_xlpm.e,IF(_xlpm.x&lt;=$C$5,$C$12*(_xlpm.x-_xlpm.dep)/_xlpm.x,$C$13*(_xlpm.x-_xlpm.dep)/(_xlpm.x-3*$C$5/7))/$C$14,_xlpm.s,(_xlpm.e&gt;=1)*1+(_xlpm.e&lt;=-1)*(-1)+(ABS(_xlpm.e)&lt;1)*_xlpm.e,AVERAGE(_xlpm.s))</f>
        <v>0.5290441178505515</v>
      </c>
      <c r="J108" s="24" cm="1">
        <f t="array" ref="J108">_xlfn.LET(_xlpm.x,$B108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0.11499879565295144</v>
      </c>
      <c r="K108" s="24">
        <f>IFERROR(($C$15-F108)/I108,"")</f>
        <v>-1.0208675074153639</v>
      </c>
      <c r="L108" s="24" t="str">
        <f>IF(AND(ISNUMBER(K108),N(K108)&gt;0),H108+K108*J108,"")</f>
        <v/>
      </c>
      <c r="M108" s="24">
        <f>IF(ISNUMBER(L108),ABS(L108-$C$16),1000000000)</f>
        <v>1000000000</v>
      </c>
    </row>
    <row r="109" spans="1:13" x14ac:dyDescent="0.3">
      <c r="A109" s="24">
        <f>A108+0.01</f>
        <v>0.8100000000000005</v>
      </c>
      <c r="B109" s="20">
        <f>A109*$C$5</f>
        <v>607.50000000000034</v>
      </c>
      <c r="C109" s="20">
        <f>MIN(0.8*B109,$C$5)</f>
        <v>486.00000000000028</v>
      </c>
      <c r="D109" s="24">
        <f>ACOS(MAX(-1,($C$7-C109)/$C$7))</f>
        <v>1.8712985902795767</v>
      </c>
      <c r="E109" s="20">
        <f>$C$7^2*(D109-SIN(D109)*COS(D109))</f>
        <v>302911.06224484608</v>
      </c>
      <c r="F109" s="24">
        <f>E109/$C$9</f>
        <v>0.68565038753399532</v>
      </c>
      <c r="G109" s="16">
        <f>IF(E109&gt;0,2*$C$7^3*SIN(D109)^3/(3*E109),0)</f>
        <v>101.1472084388953</v>
      </c>
      <c r="H109" s="24">
        <f>F109*G109/$C$5</f>
        <v>9.2468830218813816E-2</v>
      </c>
      <c r="I109" s="24" cm="1">
        <f t="array" ref="I109">_xlfn.LET(_xlpm.x,$B109,_xlpm.dep,$H$6:$H$29,_xlpm.e,IF(_xlpm.x&lt;=$C$5,$C$12*(_xlpm.x-_xlpm.dep)/_xlpm.x,$C$13*(_xlpm.x-_xlpm.dep)/(_xlpm.x-3*$C$5/7))/$C$14,_xlpm.s,(_xlpm.e&gt;=1)*1+(_xlpm.e&lt;=-1)*(-1)+(ABS(_xlpm.e)&lt;1)*_xlpm.e,AVERAGE(_xlpm.s))</f>
        <v>0.54019275014046242</v>
      </c>
      <c r="J109" s="24" cm="1">
        <f t="array" ref="J109">_xlfn.LET(_xlpm.x,$B109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0.11286702573635368</v>
      </c>
      <c r="K109" s="24">
        <f>IFERROR(($C$15-F109)/I109,"")</f>
        <v>-1.0178555141399821</v>
      </c>
      <c r="L109" s="24" t="str">
        <f>IF(AND(ISNUMBER(K109),N(K109)&gt;0),H109+K109*J109,"")</f>
        <v/>
      </c>
      <c r="M109" s="24">
        <f>IF(ISNUMBER(L109),ABS(L109-$C$16),1000000000)</f>
        <v>1000000000</v>
      </c>
    </row>
    <row r="110" spans="1:13" x14ac:dyDescent="0.3">
      <c r="A110" s="24">
        <f>A109+0.01</f>
        <v>0.82000000000000051</v>
      </c>
      <c r="B110" s="20">
        <f>A110*$C$5</f>
        <v>615.00000000000034</v>
      </c>
      <c r="C110" s="20">
        <f>MIN(0.8*B110,$C$5)</f>
        <v>492.00000000000028</v>
      </c>
      <c r="D110" s="24">
        <f>ACOS(MAX(-1,($C$7-C110)/$C$7))</f>
        <v>1.8880937149070367</v>
      </c>
      <c r="E110" s="20">
        <f>$C$7^2*(D110-SIN(D110)*COS(D110))</f>
        <v>307198.03087156639</v>
      </c>
      <c r="F110" s="24">
        <f>E110/$C$9</f>
        <v>0.69535409950302518</v>
      </c>
      <c r="G110" s="16">
        <f>IF(E110&gt;0,2*$C$7^3*SIN(D110)^3/(3*E110),0)</f>
        <v>98.144852459820555</v>
      </c>
      <c r="H110" s="24">
        <f>F110*G110/$C$5</f>
        <v>9.0993900670741049E-2</v>
      </c>
      <c r="I110" s="24" cm="1">
        <f t="array" ref="I110">_xlfn.LET(_xlpm.x,$B110,_xlpm.dep,$H$6:$H$29,_xlpm.e,IF(_xlpm.x&lt;=$C$5,$C$12*(_xlpm.x-_xlpm.dep)/_xlpm.x,$C$13*(_xlpm.x-_xlpm.dep)/(_xlpm.x-3*$C$5/7))/$C$14,_xlpm.s,(_xlpm.e&gt;=1)*1+(_xlpm.e&lt;=-1)*(-1)+(ABS(_xlpm.e)&lt;1)*_xlpm.e,AVERAGE(_xlpm.s))</f>
        <v>0.55106946456964379</v>
      </c>
      <c r="J110" s="24" cm="1">
        <f t="array" ref="J110">_xlfn.LET(_xlpm.x,$B110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0.11078725020796559</v>
      </c>
      <c r="K110" s="24">
        <f>IFERROR(($C$15-F110)/I110,"")</f>
        <v>-1.0153744988118945</v>
      </c>
      <c r="L110" s="24" t="str">
        <f>IF(AND(ISNUMBER(K110),N(K110)&gt;0),H110+K110*J110,"")</f>
        <v/>
      </c>
      <c r="M110" s="24">
        <f>IF(ISNUMBER(L110),ABS(L110-$C$16),1000000000)</f>
        <v>1000000000</v>
      </c>
    </row>
    <row r="111" spans="1:13" x14ac:dyDescent="0.3">
      <c r="A111" s="24">
        <f>A110+0.01</f>
        <v>0.83000000000000052</v>
      </c>
      <c r="B111" s="20">
        <f>A111*$C$5</f>
        <v>622.50000000000034</v>
      </c>
      <c r="C111" s="20">
        <f>MIN(0.8*B111,$C$5)</f>
        <v>498.00000000000028</v>
      </c>
      <c r="D111" s="24">
        <f>ACOS(MAX(-1,($C$7-C111)/$C$7))</f>
        <v>1.9049819975331765</v>
      </c>
      <c r="E111" s="20">
        <f>$C$7^2*(D111-SIN(D111)*COS(D111))</f>
        <v>311461.3533683616</v>
      </c>
      <c r="F111" s="24">
        <f>E111/$C$9</f>
        <v>0.70500428758280953</v>
      </c>
      <c r="G111" s="16">
        <f>IF(E111&gt;0,2*$C$7^3*SIN(D111)^3/(3*E111),0)</f>
        <v>95.158897100239258</v>
      </c>
      <c r="H111" s="24">
        <f>F111*G111/$C$5</f>
        <v>8.9449907276426738E-2</v>
      </c>
      <c r="I111" s="24" cm="1">
        <f t="array" ref="I111">_xlfn.LET(_xlpm.x,$B111,_xlpm.dep,$H$6:$H$29,_xlpm.e,IF(_xlpm.x&lt;=$C$5,$C$12*(_xlpm.x-_xlpm.dep)/_xlpm.x,$C$13*(_xlpm.x-_xlpm.dep)/(_xlpm.x-3*$C$5/7))/$C$14,_xlpm.s,(_xlpm.e&gt;=1)*1+(_xlpm.e&lt;=-1)*(-1)+(ABS(_xlpm.e)&lt;1)*_xlpm.e,AVERAGE(_xlpm.s))</f>
        <v>0.56150001988272702</v>
      </c>
      <c r="J111" s="24" cm="1">
        <f t="array" ref="J111">_xlfn.LET(_xlpm.x,$B111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0.10872323009168502</v>
      </c>
      <c r="K111" s="24">
        <f>IFERROR(($C$15-F111)/I111,"")</f>
        <v>-1.0136991083216791</v>
      </c>
      <c r="L111" s="24" t="str">
        <f>IF(AND(ISNUMBER(K111),N(K111)&gt;0),H111+K111*J111,"")</f>
        <v/>
      </c>
      <c r="M111" s="24">
        <f>IF(ISNUMBER(L111),ABS(L111-$C$16),1000000000)</f>
        <v>1000000000</v>
      </c>
    </row>
    <row r="112" spans="1:13" x14ac:dyDescent="0.3">
      <c r="A112" s="24">
        <f>A111+0.01</f>
        <v>0.84000000000000052</v>
      </c>
      <c r="B112" s="20">
        <f>A112*$C$5</f>
        <v>630.00000000000034</v>
      </c>
      <c r="C112" s="20">
        <f>MIN(0.8*B112,$C$5)</f>
        <v>504.00000000000028</v>
      </c>
      <c r="D112" s="24">
        <f>ACOS(MAX(-1,($C$7-C112)/$C$7))</f>
        <v>1.9219699066927665</v>
      </c>
      <c r="E112" s="20">
        <f>$C$7^2*(D112-SIN(D112)*COS(D112))</f>
        <v>315699.67485414166</v>
      </c>
      <c r="F112" s="24">
        <f>E112/$C$9</f>
        <v>0.71459788494991339</v>
      </c>
      <c r="G112" s="16">
        <f>IF(E112&gt;0,2*$C$7^3*SIN(D112)^3/(3*E112),0)</f>
        <v>92.189842213422708</v>
      </c>
      <c r="H112" s="24">
        <f>F112*G112/$C$5</f>
        <v>8.7838221679437486E-2</v>
      </c>
      <c r="I112" s="24" cm="1">
        <f t="array" ref="I112">_xlfn.LET(_xlpm.x,$B112,_xlpm.dep,$H$6:$H$29,_xlpm.e,IF(_xlpm.x&lt;=$C$5,$C$12*(_xlpm.x-_xlpm.dep)/_xlpm.x,$C$13*(_xlpm.x-_xlpm.dep)/(_xlpm.x-3*$C$5/7))/$C$14,_xlpm.s,(_xlpm.e&gt;=1)*1+(_xlpm.e&lt;=-1)*(-1)+(ABS(_xlpm.e)&lt;1)*_xlpm.e,AVERAGE(_xlpm.s))</f>
        <v>0.57125894821745637</v>
      </c>
      <c r="J112" s="24" cm="1">
        <f t="array" ref="J112">_xlfn.LET(_xlpm.x,$B112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0.10662934096582742</v>
      </c>
      <c r="K112" s="24">
        <f>IFERROR(($C$15-F112)/I112,"")</f>
        <v>-1.013175668671553</v>
      </c>
      <c r="L112" s="24" t="str">
        <f>IF(AND(ISNUMBER(K112),N(K112)&gt;0),H112+K112*J112,"")</f>
        <v/>
      </c>
      <c r="M112" s="24">
        <f>IF(ISNUMBER(L112),ABS(L112-$C$16),1000000000)</f>
        <v>1000000000</v>
      </c>
    </row>
    <row r="113" spans="1:13" x14ac:dyDescent="0.3">
      <c r="A113" s="24">
        <f>A112+0.01</f>
        <v>0.85000000000000053</v>
      </c>
      <c r="B113" s="20">
        <f>A113*$C$5</f>
        <v>637.50000000000045</v>
      </c>
      <c r="C113" s="20">
        <f>MIN(0.8*B113,$C$5)</f>
        <v>510.0000000000004</v>
      </c>
      <c r="D113" s="24">
        <f>ACOS(MAX(-1,($C$7-C113)/$C$7))</f>
        <v>1.9390642202315376</v>
      </c>
      <c r="E113" s="20">
        <f>$C$7^2*(D113-SIN(D113)*COS(D113))</f>
        <v>319911.616318307</v>
      </c>
      <c r="F113" s="24">
        <f>E113/$C$9</f>
        <v>0.72413177016286445</v>
      </c>
      <c r="G113" s="16">
        <f>IF(E113&gt;0,2*$C$7^3*SIN(D113)^3/(3*E113),0)</f>
        <v>89.238211496382192</v>
      </c>
      <c r="H113" s="24">
        <f>F113*G113/$C$5</f>
        <v>8.616029874272442E-2</v>
      </c>
      <c r="I113" s="24" cm="1">
        <f t="array" ref="I113">_xlfn.LET(_xlpm.x,$B113,_xlpm.dep,$H$6:$H$29,_xlpm.e,IF(_xlpm.x&lt;=$C$5,$C$12*(_xlpm.x-_xlpm.dep)/_xlpm.x,$C$13*(_xlpm.x-_xlpm.dep)/(_xlpm.x-3*$C$5/7))/$C$14,_xlpm.s,(_xlpm.e&gt;=1)*1+(_xlpm.e&lt;=-1)*(-1)+(ABS(_xlpm.e)&lt;1)*_xlpm.e,AVERAGE(_xlpm.s))</f>
        <v>0.58078825470901596</v>
      </c>
      <c r="J113" s="24" cm="1">
        <f t="array" ref="J113">_xlfn.LET(_xlpm.x,$B113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0.10458471981940164</v>
      </c>
      <c r="K113" s="24">
        <f>IFERROR(($C$15-F113)/I113,"")</f>
        <v>-1.0129673719943557</v>
      </c>
      <c r="L113" s="24" t="str">
        <f>IF(AND(ISNUMBER(K113),N(K113)&gt;0),H113+K113*J113,"")</f>
        <v/>
      </c>
      <c r="M113" s="24">
        <f>IF(ISNUMBER(L113),ABS(L113-$C$16),1000000000)</f>
        <v>1000000000</v>
      </c>
    </row>
    <row r="114" spans="1:13" x14ac:dyDescent="0.3">
      <c r="A114" s="24">
        <f>A113+0.01</f>
        <v>0.86000000000000054</v>
      </c>
      <c r="B114" s="20">
        <f>A114*$C$5</f>
        <v>645.00000000000045</v>
      </c>
      <c r="C114" s="20">
        <f>MIN(0.8*B114,$C$5)</f>
        <v>516.00000000000034</v>
      </c>
      <c r="D114" s="24">
        <f>ACOS(MAX(-1,($C$7-C114)/$C$7))</f>
        <v>1.9562720567396901</v>
      </c>
      <c r="E114" s="20">
        <f>$C$7^2*(D114-SIN(D114)*COS(D114))</f>
        <v>324095.77266418881</v>
      </c>
      <c r="F114" s="24">
        <f>E114/$C$9</f>
        <v>0.73360276273340908</v>
      </c>
      <c r="G114" s="16">
        <f>IF(E114&gt;0,2*$C$7^3*SIN(D114)^3/(3*E114),0)</f>
        <v>86.304554112802705</v>
      </c>
      <c r="H114" s="24">
        <f>F114*G114/$C$5</f>
        <v>8.4417679111502761E-2</v>
      </c>
      <c r="I114" s="24" cm="1">
        <f t="array" ref="I114">_xlfn.LET(_xlpm.x,$B114,_xlpm.dep,$H$6:$H$29,_xlpm.e,IF(_xlpm.x&lt;=$C$5,$C$12*(_xlpm.x-_xlpm.dep)/_xlpm.x,$C$13*(_xlpm.x-_xlpm.dep)/(_xlpm.x-3*$C$5/7))/$C$14,_xlpm.s,(_xlpm.e&gt;=1)*1+(_xlpm.e&lt;=-1)*(-1)+(ABS(_xlpm.e)&lt;1)*_xlpm.e,AVERAGE(_xlpm.s))</f>
        <v>0.59009594942170174</v>
      </c>
      <c r="J114" s="24" cm="1">
        <f t="array" ref="J114">_xlfn.LET(_xlpm.x,$B114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0.1025876480019626</v>
      </c>
      <c r="K114" s="24">
        <f>IFERROR(($C$15-F114)/I114,"")</f>
        <v>-1.0130395662165856</v>
      </c>
      <c r="L114" s="24" t="str">
        <f>IF(AND(ISNUMBER(K114),N(K114)&gt;0),H114+K114*J114,"")</f>
        <v/>
      </c>
      <c r="M114" s="24">
        <f>IF(ISNUMBER(L114),ABS(L114-$C$16),1000000000)</f>
        <v>1000000000</v>
      </c>
    </row>
    <row r="115" spans="1:13" x14ac:dyDescent="0.3">
      <c r="A115" s="24">
        <f>A114+0.01</f>
        <v>0.87000000000000055</v>
      </c>
      <c r="B115" s="20">
        <f>A115*$C$5</f>
        <v>652.50000000000045</v>
      </c>
      <c r="C115" s="20">
        <f>MIN(0.8*B115,$C$5)</f>
        <v>522.00000000000034</v>
      </c>
      <c r="D115" s="24">
        <f>ACOS(MAX(-1,($C$7-C115)/$C$7))</f>
        <v>1.9736009104386105</v>
      </c>
      <c r="E115" s="20">
        <f>$C$7^2*(D115-SIN(D115)*COS(D115))</f>
        <v>328250.71060287836</v>
      </c>
      <c r="F115" s="24">
        <f>E115/$C$9</f>
        <v>0.74300761835911555</v>
      </c>
      <c r="G115" s="16">
        <f>IF(E115&gt;0,2*$C$7^3*SIN(D115)^3/(3*E115),0)</f>
        <v>83.389446464328032</v>
      </c>
      <c r="H115" s="24">
        <f>F115*G115/$C$5</f>
        <v>8.2611992018327113E-2</v>
      </c>
      <c r="I115" s="24" cm="1">
        <f t="array" ref="I115">_xlfn.LET(_xlpm.x,$B115,_xlpm.dep,$H$6:$H$29,_xlpm.e,IF(_xlpm.x&lt;=$C$5,$C$12*(_xlpm.x-_xlpm.dep)/_xlpm.x,$C$13*(_xlpm.x-_xlpm.dep)/(_xlpm.x-3*$C$5/7))/$C$14,_xlpm.s,(_xlpm.e&gt;=1)*1+(_xlpm.e&lt;=-1)*(-1)+(ABS(_xlpm.e)&lt;1)*_xlpm.e,AVERAGE(_xlpm.s))</f>
        <v>0.59918967414099245</v>
      </c>
      <c r="J115" s="24" cm="1">
        <f t="array" ref="J115">_xlfn.LET(_xlpm.x,$B115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0.10063648588147618</v>
      </c>
      <c r="K115" s="24">
        <f>IFERROR(($C$15-F115)/I115,"")</f>
        <v>-1.0133609213551888</v>
      </c>
      <c r="L115" s="24" t="str">
        <f>IF(AND(ISNUMBER(K115),N(K115)&gt;0),H115+K115*J115,"")</f>
        <v/>
      </c>
      <c r="M115" s="24">
        <f>IF(ISNUMBER(L115),ABS(L115-$C$16),1000000000)</f>
        <v>1000000000</v>
      </c>
    </row>
    <row r="116" spans="1:13" x14ac:dyDescent="0.3">
      <c r="A116" s="24">
        <f>A115+0.01</f>
        <v>0.88000000000000056</v>
      </c>
      <c r="B116" s="20">
        <f>A116*$C$5</f>
        <v>660.00000000000045</v>
      </c>
      <c r="C116" s="20">
        <f>MIN(0.8*B116,$C$5)</f>
        <v>528.00000000000034</v>
      </c>
      <c r="D116" s="24">
        <f>ACOS(MAX(-1,($C$7-C116)/$C$7))</f>
        <v>1.9910586900396916</v>
      </c>
      <c r="E116" s="20">
        <f>$C$7^2*(D116-SIN(D116)*COS(D116))</f>
        <v>332374.9663789788</v>
      </c>
      <c r="F116" s="24">
        <f>E116/$C$9</f>
        <v>0.75234302377553064</v>
      </c>
      <c r="G116" s="16">
        <f>IF(E116&gt;0,2*$C$7^3*SIN(D116)^3/(3*E116),0)</f>
        <v>80.493494127628196</v>
      </c>
      <c r="H116" s="24">
        <f>F116*G116/$C$5</f>
        <v>8.0744958354983618E-2</v>
      </c>
      <c r="I116" s="24" cm="1">
        <f t="array" ref="I116">_xlfn.LET(_xlpm.x,$B116,_xlpm.dep,$H$6:$H$29,_xlpm.e,IF(_xlpm.x&lt;=$C$5,$C$12*(_xlpm.x-_xlpm.dep)/_xlpm.x,$C$13*(_xlpm.x-_xlpm.dep)/(_xlpm.x-3*$C$5/7))/$C$14,_xlpm.s,(_xlpm.e&gt;=1)*1+(_xlpm.e&lt;=-1)*(-1)+(ABS(_xlpm.e)&lt;1)*_xlpm.e,AVERAGE(_xlpm.s))</f>
        <v>0.60807672329848128</v>
      </c>
      <c r="J116" s="24" cm="1">
        <f t="array" ref="J116">_xlfn.LET(_xlpm.x,$B116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9.8729668354637146E-2</v>
      </c>
      <c r="K116" s="24">
        <f>IFERROR(($C$15-F116)/I116,"")</f>
        <v>-1.0139029863305844</v>
      </c>
      <c r="L116" s="24" t="str">
        <f>IF(AND(ISNUMBER(K116),N(K116)&gt;0),H116+K116*J116,"")</f>
        <v/>
      </c>
      <c r="M116" s="24">
        <f>IF(ISNUMBER(L116),ABS(L116-$C$16),1000000000)</f>
        <v>1000000000</v>
      </c>
    </row>
    <row r="117" spans="1:13" x14ac:dyDescent="0.3">
      <c r="A117" s="24">
        <f>A116+0.01</f>
        <v>0.89000000000000057</v>
      </c>
      <c r="B117" s="20">
        <f>A117*$C$5</f>
        <v>667.50000000000045</v>
      </c>
      <c r="C117" s="20">
        <f>MIN(0.8*B117,$C$5)</f>
        <v>534.00000000000034</v>
      </c>
      <c r="D117" s="24">
        <f>ACOS(MAX(-1,($C$7-C117)/$C$7))</f>
        <v>2.0086537621851237</v>
      </c>
      <c r="E117" s="20">
        <f>$C$7^2*(D117-SIN(D117)*COS(D117))</f>
        <v>336467.0433071751</v>
      </c>
      <c r="F117" s="24">
        <f>E117/$C$9</f>
        <v>0.76160559118011362</v>
      </c>
      <c r="G117" s="16">
        <f>IF(E117&gt;0,2*$C$7^3*SIN(D117)^3/(3*E117),0)</f>
        <v>77.617333977225044</v>
      </c>
      <c r="H117" s="24">
        <f>F117*G117/$C$5</f>
        <v>7.8818394039398401E-2</v>
      </c>
      <c r="I117" s="24" cm="1">
        <f t="array" ref="I117">_xlfn.LET(_xlpm.x,$B117,_xlpm.dep,$H$6:$H$29,_xlpm.e,IF(_xlpm.x&lt;=$C$5,$C$12*(_xlpm.x-_xlpm.dep)/_xlpm.x,$C$13*(_xlpm.x-_xlpm.dep)/(_xlpm.x-3*$C$5/7))/$C$14,_xlpm.s,(_xlpm.e&gt;=1)*1+(_xlpm.e&lt;=-1)*(-1)+(ABS(_xlpm.e)&lt;1)*_xlpm.e,AVERAGE(_xlpm.s))</f>
        <v>0.61676406348613877</v>
      </c>
      <c r="J117" s="24" cm="1">
        <f t="array" ref="J117">_xlfn.LET(_xlpm.x,$B117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9.6865700659861928E-2</v>
      </c>
      <c r="K117" s="24">
        <f>IFERROR(($C$15-F117)/I117,"")</f>
        <v>-1.0146398114343018</v>
      </c>
      <c r="L117" s="24" t="str">
        <f>IF(AND(ISNUMBER(K117),N(K117)&gt;0),H117+K117*J117,"")</f>
        <v/>
      </c>
      <c r="M117" s="24">
        <f>IF(ISNUMBER(L117),ABS(L117-$C$16),1000000000)</f>
        <v>1000000000</v>
      </c>
    </row>
    <row r="118" spans="1:13" x14ac:dyDescent="0.3">
      <c r="A118" s="24">
        <f>A117+0.01</f>
        <v>0.90000000000000058</v>
      </c>
      <c r="B118" s="20">
        <f>A118*$C$5</f>
        <v>675.00000000000045</v>
      </c>
      <c r="C118" s="20">
        <f>MIN(0.8*B118,$C$5)</f>
        <v>540.00000000000034</v>
      </c>
      <c r="D118" s="24">
        <f>ACOS(MAX(-1,($C$7-C118)/$C$7))</f>
        <v>2.0263950001907207</v>
      </c>
      <c r="E118" s="20">
        <f>$C$7^2*(D118-SIN(D118)*COS(D118))</f>
        <v>340525.40909541317</v>
      </c>
      <c r="F118" s="24">
        <f>E118/$C$9</f>
        <v>0.7707918521731536</v>
      </c>
      <c r="G118" s="16">
        <f>IF(E118&gt;0,2*$C$7^3*SIN(D118)^3/(3*E118),0)</f>
        <v>74.761636517046568</v>
      </c>
      <c r="H118" s="24">
        <f>F118*G118/$C$5</f>
        <v>7.6834213709960533E-2</v>
      </c>
      <c r="I118" s="24" cm="1">
        <f t="array" ref="I118">_xlfn.LET(_xlpm.x,$B118,_xlpm.dep,$H$6:$H$29,_xlpm.e,IF(_xlpm.x&lt;=$C$5,$C$12*(_xlpm.x-_xlpm.dep)/_xlpm.x,$C$13*(_xlpm.x-_xlpm.dep)/(_xlpm.x-3*$C$5/7))/$C$14,_xlpm.s,(_xlpm.e&gt;=1)*1+(_xlpm.e&lt;=-1)*(-1)+(ABS(_xlpm.e)&lt;1)*_xlpm.e,AVERAGE(_xlpm.s))</f>
        <v>0.62525835166962607</v>
      </c>
      <c r="J118" s="24" cm="1">
        <f t="array" ref="J118">_xlfn.LET(_xlpm.x,$B118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9.5043154469415039E-2</v>
      </c>
      <c r="K118" s="24">
        <f>IFERROR(($C$15-F118)/I118,"")</f>
        <v>-1.0155476250296933</v>
      </c>
      <c r="L118" s="24" t="str">
        <f>IF(AND(ISNUMBER(K118),N(K118)&gt;0),H118+K118*J118,"")</f>
        <v/>
      </c>
      <c r="M118" s="24">
        <f>IF(ISNUMBER(L118),ABS(L118-$C$16),1000000000)</f>
        <v>1000000000</v>
      </c>
    </row>
    <row r="119" spans="1:13" x14ac:dyDescent="0.3">
      <c r="A119" s="24">
        <f>A118+0.01</f>
        <v>0.91000000000000059</v>
      </c>
      <c r="B119" s="20">
        <f>A119*$C$5</f>
        <v>682.50000000000045</v>
      </c>
      <c r="C119" s="20">
        <f>MIN(0.8*B119,$C$5)</f>
        <v>546.00000000000034</v>
      </c>
      <c r="D119" s="24">
        <f>ACOS(MAX(-1,($C$7-C119)/$C$7))</f>
        <v>2.0442918389449538</v>
      </c>
      <c r="E119" s="20">
        <f>$C$7^2*(D119-SIN(D119)*COS(D119))</f>
        <v>344548.49292678572</v>
      </c>
      <c r="F119" s="24">
        <f>E119/$C$9</f>
        <v>0.77989825115251044</v>
      </c>
      <c r="G119" s="16">
        <f>IF(E119&gt;0,2*$C$7^3*SIN(D119)^3/(3*E119),0)</f>
        <v>71.927108447224839</v>
      </c>
      <c r="H119" s="24">
        <f>F119*G119/$C$5</f>
        <v>7.4794434784596811E-2</v>
      </c>
      <c r="I119" s="24" cm="1">
        <f t="array" ref="I119">_xlfn.LET(_xlpm.x,$B119,_xlpm.dep,$H$6:$H$29,_xlpm.e,IF(_xlpm.x&lt;=$C$5,$C$12*(_xlpm.x-_xlpm.dep)/_xlpm.x,$C$13*(_xlpm.x-_xlpm.dep)/(_xlpm.x-3*$C$5/7))/$C$14,_xlpm.s,(_xlpm.e&gt;=1)*1+(_xlpm.e&lt;=-1)*(-1)+(ABS(_xlpm.e)&lt;1)*_xlpm.e,AVERAGE(_xlpm.s))</f>
        <v>0.63356595220072909</v>
      </c>
      <c r="J119" s="24" cm="1">
        <f t="array" ref="J119">_xlfn.LET(_xlpm.x,$B119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9.3260664239197752E-2</v>
      </c>
      <c r="K119" s="24">
        <f>IFERROR(($C$15-F119)/I119,"")</f>
        <v>-1.0166045552324192</v>
      </c>
      <c r="L119" s="24" t="str">
        <f>IF(AND(ISNUMBER(K119),N(K119)&gt;0),H119+K119*J119,"")</f>
        <v/>
      </c>
      <c r="M119" s="24">
        <f>IF(ISNUMBER(L119),ABS(L119-$C$16),1000000000)</f>
        <v>1000000000</v>
      </c>
    </row>
    <row r="120" spans="1:13" x14ac:dyDescent="0.3">
      <c r="A120" s="24">
        <f>A119+0.01</f>
        <v>0.9200000000000006</v>
      </c>
      <c r="B120" s="20">
        <f>A120*$C$5</f>
        <v>690.00000000000045</v>
      </c>
      <c r="C120" s="20">
        <f>MIN(0.8*B120,$C$5)</f>
        <v>552.00000000000034</v>
      </c>
      <c r="D120" s="24">
        <f>ACOS(MAX(-1,($C$7-C120)/$C$7))</f>
        <v>2.0623543369824375</v>
      </c>
      <c r="E120" s="20">
        <f>$C$7^2*(D120-SIN(D120)*COS(D120))</f>
        <v>348534.68226784008</v>
      </c>
      <c r="F120" s="24">
        <f>E120/$C$9</f>
        <v>0.78892113808910103</v>
      </c>
      <c r="G120" s="16">
        <f>IF(E120&gt;0,2*$C$7^3*SIN(D120)^3/(3*E120),0)</f>
        <v>69.114495496853678</v>
      </c>
      <c r="H120" s="24">
        <f>F120*G120/$C$5</f>
        <v>7.2701181927775804E-2</v>
      </c>
      <c r="I120" s="24" cm="1">
        <f t="array" ref="I120">_xlfn.LET(_xlpm.x,$B120,_xlpm.dep,$H$6:$H$29,_xlpm.e,IF(_xlpm.x&lt;=$C$5,$C$12*(_xlpm.x-_xlpm.dep)/_xlpm.x,$C$13*(_xlpm.x-_xlpm.dep)/(_xlpm.x-3*$C$5/7))/$C$14,_xlpm.s,(_xlpm.e&gt;=1)*1+(_xlpm.e&lt;=-1)*(-1)+(ABS(_xlpm.e)&lt;1)*_xlpm.e,AVERAGE(_xlpm.s))</f>
        <v>0.64169295272028648</v>
      </c>
      <c r="J120" s="24" cm="1">
        <f t="array" ref="J120">_xlfn.LET(_xlpm.x,$B120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9.1516923796593902E-2</v>
      </c>
      <c r="K120" s="24">
        <f>IFERROR(($C$15-F120)/I120,"")</f>
        <v>-1.0177903890253672</v>
      </c>
      <c r="L120" s="24" t="str">
        <f>IF(AND(ISNUMBER(K120),N(K120)&gt;0),H120+K120*J120,"")</f>
        <v/>
      </c>
      <c r="M120" s="24">
        <f>IF(ISNUMBER(L120),ABS(L120-$C$16),1000000000)</f>
        <v>1000000000</v>
      </c>
    </row>
    <row r="121" spans="1:13" x14ac:dyDescent="0.3">
      <c r="A121" s="24">
        <f>A120+0.01</f>
        <v>0.9300000000000006</v>
      </c>
      <c r="B121" s="20">
        <f>A121*$C$5</f>
        <v>697.50000000000045</v>
      </c>
      <c r="C121" s="20">
        <f>MIN(0.8*B121,$C$5)</f>
        <v>558.00000000000034</v>
      </c>
      <c r="D121" s="24">
        <f>ACOS(MAX(-1,($C$7-C121)/$C$7))</f>
        <v>2.0805932469519299</v>
      </c>
      <c r="E121" s="20">
        <f>$C$7^2*(D121-SIN(D121)*COS(D121))</f>
        <v>352482.31936577708</v>
      </c>
      <c r="F121" s="24">
        <f>E121/$C$9</f>
        <v>0.79785676059818</v>
      </c>
      <c r="G121" s="16">
        <f>IF(E121&gt;0,2*$C$7^3*SIN(D121)^3/(3*E121),0)</f>
        <v>66.324585558438656</v>
      </c>
      <c r="H121" s="24">
        <f>F121*G121/$C$5</f>
        <v>7.0556691975563593E-2</v>
      </c>
      <c r="I121" s="24" cm="1">
        <f t="array" ref="I121">_xlfn.LET(_xlpm.x,$B121,_xlpm.dep,$H$6:$H$29,_xlpm.e,IF(_xlpm.x&lt;=$C$5,$C$12*(_xlpm.x-_xlpm.dep)/_xlpm.x,$C$13*(_xlpm.x-_xlpm.dep)/(_xlpm.x-3*$C$5/7))/$C$14,_xlpm.s,(_xlpm.e&gt;=1)*1+(_xlpm.e&lt;=-1)*(-1)+(ABS(_xlpm.e)&lt;1)*_xlpm.e,AVERAGE(_xlpm.s))</f>
        <v>0.64964517903512209</v>
      </c>
      <c r="J121" s="24" cm="1">
        <f t="array" ref="J121">_xlfn.LET(_xlpm.x,$B121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8.9810683148454681E-2</v>
      </c>
      <c r="K121" s="24">
        <f>IFERROR(($C$15-F121)/I121,"")</f>
        <v>-1.0190863626147275</v>
      </c>
      <c r="L121" s="24" t="str">
        <f>IF(AND(ISNUMBER(K121),N(K121)&gt;0),H121+K121*J121,"")</f>
        <v/>
      </c>
      <c r="M121" s="24">
        <f>IF(ISNUMBER(L121),ABS(L121-$C$16),1000000000)</f>
        <v>1000000000</v>
      </c>
    </row>
    <row r="122" spans="1:13" x14ac:dyDescent="0.3">
      <c r="A122" s="24">
        <f>A121+0.01</f>
        <v>0.94000000000000061</v>
      </c>
      <c r="B122" s="20">
        <f>A122*$C$5</f>
        <v>705.00000000000045</v>
      </c>
      <c r="C122" s="20">
        <f>MIN(0.8*B122,$C$5)</f>
        <v>564.00000000000034</v>
      </c>
      <c r="D122" s="24">
        <f>ACOS(MAX(-1,($C$7-C122)/$C$7))</f>
        <v>2.0990200959485685</v>
      </c>
      <c r="E122" s="20">
        <f>$C$7^2*(D122-SIN(D122)*COS(D122))</f>
        <v>356389.69739070907</v>
      </c>
      <c r="F122" s="24">
        <f>E122/$C$9</f>
        <v>0.80670125520719793</v>
      </c>
      <c r="G122" s="16">
        <f>IF(E122&gt;0,2*$C$7^3*SIN(D122)^3/(3*E122),0)</f>
        <v>63.558212165781441</v>
      </c>
      <c r="H122" s="24">
        <f>F122*G122/$C$5</f>
        <v>6.8363319377148388E-2</v>
      </c>
      <c r="I122" s="24" cm="1">
        <f t="array" ref="I122">_xlfn.LET(_xlpm.x,$B122,_xlpm.dep,$H$6:$H$29,_xlpm.e,IF(_xlpm.x&lt;=$C$5,$C$12*(_xlpm.x-_xlpm.dep)/_xlpm.x,$C$13*(_xlpm.x-_xlpm.dep)/(_xlpm.x-3*$C$5/7))/$C$14,_xlpm.s,(_xlpm.e&gt;=1)*1+(_xlpm.e&lt;=-1)*(-1)+(ABS(_xlpm.e)&lt;1)*_xlpm.e,AVERAGE(_xlpm.s))</f>
        <v>0.65742820904538668</v>
      </c>
      <c r="J122" s="24" cm="1">
        <f t="array" ref="J122">_xlfn.LET(_xlpm.x,$B122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8.8140745492828979E-2</v>
      </c>
      <c r="K122" s="24">
        <f>IFERROR(($C$15-F122)/I122,"")</f>
        <v>-1.0204749779086493</v>
      </c>
      <c r="L122" s="24" t="str">
        <f>IF(AND(ISNUMBER(K122),N(K122)&gt;0),H122+K122*J122,"")</f>
        <v/>
      </c>
      <c r="M122" s="24">
        <f>IF(ISNUMBER(L122),ABS(L122-$C$16),1000000000)</f>
        <v>1000000000</v>
      </c>
    </row>
    <row r="123" spans="1:13" x14ac:dyDescent="0.3">
      <c r="A123" s="24">
        <f>A122+0.01</f>
        <v>0.95000000000000062</v>
      </c>
      <c r="B123" s="20">
        <f>A123*$C$5</f>
        <v>712.50000000000045</v>
      </c>
      <c r="C123" s="20">
        <f>MIN(0.8*B123,$C$5)</f>
        <v>570.00000000000034</v>
      </c>
      <c r="D123" s="24">
        <f>ACOS(MAX(-1,($C$7-C123)/$C$7))</f>
        <v>2.1176472774908417</v>
      </c>
      <c r="E123" s="20">
        <f>$C$7^2*(D123-SIN(D123)*COS(D123))</f>
        <v>360255.05617153284</v>
      </c>
      <c r="F123" s="24">
        <f>E123/$C$9</f>
        <v>0.81545063770379189</v>
      </c>
      <c r="G123" s="16">
        <f>IF(E123&gt;0,2*$C$7^3*SIN(D123)^3/(3*E123),0)</f>
        <v>60.81625836428573</v>
      </c>
      <c r="H123" s="24">
        <f>F123*G123/$C$5</f>
        <v>6.612354222122048E-2</v>
      </c>
      <c r="I123" s="24" cm="1">
        <f t="array" ref="I123">_xlfn.LET(_xlpm.x,$B123,_xlpm.dep,$H$6:$H$29,_xlpm.e,IF(_xlpm.x&lt;=$C$5,$C$12*(_xlpm.x-_xlpm.dep)/_xlpm.x,$C$13*(_xlpm.x-_xlpm.dep)/(_xlpm.x-3*$C$5/7))/$C$14,_xlpm.s,(_xlpm.e&gt;=1)*1+(_xlpm.e&lt;=-1)*(-1)+(ABS(_xlpm.e)&lt;1)*_xlpm.e,AVERAGE(_xlpm.s))</f>
        <v>0.6650473857922774</v>
      </c>
      <c r="J123" s="24" cm="1">
        <f t="array" ref="J123">_xlfn.LET(_xlpm.x,$B123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8.6505964419427012E-2</v>
      </c>
      <c r="K123" s="24">
        <f>IFERROR(($C$15-F123)/I123,"")</f>
        <v>-1.0219398408566751</v>
      </c>
      <c r="L123" s="24" t="str">
        <f>IF(AND(ISNUMBER(K123),N(K123)&gt;0),H123+K123*J123,"")</f>
        <v/>
      </c>
      <c r="M123" s="24">
        <f>IF(ISNUMBER(L123),ABS(L123-$C$16),1000000000)</f>
        <v>1000000000</v>
      </c>
    </row>
    <row r="124" spans="1:13" x14ac:dyDescent="0.3">
      <c r="A124" s="24">
        <f>A123+0.01</f>
        <v>0.96000000000000063</v>
      </c>
      <c r="B124" s="20">
        <f>A124*$C$5</f>
        <v>720.00000000000045</v>
      </c>
      <c r="C124" s="20">
        <f>MIN(0.8*B124,$C$5)</f>
        <v>576.00000000000034</v>
      </c>
      <c r="D124" s="24">
        <f>ACOS(MAX(-1,($C$7-C124)/$C$7))</f>
        <v>2.136488157312173</v>
      </c>
      <c r="E124" s="20">
        <f>$C$7^2*(D124-SIN(D124)*COS(D124))</f>
        <v>364076.57746473292</v>
      </c>
      <c r="F124" s="24">
        <f>E124/$C$9</f>
        <v>0.82410079242654721</v>
      </c>
      <c r="G124" s="16">
        <f>IF(E124&gt;0,2*$C$7^3*SIN(D124)^3/(3*E124),0)</f>
        <v>58.099661031449024</v>
      </c>
      <c r="H124" s="24">
        <f>F124*G124/$C$5</f>
        <v>6.3839968927641239E-2</v>
      </c>
      <c r="I124" s="24" cm="1">
        <f t="array" ref="I124">_xlfn.LET(_xlpm.x,$B124,_xlpm.dep,$H$6:$H$29,_xlpm.e,IF(_xlpm.x&lt;=$C$5,$C$12*(_xlpm.x-_xlpm.dep)/_xlpm.x,$C$13*(_xlpm.x-_xlpm.dep)/(_xlpm.x-3*$C$5/7))/$C$14,_xlpm.s,(_xlpm.e&gt;=1)*1+(_xlpm.e&lt;=-1)*(-1)+(ABS(_xlpm.e)&lt;1)*_xlpm.e,AVERAGE(_xlpm.s))</f>
        <v>0.67250782969027434</v>
      </c>
      <c r="J124" s="24" cm="1">
        <f t="array" ref="J124">_xlfn.LET(_xlpm.x,$B124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8.4905241285054278E-2</v>
      </c>
      <c r="K124" s="24">
        <f>IFERROR(($C$15-F124)/I124,"")</f>
        <v>-1.0234655180720449</v>
      </c>
      <c r="L124" s="24" t="str">
        <f>IF(AND(ISNUMBER(K124),N(K124)&gt;0),H124+K124*J124,"")</f>
        <v/>
      </c>
      <c r="M124" s="24">
        <f>IF(ISNUMBER(L124),ABS(L124-$C$16),1000000000)</f>
        <v>1000000000</v>
      </c>
    </row>
    <row r="125" spans="1:13" x14ac:dyDescent="0.3">
      <c r="A125" s="24">
        <f>A124+0.01</f>
        <v>0.97000000000000064</v>
      </c>
      <c r="B125" s="20">
        <f>A125*$C$5</f>
        <v>727.50000000000045</v>
      </c>
      <c r="C125" s="20">
        <f>MIN(0.8*B125,$C$5)</f>
        <v>582.00000000000034</v>
      </c>
      <c r="D125" s="24">
        <f>ACOS(MAX(-1,($C$7-C125)/$C$7))</f>
        <v>2.1555571956282797</v>
      </c>
      <c r="E125" s="20">
        <f>$C$7^2*(D125-SIN(D125)*COS(D125))</f>
        <v>367852.3796841384</v>
      </c>
      <c r="F125" s="24">
        <f>E125/$C$9</f>
        <v>0.83264746033560644</v>
      </c>
      <c r="G125" s="16">
        <f>IF(E125&gt;0,2*$C$7^3*SIN(D125)^3/(3*E125),0)</f>
        <v>55.409415716004041</v>
      </c>
      <c r="H125" s="24">
        <f>F125*G125/$C$5</f>
        <v>6.1515345699480806E-2</v>
      </c>
      <c r="I125" s="24" cm="1">
        <f t="array" ref="I125">_xlfn.LET(_xlpm.x,$B125,_xlpm.dep,$H$6:$H$29,_xlpm.e,IF(_xlpm.x&lt;=$C$5,$C$12*(_xlpm.x-_xlpm.dep)/_xlpm.x,$C$13*(_xlpm.x-_xlpm.dep)/(_xlpm.x-3*$C$5/7))/$C$14,_xlpm.s,(_xlpm.e&gt;=1)*1+(_xlpm.e&lt;=-1)*(-1)+(ABS(_xlpm.e)&lt;1)*_xlpm.e,AVERAGE(_xlpm.s))</f>
        <v>0.67981445000274598</v>
      </c>
      <c r="J125" s="24" cm="1">
        <f t="array" ref="J125">_xlfn.LET(_xlpm.x,$B125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8.3337522751390239E-2</v>
      </c>
      <c r="K125" s="24">
        <f>IFERROR(($C$15-F125)/I125,"")</f>
        <v>-1.025037408704254</v>
      </c>
      <c r="L125" s="24" t="str">
        <f>IF(AND(ISNUMBER(K125),N(K125)&gt;0),H125+K125*J125,"")</f>
        <v/>
      </c>
      <c r="M125" s="24">
        <f>IF(ISNUMBER(L125),ABS(L125-$C$16),1000000000)</f>
        <v>1000000000</v>
      </c>
    </row>
    <row r="126" spans="1:13" x14ac:dyDescent="0.3">
      <c r="A126" s="24">
        <f>A125+0.01</f>
        <v>0.98000000000000065</v>
      </c>
      <c r="B126" s="20">
        <f>A126*$C$5</f>
        <v>735.00000000000045</v>
      </c>
      <c r="C126" s="20">
        <f>MIN(0.8*B126,$C$5)</f>
        <v>588.00000000000034</v>
      </c>
      <c r="D126" s="24">
        <f>ACOS(MAX(-1,($C$7-C126)/$C$7))</f>
        <v>2.1748700891658901</v>
      </c>
      <c r="E126" s="20">
        <f>$C$7^2*(D126-SIN(D126)*COS(D126))</f>
        <v>371580.51200576825</v>
      </c>
      <c r="F126" s="24">
        <f>E126/$C$9</f>
        <v>0.84108622566876989</v>
      </c>
      <c r="G126" s="16">
        <f>IF(E126&gt;0,2*$C$7^3*SIN(D126)^3/(3*E126),0)</f>
        <v>52.74658207730301</v>
      </c>
      <c r="H126" s="24">
        <f>F126*G126/$C$5</f>
        <v>5.9152564848435701E-2</v>
      </c>
      <c r="I126" s="24" cm="1">
        <f t="array" ref="I126">_xlfn.LET(_xlpm.x,$B126,_xlpm.dep,$H$6:$H$29,_xlpm.e,IF(_xlpm.x&lt;=$C$5,$C$12*(_xlpm.x-_xlpm.dep)/_xlpm.x,$C$13*(_xlpm.x-_xlpm.dep)/(_xlpm.x-3*$C$5/7))/$C$14,_xlpm.s,(_xlpm.e&gt;=1)*1+(_xlpm.e&lt;=-1)*(-1)+(ABS(_xlpm.e)&lt;1)*_xlpm.e,AVERAGE(_xlpm.s))</f>
        <v>0.6869719556149626</v>
      </c>
      <c r="J126" s="24" cm="1">
        <f t="array" ref="J126">_xlfn.LET(_xlpm.x,$B126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8.1801798473515264E-2</v>
      </c>
      <c r="K126" s="24">
        <f>IFERROR(($C$15-F126)/I126,"")</f>
        <v>-1.026641628961898</v>
      </c>
      <c r="L126" s="24" t="str">
        <f>IF(AND(ISNUMBER(K126),N(K126)&gt;0),H126+K126*J126,"")</f>
        <v/>
      </c>
      <c r="M126" s="24">
        <f>IF(ISNUMBER(L126),ABS(L126-$C$16),1000000000)</f>
        <v>1000000000</v>
      </c>
    </row>
    <row r="127" spans="1:13" x14ac:dyDescent="0.3">
      <c r="A127" s="24">
        <f>A126+0.01</f>
        <v>0.99000000000000066</v>
      </c>
      <c r="B127" s="20">
        <f>A127*$C$5</f>
        <v>742.50000000000045</v>
      </c>
      <c r="C127" s="20">
        <f>MIN(0.8*B127,$C$5)</f>
        <v>594.00000000000034</v>
      </c>
      <c r="D127" s="24">
        <f>ACOS(MAX(-1,($C$7-C127)/$C$7))</f>
        <v>2.1944439370384528</v>
      </c>
      <c r="E127" s="20">
        <f>$C$7^2*(D127-SIN(D127)*COS(D127))</f>
        <v>375258.94774471683</v>
      </c>
      <c r="F127" s="24">
        <f>E127/$C$9</f>
        <v>0.84941250094983023</v>
      </c>
      <c r="G127" s="16">
        <f>IF(E127&gt;0,2*$C$7^3*SIN(D127)^3/(3*E127),0)</f>
        <v>50.112290022749718</v>
      </c>
      <c r="H127" s="24">
        <f>F127*G127/$C$5</f>
        <v>5.6754674128729421E-2</v>
      </c>
      <c r="I127" s="24" cm="1">
        <f t="array" ref="I127">_xlfn.LET(_xlpm.x,$B127,_xlpm.dep,$H$6:$H$29,_xlpm.e,IF(_xlpm.x&lt;=$C$5,$C$12*(_xlpm.x-_xlpm.dep)/_xlpm.x,$C$13*(_xlpm.x-_xlpm.dep)/(_xlpm.x-3*$C$5/7))/$C$14,_xlpm.s,(_xlpm.e&gt;=1)*1+(_xlpm.e&lt;=-1)*(-1)+(ABS(_xlpm.e)&lt;1)*_xlpm.e,AVERAGE(_xlpm.s))</f>
        <v>0.69398486515420554</v>
      </c>
      <c r="J127" s="24" cm="1">
        <f t="array" ref="J127">_xlfn.LET(_xlpm.x,$B127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8.0297098928526656E-2</v>
      </c>
      <c r="K127" s="24">
        <f>IFERROR(($C$15-F127)/I127,"")</f>
        <v>-1.0282649070252881</v>
      </c>
      <c r="L127" s="24" t="str">
        <f>IF(AND(ISNUMBER(K127),N(K127)&gt;0),H127+K127*J127,"")</f>
        <v/>
      </c>
      <c r="M127" s="24">
        <f>IF(ISNUMBER(L127),ABS(L127-$C$16),1000000000)</f>
        <v>1000000000</v>
      </c>
    </row>
    <row r="128" spans="1:13" x14ac:dyDescent="0.3">
      <c r="A128" s="24">
        <f>A127+0.01</f>
        <v>1.0000000000000007</v>
      </c>
      <c r="B128" s="20">
        <f>A128*$C$5</f>
        <v>750.00000000000045</v>
      </c>
      <c r="C128" s="20">
        <f>MIN(0.8*B128,$C$5)</f>
        <v>600.00000000000034</v>
      </c>
      <c r="D128" s="24">
        <f>ACOS(MAX(-1,($C$7-C128)/$C$7))</f>
        <v>2.2142974355881822</v>
      </c>
      <c r="E128" s="20">
        <f>$C$7^2*(D128-SIN(D128)*COS(D128))</f>
        <v>378885.57687958819</v>
      </c>
      <c r="F128" s="24">
        <f>E128/$C$9</f>
        <v>0.85762151006735354</v>
      </c>
      <c r="G128" s="16">
        <f>IF(E128&gt;0,2*$C$7^3*SIN(D128)^3/(3*E128),0)</f>
        <v>47.507746661257691</v>
      </c>
      <c r="H128" s="24">
        <f>F128*G128/$C$5</f>
        <v>5.4324887242033458E-2</v>
      </c>
      <c r="I128" s="24" cm="1">
        <f t="array" ref="I128">_xlfn.LET(_xlpm.x,$B128,_xlpm.dep,$H$6:$H$29,_xlpm.e,IF(_xlpm.x&lt;=$C$5,$C$12*(_xlpm.x-_xlpm.dep)/_xlpm.x,$C$13*(_xlpm.x-_xlpm.dep)/(_xlpm.x-3*$C$5/7))/$C$14,_xlpm.s,(_xlpm.e&gt;=1)*1+(_xlpm.e&lt;=-1)*(-1)+(ABS(_xlpm.e)&lt;1)*_xlpm.e,AVERAGE(_xlpm.s))</f>
        <v>0.70085751650266348</v>
      </c>
      <c r="J128" s="24" cm="1">
        <f t="array" ref="J128">_xlfn.LET(_xlpm.x,$B128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7.8822493374437808E-2</v>
      </c>
      <c r="K128" s="24">
        <f>IFERROR(($C$15-F128)/I128,"")</f>
        <v>-1.0298944863488904</v>
      </c>
      <c r="L128" s="24" t="str">
        <f>IF(AND(ISNUMBER(K128),N(K128)&gt;0),H128+K128*J128,"")</f>
        <v/>
      </c>
      <c r="M128" s="24">
        <f>IF(ISNUMBER(L128),ABS(L128-$C$16),1000000000)</f>
        <v>1000000000</v>
      </c>
    </row>
    <row r="129" spans="1:13" x14ac:dyDescent="0.3">
      <c r="A129" s="24">
        <f>A128+0.01</f>
        <v>1.0100000000000007</v>
      </c>
      <c r="B129" s="20">
        <f>A129*$C$5</f>
        <v>757.50000000000045</v>
      </c>
      <c r="C129" s="20">
        <f>MIN(0.8*B129,$C$5)</f>
        <v>606.00000000000034</v>
      </c>
      <c r="D129" s="24">
        <f>ACOS(MAX(-1,($C$7-C129)/$C$7))</f>
        <v>2.2344511086616814</v>
      </c>
      <c r="E129" s="20">
        <f>$C$7^2*(D129-SIN(D129)*COS(D129))</f>
        <v>382458.19757305447</v>
      </c>
      <c r="F129" s="24">
        <f>E129/$C$9</f>
        <v>0.86570826908114984</v>
      </c>
      <c r="G129" s="16">
        <f>IF(E129&gt;0,2*$C$7^3*SIN(D129)^3/(3*E129),0)</f>
        <v>44.934244216001169</v>
      </c>
      <c r="H129" s="24">
        <f>F129*G129/$C$5</f>
        <v>5.1866595710272058E-2</v>
      </c>
      <c r="I129" s="24" cm="1">
        <f t="array" ref="I129">_xlfn.LET(_xlpm.x,$B129,_xlpm.dep,$H$6:$H$29,_xlpm.e,IF(_xlpm.x&lt;=$C$5,$C$12*(_xlpm.x-_xlpm.dep)/_xlpm.x,$C$13*(_xlpm.x-_xlpm.dep)/(_xlpm.x-3*$C$5/7))/$C$14,_xlpm.s,(_xlpm.e&gt;=1)*1+(_xlpm.e&lt;=-1)*(-1)+(ABS(_xlpm.e)&lt;1)*_xlpm.e,AVERAGE(_xlpm.s))</f>
        <v>0.7051425223613399</v>
      </c>
      <c r="J129" s="24" cm="1">
        <f t="array" ref="J129">_xlfn.LET(_xlpm.x,$B129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7.7618318439569137E-2</v>
      </c>
      <c r="K129" s="24">
        <f>IFERROR(($C$15-F129)/I129,"")</f>
        <v>-1.0351042914442781</v>
      </c>
      <c r="L129" s="24" t="str">
        <f>IF(AND(ISNUMBER(K129),N(K129)&gt;0),H129+K129*J129,"")</f>
        <v/>
      </c>
      <c r="M129" s="24">
        <f>IF(ISNUMBER(L129),ABS(L129-$C$16),1000000000)</f>
        <v>1000000000</v>
      </c>
    </row>
    <row r="130" spans="1:13" x14ac:dyDescent="0.3">
      <c r="A130" s="24">
        <f>A129+0.01</f>
        <v>1.0200000000000007</v>
      </c>
      <c r="B130" s="20">
        <f>A130*$C$5</f>
        <v>765.00000000000057</v>
      </c>
      <c r="C130" s="20">
        <f>MIN(0.8*B130,$C$5)</f>
        <v>612.00000000000045</v>
      </c>
      <c r="D130" s="24">
        <f>ACOS(MAX(-1,($C$7-C130)/$C$7))</f>
        <v>2.2549275815611525</v>
      </c>
      <c r="E130" s="20">
        <f>$C$7^2*(D130-SIN(D130)*COS(D130))</f>
        <v>385974.50650295767</v>
      </c>
      <c r="F130" s="24">
        <f>E130/$C$9</f>
        <v>0.87366756433636439</v>
      </c>
      <c r="G130" s="16">
        <f>IF(E130&gt;0,2*$C$7^3*SIN(D130)^3/(3*E130),0)</f>
        <v>42.393169071703561</v>
      </c>
      <c r="H130" s="24">
        <f>F130*G130/$C$5</f>
        <v>4.938338235649993E-2</v>
      </c>
      <c r="I130" s="24" cm="1">
        <f t="array" ref="I130">_xlfn.LET(_xlpm.x,$B130,_xlpm.dep,$H$6:$H$29,_xlpm.e,IF(_xlpm.x&lt;=$C$5,$C$12*(_xlpm.x-_xlpm.dep)/_xlpm.x,$C$13*(_xlpm.x-_xlpm.dep)/(_xlpm.x-3*$C$5/7))/$C$14,_xlpm.s,(_xlpm.e&gt;=1)*1+(_xlpm.e&lt;=-1)*(-1)+(ABS(_xlpm.e)&lt;1)*_xlpm.e,AVERAGE(_xlpm.s))</f>
        <v>0.70928262464025449</v>
      </c>
      <c r="J130" s="24" cm="1">
        <f t="array" ref="J130">_xlfn.LET(_xlpm.x,$B130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7.6454864396217723E-2</v>
      </c>
      <c r="K130" s="24">
        <f>IFERROR(($C$15-F130)/I130,"")</f>
        <v>-1.0402839722818782</v>
      </c>
      <c r="L130" s="24" t="str">
        <f>IF(AND(ISNUMBER(K130),N(K130)&gt;0),H130+K130*J130,"")</f>
        <v/>
      </c>
      <c r="M130" s="24">
        <f>IF(ISNUMBER(L130),ABS(L130-$C$16),1000000000)</f>
        <v>1000000000</v>
      </c>
    </row>
    <row r="131" spans="1:13" x14ac:dyDescent="0.3">
      <c r="A131" s="24">
        <f>A130+0.01</f>
        <v>1.0300000000000007</v>
      </c>
      <c r="B131" s="20">
        <f>A131*$C$5</f>
        <v>772.50000000000057</v>
      </c>
      <c r="C131" s="20">
        <f>MIN(0.8*B131,$C$5)</f>
        <v>618.00000000000045</v>
      </c>
      <c r="D131" s="24">
        <f>ACOS(MAX(-1,($C$7-C131)/$C$7))</f>
        <v>2.2757519092748622</v>
      </c>
      <c r="E131" s="20">
        <f>$C$7^2*(D131-SIN(D131)*COS(D131))</f>
        <v>389432.08777469979</v>
      </c>
      <c r="F131" s="24">
        <f>E131/$C$9</f>
        <v>0.88149392736626264</v>
      </c>
      <c r="G131" s="16">
        <f>IF(E131&gt;0,2*$C$7^3*SIN(D131)^3/(3*E131),0)</f>
        <v>39.886012172498859</v>
      </c>
      <c r="H131" s="24">
        <f>F131*G131/$C$5</f>
        <v>4.6879036689219437E-2</v>
      </c>
      <c r="I131" s="24" cm="1">
        <f t="array" ref="I131">_xlfn.LET(_xlpm.x,$B131,_xlpm.dep,$H$6:$H$29,_xlpm.e,IF(_xlpm.x&lt;=$C$5,$C$12*(_xlpm.x-_xlpm.dep)/_xlpm.x,$C$13*(_xlpm.x-_xlpm.dep)/(_xlpm.x-3*$C$5/7))/$C$14,_xlpm.s,(_xlpm.e&gt;=1)*1+(_xlpm.e&lt;=-1)*(-1)+(ABS(_xlpm.e)&lt;1)*_xlpm.e,AVERAGE(_xlpm.s))</f>
        <v>0.71328505130894371</v>
      </c>
      <c r="J131" s="24" cm="1">
        <f t="array" ref="J131">_xlfn.LET(_xlpm.x,$B131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7.5330100036018172E-2</v>
      </c>
      <c r="K131" s="24">
        <f>IFERROR(($C$15-F131)/I131,"")</f>
        <v>-1.0454189498192681</v>
      </c>
      <c r="L131" s="24" t="str">
        <f>IF(AND(ISNUMBER(K131),N(K131)&gt;0),H131+K131*J131,"")</f>
        <v/>
      </c>
      <c r="M131" s="24">
        <f>IF(ISNUMBER(L131),ABS(L131-$C$16),1000000000)</f>
        <v>1000000000</v>
      </c>
    </row>
    <row r="132" spans="1:13" x14ac:dyDescent="0.3">
      <c r="A132" s="24">
        <f>A131+0.01</f>
        <v>1.0400000000000007</v>
      </c>
      <c r="B132" s="20">
        <f>A132*$C$5</f>
        <v>780.00000000000057</v>
      </c>
      <c r="C132" s="20">
        <f>MIN(0.8*B132,$C$5)</f>
        <v>624.00000000000045</v>
      </c>
      <c r="D132" s="24">
        <f>ACOS(MAX(-1,($C$7-C132)/$C$7))</f>
        <v>2.2969519727690786</v>
      </c>
      <c r="E132" s="20">
        <f>$C$7^2*(D132-SIN(D132)*COS(D132))</f>
        <v>392828.40012924606</v>
      </c>
      <c r="F132" s="24">
        <f>E132/$C$9</f>
        <v>0.88918160593707307</v>
      </c>
      <c r="G132" s="16">
        <f>IF(E132&gt;0,2*$C$7^3*SIN(D132)^3/(3*E132),0)</f>
        <v>37.414381038948392</v>
      </c>
      <c r="H132" s="24">
        <f>F132*G132/$C$5</f>
        <v>4.435757255647161E-2</v>
      </c>
      <c r="I132" s="24" cm="1">
        <f t="array" ref="I132">_xlfn.LET(_xlpm.x,$B132,_xlpm.dep,$H$6:$H$29,_xlpm.e,IF(_xlpm.x&lt;=$C$5,$C$12*(_xlpm.x-_xlpm.dep)/_xlpm.x,$C$13*(_xlpm.x-_xlpm.dep)/(_xlpm.x-3*$C$5/7))/$C$14,_xlpm.s,(_xlpm.e&gt;=1)*1+(_xlpm.e&lt;=-1)*(-1)+(ABS(_xlpm.e)&lt;1)*_xlpm.e,AVERAGE(_xlpm.s))</f>
        <v>0.71715655747912466</v>
      </c>
      <c r="J132" s="24" cm="1">
        <f t="array" ref="J132">_xlfn.LET(_xlpm.x,$B132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7.4242127033395222E-2</v>
      </c>
      <c r="K132" s="24">
        <f>IFERROR(($C$15-F132)/I132,"")</f>
        <v>-1.0504950139201905</v>
      </c>
      <c r="L132" s="24" t="str">
        <f>IF(AND(ISNUMBER(K132),N(K132)&gt;0),H132+K132*J132,"")</f>
        <v/>
      </c>
      <c r="M132" s="24">
        <f>IF(ISNUMBER(L132),ABS(L132-$C$16),1000000000)</f>
        <v>1000000000</v>
      </c>
    </row>
    <row r="133" spans="1:13" x14ac:dyDescent="0.3">
      <c r="A133" s="24">
        <f>A132+0.01</f>
        <v>1.0500000000000007</v>
      </c>
      <c r="B133" s="20">
        <f>A133*$C$5</f>
        <v>787.50000000000057</v>
      </c>
      <c r="C133" s="20">
        <f>MIN(0.8*B133,$C$5)</f>
        <v>630.00000000000045</v>
      </c>
      <c r="D133" s="24">
        <f>ACOS(MAX(-1,($C$7-C133)/$C$7))</f>
        <v>2.3185589614548188</v>
      </c>
      <c r="E133" s="20">
        <f>$C$7^2*(D133-SIN(D133)*COS(D133))</f>
        <v>396160.76208740828</v>
      </c>
      <c r="F133" s="24">
        <f>E133/$C$9</f>
        <v>0.89672453042152334</v>
      </c>
      <c r="G133" s="16">
        <f>IF(E133&gt;0,2*$C$7^3*SIN(D133)^3/(3*E133),0)</f>
        <v>34.980013741211586</v>
      </c>
      <c r="H133" s="24">
        <f>F133*G133/$C$5</f>
        <v>4.1823248528301854E-2</v>
      </c>
      <c r="I133" s="24" cm="1">
        <f t="array" ref="I133">_xlfn.LET(_xlpm.x,$B133,_xlpm.dep,$H$6:$H$29,_xlpm.e,IF(_xlpm.x&lt;=$C$5,$C$12*(_xlpm.x-_xlpm.dep)/_xlpm.x,$C$13*(_xlpm.x-_xlpm.dep)/(_xlpm.x-3*$C$5/7))/$C$14,_xlpm.s,(_xlpm.e&gt;=1)*1+(_xlpm.e&lt;=-1)*(-1)+(ABS(_xlpm.e)&lt;1)*_xlpm.e,AVERAGE(_xlpm.s))</f>
        <v>0.72090346345072476</v>
      </c>
      <c r="J133" s="24" cm="1">
        <f t="array" ref="J133">_xlfn.LET(_xlpm.x,$B133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7.3189169253845221E-2</v>
      </c>
      <c r="K133" s="24">
        <f>IFERROR(($C$15-F133)/I133,"")</f>
        <v>-1.0554982059237246</v>
      </c>
      <c r="L133" s="24" t="str">
        <f>IF(AND(ISNUMBER(K133),N(K133)&gt;0),H133+K133*J133,"")</f>
        <v/>
      </c>
      <c r="M133" s="24">
        <f>IF(ISNUMBER(L133),ABS(L133-$C$16),1000000000)</f>
        <v>1000000000</v>
      </c>
    </row>
    <row r="134" spans="1:13" x14ac:dyDescent="0.3">
      <c r="A134" s="24">
        <f>A133+0.01</f>
        <v>1.0600000000000007</v>
      </c>
      <c r="B134" s="20">
        <f>A134*$C$5</f>
        <v>795.00000000000057</v>
      </c>
      <c r="C134" s="20">
        <f>MIN(0.8*B134,$C$5)</f>
        <v>636.00000000000045</v>
      </c>
      <c r="D134" s="24">
        <f>ACOS(MAX(-1,($C$7-C134)/$C$7))</f>
        <v>2.3406079659242427</v>
      </c>
      <c r="E134" s="20">
        <f>$C$7^2*(D134-SIN(D134)*COS(D134))</f>
        <v>399426.33457379311</v>
      </c>
      <c r="F134" s="24">
        <f>E134/$C$9</f>
        <v>0.90411627446750431</v>
      </c>
      <c r="G134" s="16">
        <f>IF(E134&gt;0,2*$C$7^3*SIN(D134)^3/(3*E134),0)</f>
        <v>32.584795255458332</v>
      </c>
      <c r="H134" s="24">
        <f>F134*G134/$C$5</f>
        <v>3.9280591587535198E-2</v>
      </c>
      <c r="I134" s="24" cm="1">
        <f t="array" ref="I134">_xlfn.LET(_xlpm.x,$B134,_xlpm.dep,$H$6:$H$29,_xlpm.e,IF(_xlpm.x&lt;=$C$5,$C$12*(_xlpm.x-_xlpm.dep)/_xlpm.x,$C$13*(_xlpm.x-_xlpm.dep)/(_xlpm.x-3*$C$5/7))/$C$14,_xlpm.s,(_xlpm.e&gt;=1)*1+(_xlpm.e&lt;=-1)*(-1)+(ABS(_xlpm.e)&lt;1)*_xlpm.e,AVERAGE(_xlpm.s))</f>
        <v>0.72453168914268173</v>
      </c>
      <c r="J134" s="24" cm="1">
        <f t="array" ref="J134">_xlfn.LET(_xlpm.x,$B134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7.2169563078172336E-2</v>
      </c>
      <c r="K134" s="24">
        <f>IFERROR(($C$15-F134)/I134,"")</f>
        <v>-1.0604147035604932</v>
      </c>
      <c r="L134" s="24" t="str">
        <f>IF(AND(ISNUMBER(K134),N(K134)&gt;0),H134+K134*J134,"")</f>
        <v/>
      </c>
      <c r="M134" s="24">
        <f>IF(ISNUMBER(L134),ABS(L134-$C$16),1000000000)</f>
        <v>1000000000</v>
      </c>
    </row>
    <row r="135" spans="1:13" x14ac:dyDescent="0.3">
      <c r="A135" s="24">
        <f>A134+0.01</f>
        <v>1.0700000000000007</v>
      </c>
      <c r="B135" s="20">
        <f>A135*$C$5</f>
        <v>802.50000000000057</v>
      </c>
      <c r="C135" s="20">
        <f>MIN(0.8*B135,$C$5)</f>
        <v>642.00000000000045</v>
      </c>
      <c r="D135" s="24">
        <f>ACOS(MAX(-1,($C$7-C135)/$C$7))</f>
        <v>2.3631387134341768</v>
      </c>
      <c r="E135" s="20">
        <f>$C$7^2*(D135-SIN(D135)*COS(D135))</f>
        <v>402622.10043368448</v>
      </c>
      <c r="F135" s="24">
        <f>E135/$C$9</f>
        <v>0.91135000863377669</v>
      </c>
      <c r="G135" s="16">
        <f>IF(E135&gt;0,2*$C$7^3*SIN(D135)^3/(3*E135),0)</f>
        <v>30.230776750756785</v>
      </c>
      <c r="H135" s="24">
        <f>F135*G135/$C$5</f>
        <v>3.6734424870410627E-2</v>
      </c>
      <c r="I135" s="24" cm="1">
        <f t="array" ref="I135">_xlfn.LET(_xlpm.x,$B135,_xlpm.dep,$H$6:$H$29,_xlpm.e,IF(_xlpm.x&lt;=$C$5,$C$12*(_xlpm.x-_xlpm.dep)/_xlpm.x,$C$13*(_xlpm.x-_xlpm.dep)/(_xlpm.x-3*$C$5/7))/$C$14,_xlpm.s,(_xlpm.e&gt;=1)*1+(_xlpm.e&lt;=-1)*(-1)+(ABS(_xlpm.e)&lt;1)*_xlpm.e,AVERAGE(_xlpm.s))</f>
        <v>0.7280467853030409</v>
      </c>
      <c r="J135" s="24" cm="1">
        <f t="array" ref="J135">_xlfn.LET(_xlpm.x,$B135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7.1181748631807762E-2</v>
      </c>
      <c r="K135" s="24">
        <f>IFERROR(($C$15-F135)/I135,"")</f>
        <v>-1.0652307052023919</v>
      </c>
      <c r="L135" s="24" t="str">
        <f>IF(AND(ISNUMBER(K135),N(K135)&gt;0),H135+K135*J135,"")</f>
        <v/>
      </c>
      <c r="M135" s="24">
        <f>IF(ISNUMBER(L135),ABS(L135-$C$16),1000000000)</f>
        <v>1000000000</v>
      </c>
    </row>
    <row r="136" spans="1:13" x14ac:dyDescent="0.3">
      <c r="A136" s="24">
        <f>A135+0.01</f>
        <v>1.0800000000000007</v>
      </c>
      <c r="B136" s="20">
        <f>A136*$C$5</f>
        <v>810.00000000000057</v>
      </c>
      <c r="C136" s="20">
        <f>MIN(0.8*B136,$C$5)</f>
        <v>648.00000000000045</v>
      </c>
      <c r="D136" s="24">
        <f>ACOS(MAX(-1,($C$7-C136)/$C$7))</f>
        <v>2.3861964905524324</v>
      </c>
      <c r="E136" s="20">
        <f>$C$7^2*(D136-SIN(D136)*COS(D136))</f>
        <v>405744.84007965488</v>
      </c>
      <c r="F136" s="24">
        <f>E136/$C$9</f>
        <v>0.91841844526517546</v>
      </c>
      <c r="G136" s="16">
        <f>IF(E136&gt;0,2*$C$7^3*SIN(D136)^3/(3*E136),0)</f>
        <v>27.920198516109757</v>
      </c>
      <c r="H136" s="24">
        <f>F136*G136/$C$5</f>
        <v>3.4189900416880775E-2</v>
      </c>
      <c r="I136" s="24" cm="1">
        <f t="array" ref="I136">_xlfn.LET(_xlpm.x,$B136,_xlpm.dep,$H$6:$H$29,_xlpm.e,IF(_xlpm.x&lt;=$C$5,$C$12*(_xlpm.x-_xlpm.dep)/_xlpm.x,$C$13*(_xlpm.x-_xlpm.dep)/(_xlpm.x-3*$C$5/7))/$C$14,_xlpm.s,(_xlpm.e&gt;=1)*1+(_xlpm.e&lt;=-1)*(-1)+(ABS(_xlpm.e)&lt;1)*_xlpm.e,AVERAGE(_xlpm.s))</f>
        <v>0.73145396184444156</v>
      </c>
      <c r="J136" s="24" cm="1">
        <f t="array" ref="J136">_xlfn.LET(_xlpm.x,$B136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7.0224261821954362E-2</v>
      </c>
      <c r="K136" s="24">
        <f>IFERROR(($C$15-F136)/I136,"")</f>
        <v>-1.0699323101438454</v>
      </c>
      <c r="L136" s="24" t="str">
        <f>IF(AND(ISNUMBER(K136),N(K136)&gt;0),H136+K136*J136,"")</f>
        <v/>
      </c>
      <c r="M136" s="24">
        <f>IF(ISNUMBER(L136),ABS(L136-$C$16),1000000000)</f>
        <v>1000000000</v>
      </c>
    </row>
    <row r="137" spans="1:13" x14ac:dyDescent="0.3">
      <c r="A137" s="24">
        <f>A136+0.01</f>
        <v>1.0900000000000007</v>
      </c>
      <c r="B137" s="20">
        <f>A137*$C$5</f>
        <v>817.50000000000057</v>
      </c>
      <c r="C137" s="20">
        <f>MIN(0.8*B137,$C$5)</f>
        <v>654.00000000000045</v>
      </c>
      <c r="D137" s="24">
        <f>ACOS(MAX(-1,($C$7-C137)/$C$7))</f>
        <v>2.4098333146881608</v>
      </c>
      <c r="E137" s="20">
        <f>$C$7^2*(D137-SIN(D137)*COS(D137))</f>
        <v>408791.10226168763</v>
      </c>
      <c r="F137" s="24">
        <f>E137/$C$9</f>
        <v>0.92531377232970047</v>
      </c>
      <c r="G137" s="16">
        <f>IF(E137&gt;0,2*$C$7^3*SIN(D137)^3/(3*E137),0)</f>
        <v>25.655517460292611</v>
      </c>
      <c r="H137" s="24">
        <f>F137*G137/$C$5</f>
        <v>3.16525381896718E-2</v>
      </c>
      <c r="I137" s="24" cm="1">
        <f t="array" ref="I137">_xlfn.LET(_xlpm.x,$B137,_xlpm.dep,$H$6:$H$29,_xlpm.e,IF(_xlpm.x&lt;=$C$5,$C$12*(_xlpm.x-_xlpm.dep)/_xlpm.x,$C$13*(_xlpm.x-_xlpm.dep)/(_xlpm.x-3*$C$5/7))/$C$14,_xlpm.s,(_xlpm.e&gt;=1)*1+(_xlpm.e&lt;=-1)*(-1)+(ABS(_xlpm.e)&lt;1)*_xlpm.e,AVERAGE(_xlpm.s))</f>
        <v>0.73475811360921239</v>
      </c>
      <c r="J137" s="24" cm="1">
        <f t="array" ref="J137">_xlfn.LET(_xlpm.x,$B137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6.9295727097064136E-2</v>
      </c>
      <c r="K137" s="24">
        <f>IFERROR(($C$15-F137)/I137,"")</f>
        <v>-1.074505391095987</v>
      </c>
      <c r="L137" s="24" t="str">
        <f>IF(AND(ISNUMBER(K137),N(K137)&gt;0),H137+K137*J137,"")</f>
        <v/>
      </c>
      <c r="M137" s="24">
        <f>IF(ISNUMBER(L137),ABS(L137-$C$16),1000000000)</f>
        <v>1000000000</v>
      </c>
    </row>
    <row r="138" spans="1:13" x14ac:dyDescent="0.3">
      <c r="A138" s="24">
        <f>A137+0.01</f>
        <v>1.1000000000000008</v>
      </c>
      <c r="B138" s="20">
        <f>A138*$C$5</f>
        <v>825.00000000000057</v>
      </c>
      <c r="C138" s="20">
        <f>MIN(0.8*B138,$C$5)</f>
        <v>660.00000000000045</v>
      </c>
      <c r="D138" s="24">
        <f>ACOS(MAX(-1,($C$7-C138)/$C$7))</f>
        <v>2.4341094418104521</v>
      </c>
      <c r="E138" s="20">
        <f>$C$7^2*(D138-SIN(D138)*COS(D138))</f>
        <v>411757.16861423221</v>
      </c>
      <c r="F138" s="24">
        <f>E138/$C$9</f>
        <v>0.93202757316946616</v>
      </c>
      <c r="G138" s="16">
        <f>IF(E138&gt;0,2*$C$7^3*SIN(D138)^3/(3*E138),0)</f>
        <v>23.439440428418237</v>
      </c>
      <c r="H138" s="24">
        <f>F138*G138/$C$5</f>
        <v>2.9128273038598565E-2</v>
      </c>
      <c r="I138" s="24" cm="1">
        <f t="array" ref="I138">_xlfn.LET(_xlpm.x,$B138,_xlpm.dep,$H$6:$H$29,_xlpm.e,IF(_xlpm.x&lt;=$C$5,$C$12*(_xlpm.x-_xlpm.dep)/_xlpm.x,$C$13*(_xlpm.x-_xlpm.dep)/(_xlpm.x-3*$C$5/7))/$C$14,_xlpm.s,(_xlpm.e&gt;=1)*1+(_xlpm.e&lt;=-1)*(-1)+(ABS(_xlpm.e)&lt;1)*_xlpm.e,AVERAGE(_xlpm.s))</f>
        <v>0.73796384383205405</v>
      </c>
      <c r="J138" s="24" cm="1">
        <f t="array" ref="J138">_xlfn.LET(_xlpm.x,$B138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6.8394850853340863E-2</v>
      </c>
      <c r="K138" s="24">
        <f>IFERROR(($C$15-F138)/I138,"")</f>
        <v>-1.0789354542491447</v>
      </c>
      <c r="L138" s="24" t="str">
        <f>IF(AND(ISNUMBER(K138),N(K138)&gt;0),H138+K138*J138,"")</f>
        <v/>
      </c>
      <c r="M138" s="24">
        <f>IF(ISNUMBER(L138),ABS(L138-$C$16),1000000000)</f>
        <v>1000000000</v>
      </c>
    </row>
    <row r="139" spans="1:13" x14ac:dyDescent="0.3">
      <c r="A139" s="24">
        <f>A138+0.01</f>
        <v>1.1100000000000008</v>
      </c>
      <c r="B139" s="20">
        <f>A139*$C$5</f>
        <v>832.50000000000057</v>
      </c>
      <c r="C139" s="20">
        <f>MIN(0.8*B139,$C$5)</f>
        <v>666.00000000000045</v>
      </c>
      <c r="D139" s="24">
        <f>ACOS(MAX(-1,($C$7-C139)/$C$7))</f>
        <v>2.459095336313823</v>
      </c>
      <c r="E139" s="20">
        <f>$C$7^2*(D139-SIN(D139)*COS(D139))</f>
        <v>414639.01014787046</v>
      </c>
      <c r="F139" s="24">
        <f>E139/$C$9</f>
        <v>0.9385507280179789</v>
      </c>
      <c r="G139" s="16">
        <f>IF(E139&gt;0,2*$C$7^3*SIN(D139)^3/(3*E139),0)</f>
        <v>21.274965021884963</v>
      </c>
      <c r="H139" s="24">
        <f>F139*G139/$C$5</f>
        <v>2.6623511879796224E-2</v>
      </c>
      <c r="I139" s="24" cm="1">
        <f t="array" ref="I139">_xlfn.LET(_xlpm.x,$B139,_xlpm.dep,$H$6:$H$29,_xlpm.e,IF(_xlpm.x&lt;=$C$5,$C$12*(_xlpm.x-_xlpm.dep)/_xlpm.x,$C$13*(_xlpm.x-_xlpm.dep)/(_xlpm.x-3*$C$5/7))/$C$14,_xlpm.s,(_xlpm.e&gt;=1)*1+(_xlpm.e&lt;=-1)*(-1)+(ABS(_xlpm.e)&lt;1)*_xlpm.e,AVERAGE(_xlpm.s))</f>
        <v>0.74107548553682479</v>
      </c>
      <c r="J139" s="24" cm="1">
        <f t="array" ref="J139">_xlfn.LET(_xlpm.x,$B139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6.7520415421802343E-2</v>
      </c>
      <c r="K139" s="24">
        <f>IFERROR(($C$15-F139)/I139,"")</f>
        <v>-1.0832074809914973</v>
      </c>
      <c r="L139" s="24" t="str">
        <f>IF(AND(ISNUMBER(K139),N(K139)&gt;0),H139+K139*J139,"")</f>
        <v/>
      </c>
      <c r="M139" s="24">
        <f>IF(ISNUMBER(L139),ABS(L139-$C$16),1000000000)</f>
        <v>1000000000</v>
      </c>
    </row>
    <row r="140" spans="1:13" x14ac:dyDescent="0.3">
      <c r="A140" s="24">
        <f>A139+0.01</f>
        <v>1.1200000000000008</v>
      </c>
      <c r="B140" s="20">
        <f>A140*$C$5</f>
        <v>840.00000000000057</v>
      </c>
      <c r="C140" s="20">
        <f>MIN(0.8*B140,$C$5)</f>
        <v>672.00000000000045</v>
      </c>
      <c r="D140" s="24">
        <f>ACOS(MAX(-1,($C$7-C140)/$C$7))</f>
        <v>2.4848742888410911</v>
      </c>
      <c r="E140" s="20">
        <f>$C$7^2*(D140-SIN(D140)*COS(D140))</f>
        <v>417432.23314527824</v>
      </c>
      <c r="F140" s="24">
        <f>E140/$C$9</f>
        <v>0.94487329153364696</v>
      </c>
      <c r="G140" s="16">
        <f>IF(E140&gt;0,2*$C$7^3*SIN(D140)^3/(3*E140),0)</f>
        <v>19.165430251407816</v>
      </c>
      <c r="H140" s="24">
        <f>F140*G140/$C$5</f>
        <v>2.4145204220408313E-2</v>
      </c>
      <c r="I140" s="24" cm="1">
        <f t="array" ref="I140">_xlfn.LET(_xlpm.x,$B140,_xlpm.dep,$H$6:$H$29,_xlpm.e,IF(_xlpm.x&lt;=$C$5,$C$12*(_xlpm.x-_xlpm.dep)/_xlpm.x,$C$13*(_xlpm.x-_xlpm.dep)/(_xlpm.x-3*$C$5/7))/$C$14,_xlpm.s,(_xlpm.e&gt;=1)*1+(_xlpm.e&lt;=-1)*(-1)+(ABS(_xlpm.e)&lt;1)*_xlpm.e,AVERAGE(_xlpm.s))</f>
        <v>0.74409712107658132</v>
      </c>
      <c r="J140" s="24" cm="1">
        <f t="array" ref="J140">_xlfn.LET(_xlpm.x,$B140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6.6671273577126489E-2</v>
      </c>
      <c r="K140" s="24">
        <f>IFERROR(($C$15-F140)/I140,"")</f>
        <v>-1.087305743446487</v>
      </c>
      <c r="L140" s="24" t="str">
        <f>IF(AND(ISNUMBER(K140),N(K140)&gt;0),H140+K140*J140,"")</f>
        <v/>
      </c>
      <c r="M140" s="24">
        <f>IF(ISNUMBER(L140),ABS(L140-$C$16),1000000000)</f>
        <v>1000000000</v>
      </c>
    </row>
    <row r="141" spans="1:13" x14ac:dyDescent="0.3">
      <c r="A141" s="24">
        <f>A140+0.01</f>
        <v>1.1300000000000008</v>
      </c>
      <c r="B141" s="20">
        <f>A141*$C$5</f>
        <v>847.50000000000057</v>
      </c>
      <c r="C141" s="20">
        <f>MIN(0.8*B141,$C$5)</f>
        <v>678.00000000000045</v>
      </c>
      <c r="D141" s="24">
        <f>ACOS(MAX(-1,($C$7-C141)/$C$7))</f>
        <v>2.5115459631439547</v>
      </c>
      <c r="E141" s="20">
        <f>$C$7^2*(D141-SIN(D141)*COS(D141))</f>
        <v>420132.01086442039</v>
      </c>
      <c r="F141" s="24">
        <f>E141/$C$9</f>
        <v>0.95098433820743655</v>
      </c>
      <c r="G141" s="16">
        <f>IF(E141&gt;0,2*$C$7^3*SIN(D141)^3/(3*E141),0)</f>
        <v>17.114580309205646</v>
      </c>
      <c r="H141" s="24">
        <f>F141*G141/$C$5</f>
        <v>2.1700930438730608E-2</v>
      </c>
      <c r="I141" s="24" cm="1">
        <f t="array" ref="I141">_xlfn.LET(_xlpm.x,$B141,_xlpm.dep,$H$6:$H$29,_xlpm.e,IF(_xlpm.x&lt;=$C$5,$C$12*(_xlpm.x-_xlpm.dep)/_xlpm.x,$C$13*(_xlpm.x-_xlpm.dep)/(_xlpm.x-3*$C$5/7))/$C$14,_xlpm.s,(_xlpm.e&gt;=1)*1+(_xlpm.e&lt;=-1)*(-1)+(ABS(_xlpm.e)&lt;1)*_xlpm.e,AVERAGE(_xlpm.s))</f>
        <v>0.74703260000216976</v>
      </c>
      <c r="J141" s="24" cm="1">
        <f t="array" ref="J141">_xlfn.LET(_xlpm.x,$B141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6.5846343516209244E-2</v>
      </c>
      <c r="K141" s="24">
        <f>IFERROR(($C$15-F141)/I141,"")</f>
        <v>-1.0912135830484304</v>
      </c>
      <c r="L141" s="24" t="str">
        <f>IF(AND(ISNUMBER(K141),N(K141)&gt;0),H141+K141*J141,"")</f>
        <v/>
      </c>
      <c r="M141" s="24">
        <f>IF(ISNUMBER(L141),ABS(L141-$C$16),1000000000)</f>
        <v>1000000000</v>
      </c>
    </row>
    <row r="142" spans="1:13" x14ac:dyDescent="0.3">
      <c r="A142" s="24">
        <f>A141+0.01</f>
        <v>1.1400000000000008</v>
      </c>
      <c r="B142" s="20">
        <f>A142*$C$5</f>
        <v>855.00000000000057</v>
      </c>
      <c r="C142" s="20">
        <f>MIN(0.8*B142,$C$5)</f>
        <v>684.00000000000045</v>
      </c>
      <c r="D142" s="24">
        <f>ACOS(MAX(-1,($C$7-C142)/$C$7))</f>
        <v>2.5392313095546122</v>
      </c>
      <c r="E142" s="20">
        <f>$C$7^2*(D142-SIN(D142)*COS(D142))</f>
        <v>422732.99583140964</v>
      </c>
      <c r="F142" s="24">
        <f>E142/$C$9</f>
        <v>0.95687176383451644</v>
      </c>
      <c r="G142" s="16">
        <f>IF(E142&gt;0,2*$C$7^3*SIN(D142)^3/(3*E142),0)</f>
        <v>15.126646207595579</v>
      </c>
      <c r="H142" s="24">
        <f>F142*G142/$C$5</f>
        <v>1.9299014183416906E-2</v>
      </c>
      <c r="I142" s="24" cm="1">
        <f t="array" ref="I142">_xlfn.LET(_xlpm.x,$B142,_xlpm.dep,$H$6:$H$29,_xlpm.e,IF(_xlpm.x&lt;=$C$5,$C$12*(_xlpm.x-_xlpm.dep)/_xlpm.x,$C$13*(_xlpm.x-_xlpm.dep)/(_xlpm.x-3*$C$5/7))/$C$14,_xlpm.s,(_xlpm.e&gt;=1)*1+(_xlpm.e&lt;=-1)*(-1)+(ABS(_xlpm.e)&lt;1)*_xlpm.e,AVERAGE(_xlpm.s))</f>
        <v>0.74988555542382596</v>
      </c>
      <c r="J142" s="24" cm="1">
        <f t="array" ref="J142">_xlfn.LET(_xlpm.x,$B142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6.5044604260217354E-2</v>
      </c>
      <c r="K142" s="24">
        <f>IFERROR(($C$15-F142)/I142,"")</f>
        <v>-1.0949131367990943</v>
      </c>
      <c r="L142" s="24" t="str">
        <f>IF(AND(ISNUMBER(K142),N(K142)&gt;0),H142+K142*J142,"")</f>
        <v/>
      </c>
      <c r="M142" s="24">
        <f>IF(ISNUMBER(L142),ABS(L142-$C$16),1000000000)</f>
        <v>1000000000</v>
      </c>
    </row>
    <row r="143" spans="1:13" x14ac:dyDescent="0.3">
      <c r="A143" s="24">
        <f>A142+0.01</f>
        <v>1.1500000000000008</v>
      </c>
      <c r="B143" s="20">
        <f>A143*$C$5</f>
        <v>862.50000000000057</v>
      </c>
      <c r="C143" s="20">
        <f>MIN(0.8*B143,$C$5)</f>
        <v>690.00000000000045</v>
      </c>
      <c r="D143" s="24">
        <f>ACOS(MAX(-1,($C$7-C143)/$C$7))</f>
        <v>2.5680795491666988</v>
      </c>
      <c r="E143" s="20">
        <f>$C$7^2*(D143-SIN(D143)*COS(D143))</f>
        <v>425229.20494210068</v>
      </c>
      <c r="F143" s="24">
        <f>E143/$C$9</f>
        <v>0.96252202543746757</v>
      </c>
      <c r="G143" s="16">
        <f>IF(E143&gt;0,2*$C$7^3*SIN(D143)^3/(3*E143),0)</f>
        <v>13.206452333847359</v>
      </c>
      <c r="H143" s="24">
        <f>F143*G143/$C$5</f>
        <v>1.6948668332290841E-2</v>
      </c>
      <c r="I143" s="24" cm="1">
        <f t="array" ref="I143">_xlfn.LET(_xlpm.x,$B143,_xlpm.dep,$H$6:$H$29,_xlpm.e,IF(_xlpm.x&lt;=$C$5,$C$12*(_xlpm.x-_xlpm.dep)/_xlpm.x,$C$13*(_xlpm.x-_xlpm.dep)/(_xlpm.x-3*$C$5/7))/$C$14,_xlpm.s,(_xlpm.e&gt;=1)*1+(_xlpm.e&lt;=-1)*(-1)+(ABS(_xlpm.e)&lt;1)*_xlpm.e,AVERAGE(_xlpm.s))</f>
        <v>0.75265941901201072</v>
      </c>
      <c r="J143" s="24" cm="1">
        <f t="array" ref="J143">_xlfn.LET(_xlpm.x,$B143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6.4265091439045033E-2</v>
      </c>
      <c r="K143" s="24">
        <f>IFERROR(($C$15-F143)/I143,"")</f>
        <v>-1.0983849885484409</v>
      </c>
      <c r="L143" s="24" t="str">
        <f>IF(AND(ISNUMBER(K143),N(K143)&gt;0),H143+K143*J143,"")</f>
        <v/>
      </c>
      <c r="M143" s="24">
        <f>IF(ISNUMBER(L143),ABS(L143-$C$16),1000000000)</f>
        <v>1000000000</v>
      </c>
    </row>
    <row r="144" spans="1:13" x14ac:dyDescent="0.3">
      <c r="A144" s="24">
        <f>A143+0.01</f>
        <v>1.1600000000000008</v>
      </c>
      <c r="B144" s="20">
        <f>A144*$C$5</f>
        <v>870.00000000000057</v>
      </c>
      <c r="C144" s="20">
        <f>MIN(0.8*B144,$C$5)</f>
        <v>696.00000000000045</v>
      </c>
      <c r="D144" s="24">
        <f>ACOS(MAX(-1,($C$7-C144)/$C$7))</f>
        <v>2.5982784062346473</v>
      </c>
      <c r="E144" s="20">
        <f>$C$7^2*(D144-SIN(D144)*COS(D144))</f>
        <v>427613.86538799346</v>
      </c>
      <c r="F144" s="24">
        <f>E144/$C$9</f>
        <v>0.96791979251387017</v>
      </c>
      <c r="G144" s="16">
        <f>IF(E144&gt;0,2*$C$7^3*SIN(D144)^3/(3*E144),0)</f>
        <v>11.359558732420309</v>
      </c>
      <c r="H144" s="24">
        <f>F144*G144/$C$5</f>
        <v>1.4660188975111182E-2</v>
      </c>
      <c r="I144" s="24" cm="1">
        <f t="array" ref="I144">_xlfn.LET(_xlpm.x,$B144,_xlpm.dep,$H$6:$H$29,_xlpm.e,IF(_xlpm.x&lt;=$C$5,$C$12*(_xlpm.x-_xlpm.dep)/_xlpm.x,$C$13*(_xlpm.x-_xlpm.dep)/(_xlpm.x-3*$C$5/7))/$C$14,_xlpm.s,(_xlpm.e&gt;=1)*1+(_xlpm.e&lt;=-1)*(-1)+(ABS(_xlpm.e)&lt;1)*_xlpm.e,AVERAGE(_xlpm.s))</f>
        <v>0.75535743476770545</v>
      </c>
      <c r="J144" s="24" cm="1">
        <f t="array" ref="J144">_xlfn.LET(_xlpm.x,$B144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6.3506893421576671E-2</v>
      </c>
      <c r="K144" s="24">
        <f>IFERROR(($C$15-F144)/I144,"")</f>
        <v>-1.1016077106127691</v>
      </c>
      <c r="L144" s="24" t="str">
        <f>IF(AND(ISNUMBER(K144),N(K144)&gt;0),H144+K144*J144,"")</f>
        <v/>
      </c>
      <c r="M144" s="24">
        <f>IF(ISNUMBER(L144),ABS(L144-$C$16),1000000000)</f>
        <v>1000000000</v>
      </c>
    </row>
    <row r="145" spans="1:13" x14ac:dyDescent="0.3">
      <c r="A145" s="24">
        <f>A144+0.01</f>
        <v>1.1700000000000008</v>
      </c>
      <c r="B145" s="20">
        <f>A145*$C$5</f>
        <v>877.50000000000057</v>
      </c>
      <c r="C145" s="20">
        <f>MIN(0.8*B145,$C$5)</f>
        <v>702.00000000000045</v>
      </c>
      <c r="D145" s="24">
        <f>ACOS(MAX(-1,($C$7-C145)/$C$7))</f>
        <v>2.6300696498957183</v>
      </c>
      <c r="E145" s="20">
        <f>$C$7^2*(D145-SIN(D145)*COS(D145))</f>
        <v>429879.20223059942</v>
      </c>
      <c r="F145" s="24">
        <f>E145/$C$9</f>
        <v>0.97304746620302829</v>
      </c>
      <c r="G145" s="16">
        <f>IF(E145&gt;0,2*$C$7^3*SIN(D145)^3/(3*E145),0)</f>
        <v>9.5924563349972622</v>
      </c>
      <c r="H145" s="24">
        <f>F145*G145/$C$5</f>
        <v>1.2445220441909698E-2</v>
      </c>
      <c r="I145" s="24" cm="1">
        <f t="array" ref="I145">_xlfn.LET(_xlpm.x,$B145,_xlpm.dep,$H$6:$H$29,_xlpm.e,IF(_xlpm.x&lt;=$C$5,$C$12*(_xlpm.x-_xlpm.dep)/_xlpm.x,$C$13*(_xlpm.x-_xlpm.dep)/(_xlpm.x-3*$C$5/7))/$C$14,_xlpm.s,(_xlpm.e&gt;=1)*1+(_xlpm.e&lt;=-1)*(-1)+(ABS(_xlpm.e)&lt;1)*_xlpm.e,AVERAGE(_xlpm.s))</f>
        <v>0.75798267167835309</v>
      </c>
      <c r="J145" s="24" cm="1">
        <f t="array" ref="J145">_xlfn.LET(_xlpm.x,$B145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6.2769147759107441E-2</v>
      </c>
      <c r="K145" s="24">
        <f>IFERROR(($C$15-F145)/I145,"")</f>
        <v>-1.1045572403972075</v>
      </c>
      <c r="L145" s="24" t="str">
        <f>IF(AND(ISNUMBER(K145),N(K145)&gt;0),H145+K145*J145,"")</f>
        <v/>
      </c>
      <c r="M145" s="24">
        <f>IF(ISNUMBER(L145),ABS(L145-$C$16),1000000000)</f>
        <v>1000000000</v>
      </c>
    </row>
    <row r="146" spans="1:13" x14ac:dyDescent="0.3">
      <c r="A146" s="24">
        <f>A145+0.01</f>
        <v>1.1800000000000008</v>
      </c>
      <c r="B146" s="20">
        <f>A146*$C$5</f>
        <v>885.00000000000057</v>
      </c>
      <c r="C146" s="20">
        <f>MIN(0.8*B146,$C$5)</f>
        <v>708.00000000000045</v>
      </c>
      <c r="D146" s="24">
        <f>ACOS(MAX(-1,($C$7-C146)/$C$7))</f>
        <v>2.6637737563375916</v>
      </c>
      <c r="E146" s="20">
        <f>$C$7^2*(D146-SIN(D146)*COS(D146))</f>
        <v>432016.13550632045</v>
      </c>
      <c r="F146" s="24">
        <f>E146/$C$9</f>
        <v>0.97788449367166552</v>
      </c>
      <c r="G146" s="16">
        <f>IF(E146&gt;0,2*$C$7^3*SIN(D146)^3/(3*E146),0)</f>
        <v>7.9128438463401647</v>
      </c>
      <c r="H146" s="24">
        <f>F146*G146/$C$5</f>
        <v>1.031712973090841E-2</v>
      </c>
      <c r="I146" s="24" cm="1">
        <f t="array" ref="I146">_xlfn.LET(_xlpm.x,$B146,_xlpm.dep,$H$6:$H$29,_xlpm.e,IF(_xlpm.x&lt;=$C$5,$C$12*(_xlpm.x-_xlpm.dep)/_xlpm.x,$C$13*(_xlpm.x-_xlpm.dep)/(_xlpm.x-3*$C$5/7))/$C$14,_xlpm.s,(_xlpm.e&gt;=1)*1+(_xlpm.e&lt;=-1)*(-1)+(ABS(_xlpm.e)&lt;1)*_xlpm.e,AVERAGE(_xlpm.s))</f>
        <v>0.76053803536324216</v>
      </c>
      <c r="J146" s="24" cm="1">
        <f t="array" ref="J146">_xlfn.LET(_xlpm.x,$B146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6.2051037912749574E-2</v>
      </c>
      <c r="K146" s="24">
        <f>IFERROR(($C$15-F146)/I146,"")</f>
        <v>-1.1072059994532655</v>
      </c>
      <c r="L146" s="24" t="str">
        <f>IF(AND(ISNUMBER(K146),N(K146)&gt;0),H146+K146*J146,"")</f>
        <v/>
      </c>
      <c r="M146" s="24">
        <f>IF(ISNUMBER(L146),ABS(L146-$C$16),1000000000)</f>
        <v>1000000000</v>
      </c>
    </row>
    <row r="147" spans="1:13" x14ac:dyDescent="0.3">
      <c r="A147" s="24">
        <f>A146+0.01</f>
        <v>1.1900000000000008</v>
      </c>
      <c r="B147" s="20">
        <f>A147*$C$5</f>
        <v>892.50000000000068</v>
      </c>
      <c r="C147" s="20">
        <f>MIN(0.8*B147,$C$5)</f>
        <v>714.00000000000057</v>
      </c>
      <c r="D147" s="24">
        <f>ACOS(MAX(-1,($C$7-C147)/$C$7))</f>
        <v>2.699831229439738</v>
      </c>
      <c r="E147" s="20">
        <f>$C$7^2*(D147-SIN(D147)*COS(D147))</f>
        <v>434013.82997019275</v>
      </c>
      <c r="F147" s="24">
        <f>E147/$C$9</f>
        <v>0.98240634894224454</v>
      </c>
      <c r="G147" s="16">
        <f>IF(E147&gt;0,2*$C$7^3*SIN(D147)^3/(3*E147),0)</f>
        <v>6.3300368917506082</v>
      </c>
      <c r="H147" s="24">
        <f>F147*G147/$C$5</f>
        <v>8.2915579086592379E-3</v>
      </c>
      <c r="I147" s="24" cm="1">
        <f t="array" ref="I147">_xlfn.LET(_xlpm.x,$B147,_xlpm.dep,$H$6:$H$29,_xlpm.e,IF(_xlpm.x&lt;=$C$5,$C$12*(_xlpm.x-_xlpm.dep)/_xlpm.x,$C$13*(_xlpm.x-_xlpm.dep)/(_xlpm.x-3*$C$5/7))/$C$14,_xlpm.s,(_xlpm.e&gt;=1)*1+(_xlpm.e&lt;=-1)*(-1)+(ABS(_xlpm.e)&lt;1)*_xlpm.e,AVERAGE(_xlpm.s))</f>
        <v>0.76302627880124818</v>
      </c>
      <c r="J147" s="24" cm="1">
        <f t="array" ref="J147">_xlfn.LET(_xlpm.x,$B147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6.13517902387163E-2</v>
      </c>
      <c r="K147" s="24">
        <f>IFERROR(($C$15-F147)/I147,"")</f>
        <v>-1.1095215910088989</v>
      </c>
      <c r="L147" s="24" t="str">
        <f>IF(AND(ISNUMBER(K147),N(K147)&gt;0),H147+K147*J147,"")</f>
        <v/>
      </c>
      <c r="M147" s="24">
        <f>IF(ISNUMBER(L147),ABS(L147-$C$16),1000000000)</f>
        <v>1000000000</v>
      </c>
    </row>
    <row r="148" spans="1:13" x14ac:dyDescent="0.3">
      <c r="A148" s="24">
        <f>A147+0.01</f>
        <v>1.2000000000000008</v>
      </c>
      <c r="B148" s="20">
        <f>A148*$C$5</f>
        <v>900.00000000000068</v>
      </c>
      <c r="C148" s="20">
        <f>MIN(0.8*B148,$C$5)</f>
        <v>720.00000000000057</v>
      </c>
      <c r="D148" s="24">
        <f>ACOS(MAX(-1,($C$7-C148)/$C$7))</f>
        <v>2.7388768120091354</v>
      </c>
      <c r="E148" s="20">
        <f>$C$7^2*(D148-SIN(D148)*COS(D148))</f>
        <v>435858.98936439614</v>
      </c>
      <c r="F148" s="24">
        <f>E148/$C$9</f>
        <v>0.98658293544364783</v>
      </c>
      <c r="G148" s="16">
        <f>IF(E148&gt;0,2*$C$7^3*SIN(D148)^3/(3*E148),0)</f>
        <v>4.8556051140550105</v>
      </c>
      <c r="H148" s="24">
        <f>F148*G148/$C$5</f>
        <v>6.3872761957061075E-3</v>
      </c>
      <c r="I148" s="24" cm="1">
        <f t="array" ref="I148">_xlfn.LET(_xlpm.x,$B148,_xlpm.dep,$H$6:$H$29,_xlpm.e,IF(_xlpm.x&lt;=$C$5,$C$12*(_xlpm.x-_xlpm.dep)/_xlpm.x,$C$13*(_xlpm.x-_xlpm.dep)/(_xlpm.x-3*$C$5/7))/$C$14,_xlpm.s,(_xlpm.e&gt;=1)*1+(_xlpm.e&lt;=-1)*(-1)+(ABS(_xlpm.e)&lt;1)*_xlpm.e,AVERAGE(_xlpm.s))</f>
        <v>0.76545001222419495</v>
      </c>
      <c r="J148" s="24" cm="1">
        <f t="array" ref="J148">_xlfn.LET(_xlpm.x,$B148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6.0670671208083858E-2</v>
      </c>
      <c r="K148" s="24">
        <f>IFERROR(($C$15-F148)/I148,"")</f>
        <v>-1.1114647641933526</v>
      </c>
      <c r="L148" s="24" t="str">
        <f>IF(AND(ISNUMBER(K148),N(K148)&gt;0),H148+K148*J148,"")</f>
        <v/>
      </c>
      <c r="M148" s="24">
        <f>IF(ISNUMBER(L148),ABS(L148-$C$16),1000000000)</f>
        <v>1000000000</v>
      </c>
    </row>
    <row r="149" spans="1:13" x14ac:dyDescent="0.3">
      <c r="A149" s="24">
        <f>A148+0.01</f>
        <v>1.2100000000000009</v>
      </c>
      <c r="B149" s="20">
        <f>A149*$C$5</f>
        <v>907.50000000000068</v>
      </c>
      <c r="C149" s="20">
        <f>MIN(0.8*B149,$C$5)</f>
        <v>726.00000000000057</v>
      </c>
      <c r="D149" s="24">
        <f>ACOS(MAX(-1,($C$7-C149)/$C$7))</f>
        <v>2.7818856540048409</v>
      </c>
      <c r="E149" s="20">
        <f>$C$7^2*(D149-SIN(D149)*COS(D149))</f>
        <v>437534.67009443033</v>
      </c>
      <c r="F149" s="24">
        <f>E149/$C$9</f>
        <v>0.99037590072334603</v>
      </c>
      <c r="G149" s="16">
        <f>IF(E149&gt;0,2*$C$7^3*SIN(D149)^3/(3*E149),0)</f>
        <v>3.50443543061176</v>
      </c>
      <c r="H149" s="24">
        <f>F149*G149/$C$5</f>
        <v>4.6276111948252386E-3</v>
      </c>
      <c r="I149" s="24" cm="1">
        <f t="array" ref="I149">_xlfn.LET(_xlpm.x,$B149,_xlpm.dep,$H$6:$H$29,_xlpm.e,IF(_xlpm.x&lt;=$C$5,$C$12*(_xlpm.x-_xlpm.dep)/_xlpm.x,$C$13*(_xlpm.x-_xlpm.dep)/(_xlpm.x-3*$C$5/7))/$C$14,_xlpm.s,(_xlpm.e&gt;=1)*1+(_xlpm.e&lt;=-1)*(-1)+(ABS(_xlpm.e)&lt;1)*_xlpm.e,AVERAGE(_xlpm.s))</f>
        <v>0.76781171225057643</v>
      </c>
      <c r="J149" s="24" cm="1">
        <f t="array" ref="J149">_xlfn.LET(_xlpm.x,$B149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6.0006984840027061E-2</v>
      </c>
      <c r="K149" s="24">
        <f>IFERROR(($C$15-F149)/I149,"")</f>
        <v>-1.1129859951125283</v>
      </c>
      <c r="L149" s="24" t="str">
        <f>IF(AND(ISNUMBER(K149),N(K149)&gt;0),H149+K149*J149,"")</f>
        <v/>
      </c>
      <c r="M149" s="24">
        <f>IF(ISNUMBER(L149),ABS(L149-$C$16),1000000000)</f>
        <v>1000000000</v>
      </c>
    </row>
    <row r="150" spans="1:13" x14ac:dyDescent="0.3">
      <c r="A150" s="24">
        <f>A149+0.01</f>
        <v>1.2200000000000009</v>
      </c>
      <c r="B150" s="20">
        <f>A150*$C$5</f>
        <v>915.00000000000068</v>
      </c>
      <c r="C150" s="20">
        <f>MIN(0.8*B150,$C$5)</f>
        <v>732.00000000000057</v>
      </c>
      <c r="D150" s="24">
        <f>ACOS(MAX(-1,($C$7-C150)/$C$7))</f>
        <v>2.8305010517978371</v>
      </c>
      <c r="E150" s="20">
        <f>$C$7^2*(D150-SIN(D150)*COS(D150))</f>
        <v>439018.0833071869</v>
      </c>
      <c r="F150" s="24">
        <f>E150/$C$9</f>
        <v>0.9937336613698603</v>
      </c>
      <c r="G150" s="16">
        <f>IF(E150&gt;0,2*$C$7^3*SIN(D150)^3/(3*E150),0)</f>
        <v>2.2966864641746021</v>
      </c>
      <c r="H150" s="24">
        <f>F150*G150/$C$5</f>
        <v>3.043059532083768E-3</v>
      </c>
      <c r="I150" s="24" cm="1">
        <f t="array" ref="I150">_xlfn.LET(_xlpm.x,$B150,_xlpm.dep,$H$6:$H$29,_xlpm.e,IF(_xlpm.x&lt;=$C$5,$C$12*(_xlpm.x-_xlpm.dep)/_xlpm.x,$C$13*(_xlpm.x-_xlpm.dep)/(_xlpm.x-3*$C$5/7))/$C$14,_xlpm.s,(_xlpm.e&gt;=1)*1+(_xlpm.e&lt;=-1)*(-1)+(ABS(_xlpm.e)&lt;1)*_xlpm.e,AVERAGE(_xlpm.s))</f>
        <v>0.77011373032683295</v>
      </c>
      <c r="J150" s="24" cm="1">
        <f t="array" ref="J150">_xlfn.LET(_xlpm.x,$B150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5.9360070329646762E-2</v>
      </c>
      <c r="K150" s="24">
        <f>IFERROR(($C$15-F150)/I150,"")</f>
        <v>-1.114019150003569</v>
      </c>
      <c r="L150" s="24" t="str">
        <f>IF(AND(ISNUMBER(K150),N(K150)&gt;0),H150+K150*J150,"")</f>
        <v/>
      </c>
      <c r="M150" s="24">
        <f>IF(ISNUMBER(L150),ABS(L150-$C$16),1000000000)</f>
        <v>1000000000</v>
      </c>
    </row>
    <row r="151" spans="1:13" x14ac:dyDescent="0.3">
      <c r="A151" s="24">
        <f>A150+0.01</f>
        <v>1.2300000000000009</v>
      </c>
      <c r="B151" s="20">
        <f>A151*$C$5</f>
        <v>922.50000000000068</v>
      </c>
      <c r="C151" s="20">
        <f>MIN(0.8*B151,$C$5)</f>
        <v>738.00000000000057</v>
      </c>
      <c r="D151" s="24">
        <f>ACOS(MAX(-1,($C$7-C151)/$C$7))</f>
        <v>2.8879309175143439</v>
      </c>
      <c r="E151" s="20">
        <f>$C$7^2*(D151-SIN(D151)*COS(D151))</f>
        <v>440275.88046933187</v>
      </c>
      <c r="F151" s="24">
        <f>E151/$C$9</f>
        <v>0.99658073174514672</v>
      </c>
      <c r="G151" s="16">
        <f>IF(E151&gt;0,2*$C$7^3*SIN(D151)^3/(3*E151),0)</f>
        <v>1.2619445096632622</v>
      </c>
      <c r="H151" s="24">
        <f>F151*G151/$C$5</f>
        <v>1.676839443815979E-3</v>
      </c>
      <c r="I151" s="24" cm="1">
        <f t="array" ref="I151">_xlfn.LET(_xlpm.x,$B151,_xlpm.dep,$H$6:$H$29,_xlpm.e,IF(_xlpm.x&lt;=$C$5,$C$12*(_xlpm.x-_xlpm.dep)/_xlpm.x,$C$13*(_xlpm.x-_xlpm.dep)/(_xlpm.x-3*$C$5/7))/$C$14,_xlpm.s,(_xlpm.e&gt;=1)*1+(_xlpm.e&lt;=-1)*(-1)+(ABS(_xlpm.e)&lt;1)*_xlpm.e,AVERAGE(_xlpm.s))</f>
        <v>0.77235830053665833</v>
      </c>
      <c r="J151" s="24" cm="1">
        <f t="array" ref="J151">_xlfn.LET(_xlpm.x,$B151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5.8729299853393598E-2</v>
      </c>
      <c r="K151" s="24">
        <f>IFERROR(($C$15-F151)/I151,"")</f>
        <v>-1.114467874614637</v>
      </c>
      <c r="L151" s="24" t="str">
        <f>IF(AND(ISNUMBER(K151),N(K151)&gt;0),H151+K151*J151,"")</f>
        <v/>
      </c>
      <c r="M151" s="24">
        <f>IF(ISNUMBER(L151),ABS(L151-$C$16),1000000000)</f>
        <v>1000000000</v>
      </c>
    </row>
    <row r="152" spans="1:13" x14ac:dyDescent="0.3">
      <c r="A152" s="24">
        <f>A151+0.01</f>
        <v>1.2400000000000009</v>
      </c>
      <c r="B152" s="20">
        <f>A152*$C$5</f>
        <v>930.00000000000068</v>
      </c>
      <c r="C152" s="20">
        <f>MIN(0.8*B152,$C$5)</f>
        <v>744.00000000000057</v>
      </c>
      <c r="D152" s="24">
        <f>ACOS(MAX(-1,($C$7-C152)/$C$7))</f>
        <v>2.962467838710912</v>
      </c>
      <c r="E152" s="20">
        <f>$C$7^2*(D152-SIN(D152)*COS(D152))</f>
        <v>441251.1004173322</v>
      </c>
      <c r="F152" s="24">
        <f>E152/$C$9</f>
        <v>0.99878817814978427</v>
      </c>
      <c r="G152" s="16">
        <f>IF(E152&gt;0,2*$C$7^3*SIN(D152)^3/(3*E152),0)</f>
        <v>0.45061870834384288</v>
      </c>
      <c r="H152" s="24">
        <f>F152*G152/$C$5</f>
        <v>6.0009685166260778E-4</v>
      </c>
      <c r="I152" s="24" cm="1">
        <f t="array" ref="I152">_xlfn.LET(_xlpm.x,$B152,_xlpm.dep,$H$6:$H$29,_xlpm.e,IF(_xlpm.x&lt;=$C$5,$C$12*(_xlpm.x-_xlpm.dep)/_xlpm.x,$C$13*(_xlpm.x-_xlpm.dep)/(_xlpm.x-3*$C$5/7))/$C$14,_xlpm.s,(_xlpm.e&gt;=1)*1+(_xlpm.e&lt;=-1)*(-1)+(ABS(_xlpm.e)&lt;1)*_xlpm.e,AVERAGE(_xlpm.s))</f>
        <v>0.77454754683286142</v>
      </c>
      <c r="J152" s="24" cm="1">
        <f t="array" ref="J152">_xlfn.LET(_xlpm.x,$B152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5.811407653676641E-2</v>
      </c>
      <c r="K152" s="24">
        <f>IFERROR(($C$15-F152)/I152,"")</f>
        <v>-1.1141678307205596</v>
      </c>
      <c r="L152" s="24" t="str">
        <f>IF(AND(ISNUMBER(K152),N(K152)&gt;0),H152+K152*J152,"")</f>
        <v/>
      </c>
      <c r="M152" s="24">
        <f>IF(ISNUMBER(L152),ABS(L152-$C$16),1000000000)</f>
        <v>1000000000</v>
      </c>
    </row>
    <row r="153" spans="1:13" x14ac:dyDescent="0.3">
      <c r="A153" s="24">
        <f>A152+0.01</f>
        <v>1.2500000000000009</v>
      </c>
      <c r="B153" s="20">
        <f>A153*$C$5</f>
        <v>937.50000000000068</v>
      </c>
      <c r="C153" s="20">
        <f>MIN(0.8*B153,$C$5)</f>
        <v>750</v>
      </c>
      <c r="D153" s="24">
        <f>ACOS(MAX(-1,($C$7-C153)/$C$7))</f>
        <v>3.1415926535897931</v>
      </c>
      <c r="E153" s="20">
        <f>$C$7^2*(D153-SIN(D153)*COS(D153))</f>
        <v>441786.46691106464</v>
      </c>
      <c r="F153" s="24">
        <f>E153/$C$9</f>
        <v>1</v>
      </c>
      <c r="G153" s="16">
        <f>IF(E153&gt;0,2*$C$7^3*SIN(D153)^3/(3*E153),0)</f>
        <v>1.4633772056161843E-46</v>
      </c>
      <c r="H153" s="24">
        <f>F153*G153/$C$5</f>
        <v>1.9511696074882456E-49</v>
      </c>
      <c r="I153" s="24" cm="1">
        <f t="array" ref="I153">_xlfn.LET(_xlpm.x,$B153,_xlpm.dep,$H$6:$H$29,_xlpm.e,IF(_xlpm.x&lt;=$C$5,$C$12*(_xlpm.x-_xlpm.dep)/_xlpm.x,$C$13*(_xlpm.x-_xlpm.dep)/(_xlpm.x-3*$C$5/7))/$C$14,_xlpm.s,(_xlpm.e&gt;=1)*1+(_xlpm.e&lt;=-1)*(-1)+(ABS(_xlpm.e)&lt;1)*_xlpm.e,AVERAGE(_xlpm.s))</f>
        <v>0.77668348974098311</v>
      </c>
      <c r="J153" s="24" cm="1">
        <f t="array" ref="J153">_xlfn.LET(_xlpm.x,$B153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5.7513832570457113E-2</v>
      </c>
      <c r="K153" s="24">
        <f>IFERROR(($C$15-F153)/I153,"")</f>
        <v>-1.1126640302127637</v>
      </c>
      <c r="L153" s="24" t="str">
        <f>IF(AND(ISNUMBER(K153),N(K153)&gt;0),H153+K153*J153,"")</f>
        <v/>
      </c>
      <c r="M153" s="24">
        <f>IF(ISNUMBER(L153),ABS(L153-$C$16),1000000000)</f>
        <v>1000000000</v>
      </c>
    </row>
    <row r="154" spans="1:13" x14ac:dyDescent="0.3">
      <c r="A154" s="24">
        <f>A153+0.01</f>
        <v>1.2600000000000009</v>
      </c>
      <c r="B154" s="20">
        <f>A154*$C$5</f>
        <v>945.00000000000068</v>
      </c>
      <c r="C154" s="20">
        <f>MIN(0.8*B154,$C$5)</f>
        <v>750</v>
      </c>
      <c r="D154" s="24">
        <f>ACOS(MAX(-1,($C$7-C154)/$C$7))</f>
        <v>3.1415926535897931</v>
      </c>
      <c r="E154" s="20">
        <f>$C$7^2*(D154-SIN(D154)*COS(D154))</f>
        <v>441786.46691106464</v>
      </c>
      <c r="F154" s="24">
        <f>E154/$C$9</f>
        <v>1</v>
      </c>
      <c r="G154" s="16">
        <f>IF(E154&gt;0,2*$C$7^3*SIN(D154)^3/(3*E154),0)</f>
        <v>1.4633772056161843E-46</v>
      </c>
      <c r="H154" s="24">
        <f>F154*G154/$C$5</f>
        <v>1.9511696074882456E-49</v>
      </c>
      <c r="I154" s="24" cm="1">
        <f t="array" ref="I154">_xlfn.LET(_xlpm.x,$B154,_xlpm.dep,$H$6:$H$29,_xlpm.e,IF(_xlpm.x&lt;=$C$5,$C$12*(_xlpm.x-_xlpm.dep)/_xlpm.x,$C$13*(_xlpm.x-_xlpm.dep)/(_xlpm.x-3*$C$5/7))/$C$14,_xlpm.s,(_xlpm.e&gt;=1)*1+(_xlpm.e&lt;=-1)*(-1)+(ABS(_xlpm.e)&lt;1)*_xlpm.e,AVERAGE(_xlpm.s))</f>
        <v>0.77876805257914994</v>
      </c>
      <c r="J154" s="24" cm="1">
        <f t="array" ref="J154">_xlfn.LET(_xlpm.x,$B154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5.6928027462443881E-2</v>
      </c>
      <c r="K154" s="24">
        <f>IFERROR(($C$15-F154)/I154,"")</f>
        <v>-1.1096857132658051</v>
      </c>
      <c r="L154" s="24" t="str">
        <f>IF(AND(ISNUMBER(K154),N(K154)&gt;0),H154+K154*J154,"")</f>
        <v/>
      </c>
      <c r="M154" s="24">
        <f>IF(ISNUMBER(L154),ABS(L154-$C$16),1000000000)</f>
        <v>1000000000</v>
      </c>
    </row>
    <row r="155" spans="1:13" x14ac:dyDescent="0.3">
      <c r="A155" s="24">
        <f>A154+0.01</f>
        <v>1.2700000000000009</v>
      </c>
      <c r="B155" s="20">
        <f>A155*$C$5</f>
        <v>952.50000000000068</v>
      </c>
      <c r="C155" s="20">
        <f>MIN(0.8*B155,$C$5)</f>
        <v>750</v>
      </c>
      <c r="D155" s="24">
        <f>ACOS(MAX(-1,($C$7-C155)/$C$7))</f>
        <v>3.1415926535897931</v>
      </c>
      <c r="E155" s="20">
        <f>$C$7^2*(D155-SIN(D155)*COS(D155))</f>
        <v>441786.46691106464</v>
      </c>
      <c r="F155" s="24">
        <f>E155/$C$9</f>
        <v>1</v>
      </c>
      <c r="G155" s="16">
        <f>IF(E155&gt;0,2*$C$7^3*SIN(D155)^3/(3*E155),0)</f>
        <v>1.4633772056161843E-46</v>
      </c>
      <c r="H155" s="24">
        <f>F155*G155/$C$5</f>
        <v>1.9511696074882456E-49</v>
      </c>
      <c r="I155" s="24" cm="1">
        <f t="array" ref="I155">_xlfn.LET(_xlpm.x,$B155,_xlpm.dep,$H$6:$H$29,_xlpm.e,IF(_xlpm.x&lt;=$C$5,$C$12*(_xlpm.x-_xlpm.dep)/_xlpm.x,$C$13*(_xlpm.x-_xlpm.dep)/(_xlpm.x-3*$C$5/7))/$C$14,_xlpm.s,(_xlpm.e&gt;=1)*1+(_xlpm.e&lt;=-1)*(-1)+(ABS(_xlpm.e)&lt;1)*_xlpm.e,AVERAGE(_xlpm.s))</f>
        <v>0.78080306723440651</v>
      </c>
      <c r="J155" s="24" cm="1">
        <f t="array" ref="J155">_xlfn.LET(_xlpm.x,$B155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5.6356146414723002E-2</v>
      </c>
      <c r="K155" s="24">
        <f>IFERROR(($C$15-F155)/I155,"")</f>
        <v>-1.1067935285600976</v>
      </c>
      <c r="L155" s="24" t="str">
        <f>IF(AND(ISNUMBER(K155),N(K155)&gt;0),H155+K155*J155,"")</f>
        <v/>
      </c>
      <c r="M155" s="24">
        <f>IF(ISNUMBER(L155),ABS(L155-$C$16),1000000000)</f>
        <v>1000000000</v>
      </c>
    </row>
    <row r="156" spans="1:13" x14ac:dyDescent="0.3">
      <c r="A156" s="24">
        <f>A155+0.01</f>
        <v>1.2800000000000009</v>
      </c>
      <c r="B156" s="20">
        <f>A156*$C$5</f>
        <v>960.00000000000068</v>
      </c>
      <c r="C156" s="20">
        <f>MIN(0.8*B156,$C$5)</f>
        <v>750</v>
      </c>
      <c r="D156" s="24">
        <f>ACOS(MAX(-1,($C$7-C156)/$C$7))</f>
        <v>3.1415926535897931</v>
      </c>
      <c r="E156" s="20">
        <f>$C$7^2*(D156-SIN(D156)*COS(D156))</f>
        <v>441786.46691106464</v>
      </c>
      <c r="F156" s="24">
        <f>E156/$C$9</f>
        <v>1</v>
      </c>
      <c r="G156" s="16">
        <f>IF(E156&gt;0,2*$C$7^3*SIN(D156)^3/(3*E156),0)</f>
        <v>1.4633772056161843E-46</v>
      </c>
      <c r="H156" s="24">
        <f>F156*G156/$C$5</f>
        <v>1.9511696074882456E-49</v>
      </c>
      <c r="I156" s="24" cm="1">
        <f t="array" ref="I156">_xlfn.LET(_xlpm.x,$B156,_xlpm.dep,$H$6:$H$29,_xlpm.e,IF(_xlpm.x&lt;=$C$5,$C$12*(_xlpm.x-_xlpm.dep)/_xlpm.x,$C$13*(_xlpm.x-_xlpm.dep)/(_xlpm.x-3*$C$5/7))/$C$14,_xlpm.s,(_xlpm.e&gt;=1)*1+(_xlpm.e&lt;=-1)*(-1)+(ABS(_xlpm.e)&lt;1)*_xlpm.e,AVERAGE(_xlpm.s))</f>
        <v>0.78279027953198865</v>
      </c>
      <c r="J156" s="24" cm="1">
        <f t="array" ref="J156">_xlfn.LET(_xlpm.x,$B156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5.5797698814431813E-2</v>
      </c>
      <c r="K156" s="24">
        <f>IFERROR(($C$15-F156)/I156,"")</f>
        <v>-1.1039837929663523</v>
      </c>
      <c r="L156" s="24" t="str">
        <f>IF(AND(ISNUMBER(K156),N(K156)&gt;0),H156+K156*J156,"")</f>
        <v/>
      </c>
      <c r="M156" s="24">
        <f>IF(ISNUMBER(L156),ABS(L156-$C$16),1000000000)</f>
        <v>1000000000</v>
      </c>
    </row>
    <row r="157" spans="1:13" x14ac:dyDescent="0.3">
      <c r="A157" s="24">
        <f>A156+0.01</f>
        <v>1.2900000000000009</v>
      </c>
      <c r="B157" s="20">
        <f>A157*$C$5</f>
        <v>967.50000000000068</v>
      </c>
      <c r="C157" s="20">
        <f>MIN(0.8*B157,$C$5)</f>
        <v>750</v>
      </c>
      <c r="D157" s="24">
        <f>ACOS(MAX(-1,($C$7-C157)/$C$7))</f>
        <v>3.1415926535897931</v>
      </c>
      <c r="E157" s="20">
        <f>$C$7^2*(D157-SIN(D157)*COS(D157))</f>
        <v>441786.46691106464</v>
      </c>
      <c r="F157" s="24">
        <f>E157/$C$9</f>
        <v>1</v>
      </c>
      <c r="G157" s="16">
        <f>IF(E157&gt;0,2*$C$7^3*SIN(D157)^3/(3*E157),0)</f>
        <v>1.4633772056161843E-46</v>
      </c>
      <c r="H157" s="24">
        <f>F157*G157/$C$5</f>
        <v>1.9511696074882456E-49</v>
      </c>
      <c r="I157" s="24" cm="1">
        <f t="array" ref="I157">_xlfn.LET(_xlpm.x,$B157,_xlpm.dep,$H$6:$H$29,_xlpm.e,IF(_xlpm.x&lt;=$C$5,$C$12*(_xlpm.x-_xlpm.dep)/_xlpm.x,$C$13*(_xlpm.x-_xlpm.dep)/(_xlpm.x-3*$C$5/7))/$C$14,_xlpm.s,(_xlpm.e&gt;=1)*1+(_xlpm.e&lt;=-1)*(-1)+(ABS(_xlpm.e)&lt;1)*_xlpm.e,AVERAGE(_xlpm.s))</f>
        <v>0.78473135423062246</v>
      </c>
      <c r="J157" s="24" cm="1">
        <f t="array" ref="J157">_xlfn.LET(_xlpm.x,$B157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5.5252216830067757E-2</v>
      </c>
      <c r="K157" s="24">
        <f>IFERROR(($C$15-F157)/I157,"")</f>
        <v>-1.1012530303981485</v>
      </c>
      <c r="L157" s="24" t="str">
        <f>IF(AND(ISNUMBER(K157),N(K157)&gt;0),H157+K157*J157,"")</f>
        <v/>
      </c>
      <c r="M157" s="24">
        <f>IF(ISNUMBER(L157),ABS(L157-$C$16),1000000000)</f>
        <v>1000000000</v>
      </c>
    </row>
    <row r="158" spans="1:13" x14ac:dyDescent="0.3">
      <c r="A158" s="24">
        <f>A157+0.01</f>
        <v>1.3000000000000009</v>
      </c>
      <c r="B158" s="20">
        <f>A158*$C$5</f>
        <v>975.00000000000068</v>
      </c>
      <c r="C158" s="20">
        <f>MIN(0.8*B158,$C$5)</f>
        <v>750</v>
      </c>
      <c r="D158" s="24">
        <f>ACOS(MAX(-1,($C$7-C158)/$C$7))</f>
        <v>3.1415926535897931</v>
      </c>
      <c r="E158" s="20">
        <f>$C$7^2*(D158-SIN(D158)*COS(D158))</f>
        <v>441786.46691106464</v>
      </c>
      <c r="F158" s="24">
        <f>E158/$C$9</f>
        <v>1</v>
      </c>
      <c r="G158" s="16">
        <f>IF(E158&gt;0,2*$C$7^3*SIN(D158)^3/(3*E158),0)</f>
        <v>1.4633772056161843E-46</v>
      </c>
      <c r="H158" s="24">
        <f>F158*G158/$C$5</f>
        <v>1.9511696074882456E-49</v>
      </c>
      <c r="I158" s="24" cm="1">
        <f t="array" ref="I158">_xlfn.LET(_xlpm.x,$B158,_xlpm.dep,$H$6:$H$29,_xlpm.e,IF(_xlpm.x&lt;=$C$5,$C$12*(_xlpm.x-_xlpm.dep)/_xlpm.x,$C$13*(_xlpm.x-_xlpm.dep)/(_xlpm.x-3*$C$5/7))/$C$14,_xlpm.s,(_xlpm.e&gt;=1)*1+(_xlpm.e&lt;=-1)*(-1)+(ABS(_xlpm.e)&lt;1)*_xlpm.e,AVERAGE(_xlpm.s))</f>
        <v>0.78662787967387737</v>
      </c>
      <c r="J158" s="24" cm="1">
        <f t="array" ref="J158">_xlfn.LET(_xlpm.x,$B158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5.4719254104361272E-2</v>
      </c>
      <c r="K158" s="24">
        <f>IFERROR(($C$15-F158)/I158,"")</f>
        <v>-1.0985979574652167</v>
      </c>
      <c r="L158" s="24" t="str">
        <f>IF(AND(ISNUMBER(K158),N(K158)&gt;0),H158+K158*J158,"")</f>
        <v/>
      </c>
      <c r="M158" s="24">
        <f>IF(ISNUMBER(L158),ABS(L158-$C$16),1000000000)</f>
        <v>1000000000</v>
      </c>
    </row>
    <row r="159" spans="1:13" x14ac:dyDescent="0.3">
      <c r="A159" s="24">
        <f>A158+0.01</f>
        <v>1.3100000000000009</v>
      </c>
      <c r="B159" s="20">
        <f>A159*$C$5</f>
        <v>982.50000000000068</v>
      </c>
      <c r="C159" s="20">
        <f>MIN(0.8*B159,$C$5)</f>
        <v>750</v>
      </c>
      <c r="D159" s="24">
        <f>ACOS(MAX(-1,($C$7-C159)/$C$7))</f>
        <v>3.1415926535897931</v>
      </c>
      <c r="E159" s="20">
        <f>$C$7^2*(D159-SIN(D159)*COS(D159))</f>
        <v>441786.46691106464</v>
      </c>
      <c r="F159" s="24">
        <f>E159/$C$9</f>
        <v>1</v>
      </c>
      <c r="G159" s="16">
        <f>IF(E159&gt;0,2*$C$7^3*SIN(D159)^3/(3*E159),0)</f>
        <v>1.4633772056161843E-46</v>
      </c>
      <c r="H159" s="24">
        <f>F159*G159/$C$5</f>
        <v>1.9511696074882456E-49</v>
      </c>
      <c r="I159" s="24" cm="1">
        <f t="array" ref="I159">_xlfn.LET(_xlpm.x,$B159,_xlpm.dep,$H$6:$H$29,_xlpm.e,IF(_xlpm.x&lt;=$C$5,$C$12*(_xlpm.x-_xlpm.dep)/_xlpm.x,$C$13*(_xlpm.x-_xlpm.dep)/(_xlpm.x-3*$C$5/7))/$C$14,_xlpm.s,(_xlpm.e&gt;=1)*1+(_xlpm.e&lt;=-1)*(-1)+(ABS(_xlpm.e)&lt;1)*_xlpm.e,AVERAGE(_xlpm.s))</f>
        <v>0.78848137212490332</v>
      </c>
      <c r="J159" s="24" cm="1">
        <f t="array" ref="J159">_xlfn.LET(_xlpm.x,$B159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5.4198384536126243E-2</v>
      </c>
      <c r="K159" s="24">
        <f>IFERROR(($C$15-F159)/I159,"")</f>
        <v>-1.0960154703033618</v>
      </c>
      <c r="L159" s="24" t="str">
        <f>IF(AND(ISNUMBER(K159),N(K159)&gt;0),H159+K159*J159,"")</f>
        <v/>
      </c>
      <c r="M159" s="24">
        <f>IF(ISNUMBER(L159),ABS(L159-$C$16),1000000000)</f>
        <v>1000000000</v>
      </c>
    </row>
    <row r="160" spans="1:13" x14ac:dyDescent="0.3">
      <c r="A160" s="24">
        <f>A159+0.01</f>
        <v>1.320000000000001</v>
      </c>
      <c r="B160" s="20">
        <f>A160*$C$5</f>
        <v>990.00000000000068</v>
      </c>
      <c r="C160" s="20">
        <f>MIN(0.8*B160,$C$5)</f>
        <v>750</v>
      </c>
      <c r="D160" s="24">
        <f>ACOS(MAX(-1,($C$7-C160)/$C$7))</f>
        <v>3.1415926535897931</v>
      </c>
      <c r="E160" s="20">
        <f>$C$7^2*(D160-SIN(D160)*COS(D160))</f>
        <v>441786.46691106464</v>
      </c>
      <c r="F160" s="24">
        <f>E160/$C$9</f>
        <v>1</v>
      </c>
      <c r="G160" s="16">
        <f>IF(E160&gt;0,2*$C$7^3*SIN(D160)^3/(3*E160),0)</f>
        <v>1.4633772056161843E-46</v>
      </c>
      <c r="H160" s="24">
        <f>F160*G160/$C$5</f>
        <v>1.9511696074882456E-49</v>
      </c>
      <c r="I160" s="24" cm="1">
        <f t="array" ref="I160">_xlfn.LET(_xlpm.x,$B160,_xlpm.dep,$H$6:$H$29,_xlpm.e,IF(_xlpm.x&lt;=$C$5,$C$12*(_xlpm.x-_xlpm.dep)/_xlpm.x,$C$13*(_xlpm.x-_xlpm.dep)/(_xlpm.x-3*$C$5/7))/$C$14,_xlpm.s,(_xlpm.e&gt;=1)*1+(_xlpm.e&lt;=-1)*(-1)+(ABS(_xlpm.e)&lt;1)*_xlpm.e,AVERAGE(_xlpm.s))</f>
        <v>0.79029327980939945</v>
      </c>
      <c r="J160" s="24" cm="1">
        <f t="array" ref="J160">_xlfn.LET(_xlpm.x,$B160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5.3689201144101591E-2</v>
      </c>
      <c r="K160" s="24">
        <f>IFERROR(($C$15-F160)/I160,"")</f>
        <v>-1.0935026324699839</v>
      </c>
      <c r="L160" s="24" t="str">
        <f>IF(AND(ISNUMBER(K160),N(K160)&gt;0),H160+K160*J160,"")</f>
        <v/>
      </c>
      <c r="M160" s="24">
        <f>IF(ISNUMBER(L160),ABS(L160-$C$16),1000000000)</f>
        <v>1000000000</v>
      </c>
    </row>
    <row r="161" spans="1:13" x14ac:dyDescent="0.3">
      <c r="A161" s="24">
        <f>A160+0.01</f>
        <v>1.330000000000001</v>
      </c>
      <c r="B161" s="20">
        <f>A161*$C$5</f>
        <v>997.50000000000068</v>
      </c>
      <c r="C161" s="20">
        <f>MIN(0.8*B161,$C$5)</f>
        <v>750</v>
      </c>
      <c r="D161" s="24">
        <f>ACOS(MAX(-1,($C$7-C161)/$C$7))</f>
        <v>3.1415926535897931</v>
      </c>
      <c r="E161" s="20">
        <f>$C$7^2*(D161-SIN(D161)*COS(D161))</f>
        <v>441786.46691106464</v>
      </c>
      <c r="F161" s="24">
        <f>E161/$C$9</f>
        <v>1</v>
      </c>
      <c r="G161" s="16">
        <f>IF(E161&gt;0,2*$C$7^3*SIN(D161)^3/(3*E161),0)</f>
        <v>1.4633772056161843E-46</v>
      </c>
      <c r="H161" s="24">
        <f>F161*G161/$C$5</f>
        <v>1.9511696074882456E-49</v>
      </c>
      <c r="I161" s="24" cm="1">
        <f t="array" ref="I161">_xlfn.LET(_xlpm.x,$B161,_xlpm.dep,$H$6:$H$29,_xlpm.e,IF(_xlpm.x&lt;=$C$5,$C$12*(_xlpm.x-_xlpm.dep)/_xlpm.x,$C$13*(_xlpm.x-_xlpm.dep)/(_xlpm.x-3*$C$5/7))/$C$14,_xlpm.s,(_xlpm.e&gt;=1)*1+(_xlpm.e&lt;=-1)*(-1)+(ABS(_xlpm.e)&lt;1)*_xlpm.e,AVERAGE(_xlpm.s))</f>
        <v>0.79206498668948555</v>
      </c>
      <c r="J161" s="24" cm="1">
        <f t="array" ref="J161">_xlfn.LET(_xlpm.x,$B161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5.3191315006416662E-2</v>
      </c>
      <c r="K161" s="24">
        <f>IFERROR(($C$15-F161)/I161,"")</f>
        <v>-1.0910566638059269</v>
      </c>
      <c r="L161" s="24" t="str">
        <f>IF(AND(ISNUMBER(K161),N(K161)&gt;0),H161+K161*J161,"")</f>
        <v/>
      </c>
      <c r="M161" s="24">
        <f>IF(ISNUMBER(L161),ABS(L161-$C$16),1000000000)</f>
        <v>1000000000</v>
      </c>
    </row>
    <row r="162" spans="1:13" x14ac:dyDescent="0.3">
      <c r="A162" s="24">
        <f>A161+0.01</f>
        <v>1.340000000000001</v>
      </c>
      <c r="B162" s="20">
        <f>A162*$C$5</f>
        <v>1005.0000000000007</v>
      </c>
      <c r="C162" s="20">
        <f>MIN(0.8*B162,$C$5)</f>
        <v>750</v>
      </c>
      <c r="D162" s="24">
        <f>ACOS(MAX(-1,($C$7-C162)/$C$7))</f>
        <v>3.1415926535897931</v>
      </c>
      <c r="E162" s="20">
        <f>$C$7^2*(D162-SIN(D162)*COS(D162))</f>
        <v>441786.46691106464</v>
      </c>
      <c r="F162" s="24">
        <f>E162/$C$9</f>
        <v>1</v>
      </c>
      <c r="G162" s="16">
        <f>IF(E162&gt;0,2*$C$7^3*SIN(D162)^3/(3*E162),0)</f>
        <v>1.4633772056161843E-46</v>
      </c>
      <c r="H162" s="24">
        <f>F162*G162/$C$5</f>
        <v>1.9511696074882456E-49</v>
      </c>
      <c r="I162" s="24" cm="1">
        <f t="array" ref="I162">_xlfn.LET(_xlpm.x,$B162,_xlpm.dep,$H$6:$H$29,_xlpm.e,IF(_xlpm.x&lt;=$C$5,$C$12*(_xlpm.x-_xlpm.dep)/_xlpm.x,$C$13*(_xlpm.x-_xlpm.dep)/(_xlpm.x-3*$C$5/7))/$C$14,_xlpm.s,(_xlpm.e&gt;=1)*1+(_xlpm.e&lt;=-1)*(-1)+(ABS(_xlpm.e)&lt;1)*_xlpm.e,AVERAGE(_xlpm.s))</f>
        <v>0.79379781598913068</v>
      </c>
      <c r="J162" s="24" cm="1">
        <f t="array" ref="J162">_xlfn.LET(_xlpm.x,$B162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5.2704354269872133E-2</v>
      </c>
      <c r="K162" s="24">
        <f>IFERROR(($C$15-F162)/I162,"")</f>
        <v>-1.0886749301748508</v>
      </c>
      <c r="L162" s="24" t="str">
        <f>IF(AND(ISNUMBER(K162),N(K162)&gt;0),H162+K162*J162,"")</f>
        <v/>
      </c>
      <c r="M162" s="24">
        <f>IF(ISNUMBER(L162),ABS(L162-$C$16),1000000000)</f>
        <v>1000000000</v>
      </c>
    </row>
    <row r="163" spans="1:13" x14ac:dyDescent="0.3">
      <c r="A163" s="24">
        <f>A162+0.01</f>
        <v>1.350000000000001</v>
      </c>
      <c r="B163" s="20">
        <f>A163*$C$5</f>
        <v>1012.5000000000007</v>
      </c>
      <c r="C163" s="20">
        <f>MIN(0.8*B163,$C$5)</f>
        <v>750</v>
      </c>
      <c r="D163" s="24">
        <f>ACOS(MAX(-1,($C$7-C163)/$C$7))</f>
        <v>3.1415926535897931</v>
      </c>
      <c r="E163" s="20">
        <f>$C$7^2*(D163-SIN(D163)*COS(D163))</f>
        <v>441786.46691106464</v>
      </c>
      <c r="F163" s="24">
        <f>E163/$C$9</f>
        <v>1</v>
      </c>
      <c r="G163" s="16">
        <f>IF(E163&gt;0,2*$C$7^3*SIN(D163)^3/(3*E163),0)</f>
        <v>1.4633772056161843E-46</v>
      </c>
      <c r="H163" s="24">
        <f>F163*G163/$C$5</f>
        <v>1.9511696074882456E-49</v>
      </c>
      <c r="I163" s="24" cm="1">
        <f t="array" ref="I163">_xlfn.LET(_xlpm.x,$B163,_xlpm.dep,$H$6:$H$29,_xlpm.e,IF(_xlpm.x&lt;=$C$5,$C$12*(_xlpm.x-_xlpm.dep)/_xlpm.x,$C$13*(_xlpm.x-_xlpm.dep)/(_xlpm.x-3*$C$5/7))/$C$14,_xlpm.s,(_xlpm.e&gt;=1)*1+(_xlpm.e&lt;=-1)*(-1)+(ABS(_xlpm.e)&lt;1)*_xlpm.e,AVERAGE(_xlpm.s))</f>
        <v>0.79549303349002365</v>
      </c>
      <c r="J163" s="24" cm="1">
        <f t="array" ref="J163">_xlfn.LET(_xlpm.x,$B163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5.2227963223733215E-2</v>
      </c>
      <c r="K163" s="24">
        <f>IFERROR(($C$15-F163)/I163,"")</f>
        <v>-1.0863549340005048</v>
      </c>
      <c r="L163" s="24" t="str">
        <f>IF(AND(ISNUMBER(K163),N(K163)&gt;0),H163+K163*J163,"")</f>
        <v/>
      </c>
      <c r="M163" s="24">
        <f>IF(ISNUMBER(L163),ABS(L163-$C$16),1000000000)</f>
        <v>1000000000</v>
      </c>
    </row>
    <row r="164" spans="1:13" x14ac:dyDescent="0.3">
      <c r="A164" s="24">
        <f>A163+0.01</f>
        <v>1.360000000000001</v>
      </c>
      <c r="B164" s="20">
        <f>A164*$C$5</f>
        <v>1020.0000000000008</v>
      </c>
      <c r="C164" s="20">
        <f>MIN(0.8*B164,$C$5)</f>
        <v>750</v>
      </c>
      <c r="D164" s="24">
        <f>ACOS(MAX(-1,($C$7-C164)/$C$7))</f>
        <v>3.1415926535897931</v>
      </c>
      <c r="E164" s="20">
        <f>$C$7^2*(D164-SIN(D164)*COS(D164))</f>
        <v>441786.46691106464</v>
      </c>
      <c r="F164" s="24">
        <f>E164/$C$9</f>
        <v>1</v>
      </c>
      <c r="G164" s="16">
        <f>IF(E164&gt;0,2*$C$7^3*SIN(D164)^3/(3*E164),0)</f>
        <v>1.4633772056161843E-46</v>
      </c>
      <c r="H164" s="24">
        <f>F164*G164/$C$5</f>
        <v>1.9511696074882456E-49</v>
      </c>
      <c r="I164" s="24" cm="1">
        <f t="array" ref="I164">_xlfn.LET(_xlpm.x,$B164,_xlpm.dep,$H$6:$H$29,_xlpm.e,IF(_xlpm.x&lt;=$C$5,$C$12*(_xlpm.x-_xlpm.dep)/_xlpm.x,$C$13*(_xlpm.x-_xlpm.dep)/(_xlpm.x-3*$C$5/7))/$C$14,_xlpm.s,(_xlpm.e&gt;=1)*1+(_xlpm.e&lt;=-1)*(-1)+(ABS(_xlpm.e)&lt;1)*_xlpm.e,AVERAGE(_xlpm.s))</f>
        <v>0.79715185061513083</v>
      </c>
      <c r="J164" s="24" cm="1">
        <f t="array" ref="J164">_xlfn.LET(_xlpm.x,$B164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5.1761801433186226E-2</v>
      </c>
      <c r="K164" s="24">
        <f>IFERROR(($C$15-F164)/I164,"")</f>
        <v>-1.0840943055304408</v>
      </c>
      <c r="L164" s="24" t="str">
        <f>IF(AND(ISNUMBER(K164),N(K164)&gt;0),H164+K164*J164,"")</f>
        <v/>
      </c>
      <c r="M164" s="24">
        <f>IF(ISNUMBER(L164),ABS(L164-$C$16),1000000000)</f>
        <v>1000000000</v>
      </c>
    </row>
    <row r="165" spans="1:13" x14ac:dyDescent="0.3">
      <c r="A165" s="24">
        <f>A164+0.01</f>
        <v>1.370000000000001</v>
      </c>
      <c r="B165" s="20">
        <f>A165*$C$5</f>
        <v>1027.5000000000007</v>
      </c>
      <c r="C165" s="20">
        <f>MIN(0.8*B165,$C$5)</f>
        <v>750</v>
      </c>
      <c r="D165" s="24">
        <f>ACOS(MAX(-1,($C$7-C165)/$C$7))</f>
        <v>3.1415926535897931</v>
      </c>
      <c r="E165" s="20">
        <f>$C$7^2*(D165-SIN(D165)*COS(D165))</f>
        <v>441786.46691106464</v>
      </c>
      <c r="F165" s="24">
        <f>E165/$C$9</f>
        <v>1</v>
      </c>
      <c r="G165" s="16">
        <f>IF(E165&gt;0,2*$C$7^3*SIN(D165)^3/(3*E165),0)</f>
        <v>1.4633772056161843E-46</v>
      </c>
      <c r="H165" s="24">
        <f>F165*G165/$C$5</f>
        <v>1.9511696074882456E-49</v>
      </c>
      <c r="I165" s="24" cm="1">
        <f t="array" ref="I165">_xlfn.LET(_xlpm.x,$B165,_xlpm.dep,$H$6:$H$29,_xlpm.e,IF(_xlpm.x&lt;=$C$5,$C$12*(_xlpm.x-_xlpm.dep)/_xlpm.x,$C$13*(_xlpm.x-_xlpm.dep)/(_xlpm.x-3*$C$5/7))/$C$14,_xlpm.s,(_xlpm.e&gt;=1)*1+(_xlpm.e&lt;=-1)*(-1)+(ABS(_xlpm.e)&lt;1)*_xlpm.e,AVERAGE(_xlpm.s))</f>
        <v>0.79877542731572893</v>
      </c>
      <c r="J165" s="24" cm="1">
        <f t="array" ref="J165">_xlfn.LET(_xlpm.x,$B165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5.1305542928022675E-2</v>
      </c>
      <c r="K165" s="24">
        <f>IFERROR(($C$15-F165)/I165,"")</f>
        <v>-1.0818907947619323</v>
      </c>
      <c r="L165" s="24" t="str">
        <f>IF(AND(ISNUMBER(K165),N(K165)&gt;0),H165+K165*J165,"")</f>
        <v/>
      </c>
      <c r="M165" s="24">
        <f>IF(ISNUMBER(L165),ABS(L165-$C$16),1000000000)</f>
        <v>1000000000</v>
      </c>
    </row>
    <row r="166" spans="1:13" x14ac:dyDescent="0.3">
      <c r="A166" s="24">
        <f>A165+0.01</f>
        <v>1.380000000000001</v>
      </c>
      <c r="B166" s="20">
        <f>A166*$C$5</f>
        <v>1035.0000000000007</v>
      </c>
      <c r="C166" s="20">
        <f>MIN(0.8*B166,$C$5)</f>
        <v>750</v>
      </c>
      <c r="D166" s="24">
        <f>ACOS(MAX(-1,($C$7-C166)/$C$7))</f>
        <v>3.1415926535897931</v>
      </c>
      <c r="E166" s="20">
        <f>$C$7^2*(D166-SIN(D166)*COS(D166))</f>
        <v>441786.46691106464</v>
      </c>
      <c r="F166" s="24">
        <f>E166/$C$9</f>
        <v>1</v>
      </c>
      <c r="G166" s="16">
        <f>IF(E166&gt;0,2*$C$7^3*SIN(D166)^3/(3*E166),0)</f>
        <v>1.4633772056161843E-46</v>
      </c>
      <c r="H166" s="24">
        <f>F166*G166/$C$5</f>
        <v>1.9511696074882456E-49</v>
      </c>
      <c r="I166" s="24" cm="1">
        <f t="array" ref="I166">_xlfn.LET(_xlpm.x,$B166,_xlpm.dep,$H$6:$H$29,_xlpm.e,IF(_xlpm.x&lt;=$C$5,$C$12*(_xlpm.x-_xlpm.dep)/_xlpm.x,$C$13*(_xlpm.x-_xlpm.dep)/(_xlpm.x-3*$C$5/7))/$C$14,_xlpm.s,(_xlpm.e&gt;=1)*1+(_xlpm.e&lt;=-1)*(-1)+(ABS(_xlpm.e)&lt;1)*_xlpm.e,AVERAGE(_xlpm.s))</f>
        <v>0.80036487477637441</v>
      </c>
      <c r="J166" s="24" cm="1">
        <f t="array" ref="J166">_xlfn.LET(_xlpm.x,$B166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5.0858875442487177E-2</v>
      </c>
      <c r="K166" s="24">
        <f>IFERROR(($C$15-F166)/I166,"")</f>
        <v>-1.0797422639722589</v>
      </c>
      <c r="L166" s="24" t="str">
        <f>IF(AND(ISNUMBER(K166),N(K166)&gt;0),H166+K166*J166,"")</f>
        <v/>
      </c>
      <c r="M166" s="24">
        <f>IF(ISNUMBER(L166),ABS(L166-$C$16),1000000000)</f>
        <v>1000000000</v>
      </c>
    </row>
    <row r="167" spans="1:13" x14ac:dyDescent="0.3">
      <c r="A167" s="24">
        <f>A166+0.01</f>
        <v>1.390000000000001</v>
      </c>
      <c r="B167" s="20">
        <f>A167*$C$5</f>
        <v>1042.5000000000007</v>
      </c>
      <c r="C167" s="20">
        <f>MIN(0.8*B167,$C$5)</f>
        <v>750</v>
      </c>
      <c r="D167" s="24">
        <f>ACOS(MAX(-1,($C$7-C167)/$C$7))</f>
        <v>3.1415926535897931</v>
      </c>
      <c r="E167" s="20">
        <f>$C$7^2*(D167-SIN(D167)*COS(D167))</f>
        <v>441786.46691106464</v>
      </c>
      <c r="F167" s="24">
        <f>E167/$C$9</f>
        <v>1</v>
      </c>
      <c r="G167" s="16">
        <f>IF(E167&gt;0,2*$C$7^3*SIN(D167)^3/(3*E167),0)</f>
        <v>1.4633772056161843E-46</v>
      </c>
      <c r="H167" s="24">
        <f>F167*G167/$C$5</f>
        <v>1.9511696074882456E-49</v>
      </c>
      <c r="I167" s="24" cm="1">
        <f t="array" ref="I167">_xlfn.LET(_xlpm.x,$B167,_xlpm.dep,$H$6:$H$29,_xlpm.e,IF(_xlpm.x&lt;=$C$5,$C$12*(_xlpm.x-_xlpm.dep)/_xlpm.x,$C$13*(_xlpm.x-_xlpm.dep)/(_xlpm.x-3*$C$5/7))/$C$14,_xlpm.s,(_xlpm.e&gt;=1)*1+(_xlpm.e&lt;=-1)*(-1)+(ABS(_xlpm.e)&lt;1)*_xlpm.e,AVERAGE(_xlpm.s))</f>
        <v>0.80192125795106295</v>
      </c>
      <c r="J167" s="24" cm="1">
        <f t="array" ref="J167">_xlfn.LET(_xlpm.x,$B167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5.0421499702564578E-2</v>
      </c>
      <c r="K167" s="24">
        <f>IFERROR(($C$15-F167)/I167,"")</f>
        <v>-1.0776466808012375</v>
      </c>
      <c r="L167" s="24" t="str">
        <f>IF(AND(ISNUMBER(K167),N(K167)&gt;0),H167+K167*J167,"")</f>
        <v/>
      </c>
      <c r="M167" s="24">
        <f>IF(ISNUMBER(L167),ABS(L167-$C$16),1000000000)</f>
        <v>1000000000</v>
      </c>
    </row>
    <row r="168" spans="1:13" x14ac:dyDescent="0.3">
      <c r="A168" s="24">
        <f>A167+0.01</f>
        <v>1.400000000000001</v>
      </c>
      <c r="B168" s="20">
        <f>A168*$C$5</f>
        <v>1050.0000000000007</v>
      </c>
      <c r="C168" s="20">
        <f>MIN(0.8*B168,$C$5)</f>
        <v>750</v>
      </c>
      <c r="D168" s="24">
        <f>ACOS(MAX(-1,($C$7-C168)/$C$7))</f>
        <v>3.1415926535897931</v>
      </c>
      <c r="E168" s="20">
        <f>$C$7^2*(D168-SIN(D168)*COS(D168))</f>
        <v>441786.46691106464</v>
      </c>
      <c r="F168" s="24">
        <f>E168/$C$9</f>
        <v>1</v>
      </c>
      <c r="G168" s="16">
        <f>IF(E168&gt;0,2*$C$7^3*SIN(D168)^3/(3*E168),0)</f>
        <v>1.4633772056161843E-46</v>
      </c>
      <c r="H168" s="24">
        <f>F168*G168/$C$5</f>
        <v>1.9511696074882456E-49</v>
      </c>
      <c r="I168" s="24" cm="1">
        <f t="array" ref="I168">_xlfn.LET(_xlpm.x,$B168,_xlpm.dep,$H$6:$H$29,_xlpm.e,IF(_xlpm.x&lt;=$C$5,$C$12*(_xlpm.x-_xlpm.dep)/_xlpm.x,$C$13*(_xlpm.x-_xlpm.dep)/(_xlpm.x-3*$C$5/7))/$C$14,_xlpm.s,(_xlpm.e&gt;=1)*1+(_xlpm.e&lt;=-1)*(-1)+(ABS(_xlpm.e)&lt;1)*_xlpm.e,AVERAGE(_xlpm.s))</f>
        <v>0.80344559794274317</v>
      </c>
      <c r="J168" s="24" cm="1">
        <f t="array" ref="J168">_xlfn.LET(_xlpm.x,$B168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4.9993128757287453E-2</v>
      </c>
      <c r="K168" s="24">
        <f>IFERROR(($C$15-F168)/I168,"")</f>
        <v>-1.0756021118389418</v>
      </c>
      <c r="L168" s="24" t="str">
        <f>IF(AND(ISNUMBER(K168),N(K168)&gt;0),H168+K168*J168,"")</f>
        <v/>
      </c>
      <c r="M168" s="24">
        <f>IF(ISNUMBER(L168),ABS(L168-$C$16),1000000000)</f>
        <v>1000000000</v>
      </c>
    </row>
    <row r="169" spans="1:13" x14ac:dyDescent="0.3">
      <c r="A169" s="24">
        <f>A168+0.01</f>
        <v>1.410000000000001</v>
      </c>
      <c r="B169" s="20">
        <f>A169*$C$5</f>
        <v>1057.5000000000007</v>
      </c>
      <c r="C169" s="20">
        <f>MIN(0.8*B169,$C$5)</f>
        <v>750</v>
      </c>
      <c r="D169" s="24">
        <f>ACOS(MAX(-1,($C$7-C169)/$C$7))</f>
        <v>3.1415926535897931</v>
      </c>
      <c r="E169" s="20">
        <f>$C$7^2*(D169-SIN(D169)*COS(D169))</f>
        <v>441786.46691106464</v>
      </c>
      <c r="F169" s="24">
        <f>E169/$C$9</f>
        <v>1</v>
      </c>
      <c r="G169" s="16">
        <f>IF(E169&gt;0,2*$C$7^3*SIN(D169)^3/(3*E169),0)</f>
        <v>1.4633772056161843E-46</v>
      </c>
      <c r="H169" s="24">
        <f>F169*G169/$C$5</f>
        <v>1.9511696074882456E-49</v>
      </c>
      <c r="I169" s="24" cm="1">
        <f t="array" ref="I169">_xlfn.LET(_xlpm.x,$B169,_xlpm.dep,$H$6:$H$29,_xlpm.e,IF(_xlpm.x&lt;=$C$5,$C$12*(_xlpm.x-_xlpm.dep)/_xlpm.x,$C$13*(_xlpm.x-_xlpm.dep)/(_xlpm.x-3*$C$5/7))/$C$14,_xlpm.s,(_xlpm.e&gt;=1)*1+(_xlpm.e&lt;=-1)*(-1)+(ABS(_xlpm.e)&lt;1)*_xlpm.e,AVERAGE(_xlpm.s))</f>
        <v>0.80493887423735844</v>
      </c>
      <c r="J169" s="24" cm="1">
        <f t="array" ref="J169">_xlfn.LET(_xlpm.x,$B169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4.9573487350924275E-2</v>
      </c>
      <c r="K169" s="24">
        <f>IFERROR(($C$15-F169)/I169,"")</f>
        <v>-1.0736067166760868</v>
      </c>
      <c r="L169" s="24" t="str">
        <f>IF(AND(ISNUMBER(K169),N(K169)&gt;0),H169+K169*J169,"")</f>
        <v/>
      </c>
      <c r="M169" s="24">
        <f>IF(ISNUMBER(L169),ABS(L169-$C$16),1000000000)</f>
        <v>1000000000</v>
      </c>
    </row>
    <row r="170" spans="1:13" x14ac:dyDescent="0.3">
      <c r="A170" s="24">
        <f>A169+0.01</f>
        <v>1.420000000000001</v>
      </c>
      <c r="B170" s="20">
        <f>A170*$C$5</f>
        <v>1065.0000000000007</v>
      </c>
      <c r="C170" s="20">
        <f>MIN(0.8*B170,$C$5)</f>
        <v>750</v>
      </c>
      <c r="D170" s="24">
        <f>ACOS(MAX(-1,($C$7-C170)/$C$7))</f>
        <v>3.1415926535897931</v>
      </c>
      <c r="E170" s="20">
        <f>$C$7^2*(D170-SIN(D170)*COS(D170))</f>
        <v>441786.46691106464</v>
      </c>
      <c r="F170" s="24">
        <f>E170/$C$9</f>
        <v>1</v>
      </c>
      <c r="G170" s="16">
        <f>IF(E170&gt;0,2*$C$7^3*SIN(D170)^3/(3*E170),0)</f>
        <v>1.4633772056161843E-46</v>
      </c>
      <c r="H170" s="24">
        <f>F170*G170/$C$5</f>
        <v>1.9511696074882456E-49</v>
      </c>
      <c r="I170" s="24" cm="1">
        <f t="array" ref="I170">_xlfn.LET(_xlpm.x,$B170,_xlpm.dep,$H$6:$H$29,_xlpm.e,IF(_xlpm.x&lt;=$C$5,$C$12*(_xlpm.x-_xlpm.dep)/_xlpm.x,$C$13*(_xlpm.x-_xlpm.dep)/(_xlpm.x-3*$C$5/7))/$C$14,_xlpm.s,(_xlpm.e&gt;=1)*1+(_xlpm.e&lt;=-1)*(-1)+(ABS(_xlpm.e)&lt;1)*_xlpm.e,AVERAGE(_xlpm.s))</f>
        <v>0.8064020268026878</v>
      </c>
      <c r="J170" s="24" cm="1">
        <f t="array" ref="J170">_xlfn.LET(_xlpm.x,$B170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4.9162311333162088E-2</v>
      </c>
      <c r="K170" s="24">
        <f>IFERROR(($C$15-F170)/I170,"")</f>
        <v>-1.0716587423785919</v>
      </c>
      <c r="L170" s="24" t="str">
        <f>IF(AND(ISNUMBER(K170),N(K170)&gt;0),H170+K170*J170,"")</f>
        <v/>
      </c>
      <c r="M170" s="24">
        <f>IF(ISNUMBER(L170),ABS(L170-$C$16),1000000000)</f>
        <v>1000000000</v>
      </c>
    </row>
    <row r="171" spans="1:13" x14ac:dyDescent="0.3">
      <c r="A171" s="24">
        <f>A170+0.01</f>
        <v>1.430000000000001</v>
      </c>
      <c r="B171" s="20">
        <f>A171*$C$5</f>
        <v>1072.5000000000007</v>
      </c>
      <c r="C171" s="20">
        <f>MIN(0.8*B171,$C$5)</f>
        <v>750</v>
      </c>
      <c r="D171" s="24">
        <f>ACOS(MAX(-1,($C$7-C171)/$C$7))</f>
        <v>3.1415926535897931</v>
      </c>
      <c r="E171" s="20">
        <f>$C$7^2*(D171-SIN(D171)*COS(D171))</f>
        <v>441786.46691106464</v>
      </c>
      <c r="F171" s="24">
        <f>E171/$C$9</f>
        <v>1</v>
      </c>
      <c r="G171" s="16">
        <f>IF(E171&gt;0,2*$C$7^3*SIN(D171)^3/(3*E171),0)</f>
        <v>1.4633772056161843E-46</v>
      </c>
      <c r="H171" s="24">
        <f>F171*G171/$C$5</f>
        <v>1.9511696074882456E-49</v>
      </c>
      <c r="I171" s="24" cm="1">
        <f t="array" ref="I171">_xlfn.LET(_xlpm.x,$B171,_xlpm.dep,$H$6:$H$29,_xlpm.e,IF(_xlpm.x&lt;=$C$5,$C$12*(_xlpm.x-_xlpm.dep)/_xlpm.x,$C$13*(_xlpm.x-_xlpm.dep)/(_xlpm.x-3*$C$5/7))/$C$14,_xlpm.s,(_xlpm.e&gt;=1)*1+(_xlpm.e&lt;=-1)*(-1)+(ABS(_xlpm.e)&lt;1)*_xlpm.e,AVERAGE(_xlpm.s))</f>
        <v>0.80783595806143405</v>
      </c>
      <c r="J171" s="24" cm="1">
        <f t="array" ref="J171">_xlfn.LET(_xlpm.x,$B171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4.8759347104627662E-2</v>
      </c>
      <c r="K171" s="24">
        <f>IFERROR(($C$15-F171)/I171,"")</f>
        <v>-1.0697565183514604</v>
      </c>
      <c r="L171" s="24" t="str">
        <f>IF(AND(ISNUMBER(K171),N(K171)&gt;0),H171+K171*J171,"")</f>
        <v/>
      </c>
      <c r="M171" s="24">
        <f>IF(ISNUMBER(L171),ABS(L171-$C$16),1000000000)</f>
        <v>1000000000</v>
      </c>
    </row>
    <row r="172" spans="1:13" x14ac:dyDescent="0.3">
      <c r="A172" s="24">
        <f>A171+0.01</f>
        <v>1.4400000000000011</v>
      </c>
      <c r="B172" s="20">
        <f>A172*$C$5</f>
        <v>1080.0000000000007</v>
      </c>
      <c r="C172" s="20">
        <f>MIN(0.8*B172,$C$5)</f>
        <v>750</v>
      </c>
      <c r="D172" s="24">
        <f>ACOS(MAX(-1,($C$7-C172)/$C$7))</f>
        <v>3.1415926535897931</v>
      </c>
      <c r="E172" s="20">
        <f>$C$7^2*(D172-SIN(D172)*COS(D172))</f>
        <v>441786.46691106464</v>
      </c>
      <c r="F172" s="24">
        <f>E172/$C$9</f>
        <v>1</v>
      </c>
      <c r="G172" s="16">
        <f>IF(E172&gt;0,2*$C$7^3*SIN(D172)^3/(3*E172),0)</f>
        <v>1.4633772056161843E-46</v>
      </c>
      <c r="H172" s="24">
        <f>F172*G172/$C$5</f>
        <v>1.9511696074882456E-49</v>
      </c>
      <c r="I172" s="24" cm="1">
        <f t="array" ref="I172">_xlfn.LET(_xlpm.x,$B172,_xlpm.dep,$H$6:$H$29,_xlpm.e,IF(_xlpm.x&lt;=$C$5,$C$12*(_xlpm.x-_xlpm.dep)/_xlpm.x,$C$13*(_xlpm.x-_xlpm.dep)/(_xlpm.x-3*$C$5/7))/$C$14,_xlpm.s,(_xlpm.e&gt;=1)*1+(_xlpm.e&lt;=-1)*(-1)+(ABS(_xlpm.e)&lt;1)*_xlpm.e,AVERAGE(_xlpm.s))</f>
        <v>0.80924153474726734</v>
      </c>
      <c r="J172" s="24" cm="1">
        <f t="array" ref="J172">_xlfn.LET(_xlpm.x,$B172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4.8364351095301565E-2</v>
      </c>
      <c r="K172" s="24">
        <f>IFERROR(($C$15-F172)/I172,"")</f>
        <v>-1.0678984515603351</v>
      </c>
      <c r="L172" s="24" t="str">
        <f>IF(AND(ISNUMBER(K172),N(K172)&gt;0),H172+K172*J172,"")</f>
        <v/>
      </c>
      <c r="M172" s="24">
        <f>IF(ISNUMBER(L172),ABS(L172-$C$16),1000000000)</f>
        <v>1000000000</v>
      </c>
    </row>
    <row r="173" spans="1:13" x14ac:dyDescent="0.3">
      <c r="A173" s="24">
        <f>A172+0.01</f>
        <v>1.4500000000000011</v>
      </c>
      <c r="B173" s="20">
        <f>A173*$C$5</f>
        <v>1087.5000000000009</v>
      </c>
      <c r="C173" s="20">
        <f>MIN(0.8*B173,$C$5)</f>
        <v>750</v>
      </c>
      <c r="D173" s="24">
        <f>ACOS(MAX(-1,($C$7-C173)/$C$7))</f>
        <v>3.1415926535897931</v>
      </c>
      <c r="E173" s="20">
        <f>$C$7^2*(D173-SIN(D173)*COS(D173))</f>
        <v>441786.46691106464</v>
      </c>
      <c r="F173" s="24">
        <f>E173/$C$9</f>
        <v>1</v>
      </c>
      <c r="G173" s="16">
        <f>IF(E173&gt;0,2*$C$7^3*SIN(D173)^3/(3*E173),0)</f>
        <v>1.4633772056161843E-46</v>
      </c>
      <c r="H173" s="24">
        <f>F173*G173/$C$5</f>
        <v>1.9511696074882456E-49</v>
      </c>
      <c r="I173" s="24" cm="1">
        <f t="array" ref="I173">_xlfn.LET(_xlpm.x,$B173,_xlpm.dep,$H$6:$H$29,_xlpm.e,IF(_xlpm.x&lt;=$C$5,$C$12*(_xlpm.x-_xlpm.dep)/_xlpm.x,$C$13*(_xlpm.x-_xlpm.dep)/(_xlpm.x-3*$C$5/7))/$C$14,_xlpm.s,(_xlpm.e&gt;=1)*1+(_xlpm.e&lt;=-1)*(-1)+(ABS(_xlpm.e)&lt;1)*_xlpm.e,AVERAGE(_xlpm.s))</f>
        <v>0.81061958965183967</v>
      </c>
      <c r="J173" s="24" cm="1">
        <f t="array" ref="J173">_xlfn.LET(_xlpm.x,$B173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4.7977089273570632E-2</v>
      </c>
      <c r="K173" s="24">
        <f>IFERROR(($C$15-F173)/I173,"")</f>
        <v>-1.0660830220820148</v>
      </c>
      <c r="L173" s="24" t="str">
        <f>IF(AND(ISNUMBER(K173),N(K173)&gt;0),H173+K173*J173,"")</f>
        <v/>
      </c>
      <c r="M173" s="24">
        <f>IF(ISNUMBER(L173),ABS(L173-$C$16),1000000000)</f>
        <v>1000000000</v>
      </c>
    </row>
    <row r="174" spans="1:13" x14ac:dyDescent="0.3">
      <c r="A174" s="24">
        <f>A173+0.01</f>
        <v>1.4600000000000011</v>
      </c>
      <c r="B174" s="20">
        <f>A174*$C$5</f>
        <v>1095.0000000000009</v>
      </c>
      <c r="C174" s="20">
        <f>MIN(0.8*B174,$C$5)</f>
        <v>750</v>
      </c>
      <c r="D174" s="24">
        <f>ACOS(MAX(-1,($C$7-C174)/$C$7))</f>
        <v>3.1415926535897931</v>
      </c>
      <c r="E174" s="20">
        <f>$C$7^2*(D174-SIN(D174)*COS(D174))</f>
        <v>441786.46691106464</v>
      </c>
      <c r="F174" s="24">
        <f>E174/$C$9</f>
        <v>1</v>
      </c>
      <c r="G174" s="16">
        <f>IF(E174&gt;0,2*$C$7^3*SIN(D174)^3/(3*E174),0)</f>
        <v>1.4633772056161843E-46</v>
      </c>
      <c r="H174" s="24">
        <f>F174*G174/$C$5</f>
        <v>1.9511696074882456E-49</v>
      </c>
      <c r="I174" s="24" cm="1">
        <f t="array" ref="I174">_xlfn.LET(_xlpm.x,$B174,_xlpm.dep,$H$6:$H$29,_xlpm.e,IF(_xlpm.x&lt;=$C$5,$C$12*(_xlpm.x-_xlpm.dep)/_xlpm.x,$C$13*(_xlpm.x-_xlpm.dep)/(_xlpm.x-3*$C$5/7))/$C$14,_xlpm.s,(_xlpm.e&gt;=1)*1+(_xlpm.e&lt;=-1)*(-1)+(ABS(_xlpm.e)&lt;1)*_xlpm.e,AVERAGE(_xlpm.s))</f>
        <v>0.81197092327017339</v>
      </c>
      <c r="J174" s="24" cm="1">
        <f t="array" ref="J174">_xlfn.LET(_xlpm.x,$B174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4.7597336683840023E-2</v>
      </c>
      <c r="K174" s="24">
        <f>IFERROR(($C$15-F174)/I174,"")</f>
        <v>-1.0643087789578003</v>
      </c>
      <c r="L174" s="24" t="str">
        <f>IF(AND(ISNUMBER(K174),N(K174)&gt;0),H174+K174*J174,"")</f>
        <v/>
      </c>
      <c r="M174" s="24">
        <f>IF(ISNUMBER(L174),ABS(L174-$C$16),1000000000)</f>
        <v>1000000000</v>
      </c>
    </row>
    <row r="175" spans="1:13" x14ac:dyDescent="0.3">
      <c r="A175" s="24">
        <f>A174+0.01</f>
        <v>1.4700000000000011</v>
      </c>
      <c r="B175" s="20">
        <f>A175*$C$5</f>
        <v>1102.5000000000009</v>
      </c>
      <c r="C175" s="20">
        <f>MIN(0.8*B175,$C$5)</f>
        <v>750</v>
      </c>
      <c r="D175" s="24">
        <f>ACOS(MAX(-1,($C$7-C175)/$C$7))</f>
        <v>3.1415926535897931</v>
      </c>
      <c r="E175" s="20">
        <f>$C$7^2*(D175-SIN(D175)*COS(D175))</f>
        <v>441786.46691106464</v>
      </c>
      <c r="F175" s="24">
        <f>E175/$C$9</f>
        <v>1</v>
      </c>
      <c r="G175" s="16">
        <f>IF(E175&gt;0,2*$C$7^3*SIN(D175)^3/(3*E175),0)</f>
        <v>1.4633772056161843E-46</v>
      </c>
      <c r="H175" s="24">
        <f>F175*G175/$C$5</f>
        <v>1.9511696074882456E-49</v>
      </c>
      <c r="I175" s="24" cm="1">
        <f t="array" ref="I175">_xlfn.LET(_xlpm.x,$B175,_xlpm.dep,$H$6:$H$29,_xlpm.e,IF(_xlpm.x&lt;=$C$5,$C$12*(_xlpm.x-_xlpm.dep)/_xlpm.x,$C$13*(_xlpm.x-_xlpm.dep)/(_xlpm.x-3*$C$5/7))/$C$14,_xlpm.s,(_xlpm.e&gt;=1)*1+(_xlpm.e&lt;=-1)*(-1)+(ABS(_xlpm.e)&lt;1)*_xlpm.e,AVERAGE(_xlpm.s))</f>
        <v>0.81329630535125563</v>
      </c>
      <c r="J175" s="24" cm="1">
        <f t="array" ref="J175">_xlfn.LET(_xlpm.x,$B175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4.7224877010784656E-2</v>
      </c>
      <c r="K175" s="24">
        <f>IFERROR(($C$15-F175)/I175,"")</f>
        <v>-1.0625743363258988</v>
      </c>
      <c r="L175" s="24" t="str">
        <f>IF(AND(ISNUMBER(K175),N(K175)&gt;0),H175+K175*J175,"")</f>
        <v/>
      </c>
      <c r="M175" s="24">
        <f>IF(ISNUMBER(L175),ABS(L175-$C$16),1000000000)</f>
        <v>1000000000</v>
      </c>
    </row>
    <row r="176" spans="1:13" x14ac:dyDescent="0.3">
      <c r="A176" s="24">
        <f>A175+0.01</f>
        <v>1.4800000000000011</v>
      </c>
      <c r="B176" s="20">
        <f>A176*$C$5</f>
        <v>1110.0000000000009</v>
      </c>
      <c r="C176" s="20">
        <f>MIN(0.8*B176,$C$5)</f>
        <v>750</v>
      </c>
      <c r="D176" s="24">
        <f>ACOS(MAX(-1,($C$7-C176)/$C$7))</f>
        <v>3.1415926535897931</v>
      </c>
      <c r="E176" s="20">
        <f>$C$7^2*(D176-SIN(D176)*COS(D176))</f>
        <v>441786.46691106464</v>
      </c>
      <c r="F176" s="24">
        <f>E176/$C$9</f>
        <v>1</v>
      </c>
      <c r="G176" s="16">
        <f>IF(E176&gt;0,2*$C$7^3*SIN(D176)^3/(3*E176),0)</f>
        <v>1.4633772056161843E-46</v>
      </c>
      <c r="H176" s="24">
        <f>F176*G176/$C$5</f>
        <v>1.9511696074882456E-49</v>
      </c>
      <c r="I176" s="24" cm="1">
        <f t="array" ref="I176">_xlfn.LET(_xlpm.x,$B176,_xlpm.dep,$H$6:$H$29,_xlpm.e,IF(_xlpm.x&lt;=$C$5,$C$12*(_xlpm.x-_xlpm.dep)/_xlpm.x,$C$13*(_xlpm.x-_xlpm.dep)/(_xlpm.x-3*$C$5/7))/$C$14,_xlpm.s,(_xlpm.e&gt;=1)*1+(_xlpm.e&lt;=-1)*(-1)+(ABS(_xlpm.e)&lt;1)*_xlpm.e,AVERAGE(_xlpm.s))</f>
        <v>0.81459647636014321</v>
      </c>
      <c r="J176" s="24" cm="1">
        <f t="array" ref="J176">_xlfn.LET(_xlpm.x,$B176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4.6859502168466759E-2</v>
      </c>
      <c r="K176" s="24">
        <f>IFERROR(($C$15-F176)/I176,"")</f>
        <v>-1.0608783698112239</v>
      </c>
      <c r="L176" s="24" t="str">
        <f>IF(AND(ISNUMBER(K176),N(K176)&gt;0),H176+K176*J176,"")</f>
        <v/>
      </c>
      <c r="M176" s="24">
        <f>IF(ISNUMBER(L176),ABS(L176-$C$16),1000000000)</f>
        <v>1000000000</v>
      </c>
    </row>
    <row r="177" spans="1:13" x14ac:dyDescent="0.3">
      <c r="A177" s="24">
        <f>A176+0.01</f>
        <v>1.4900000000000011</v>
      </c>
      <c r="B177" s="20">
        <f>A177*$C$5</f>
        <v>1117.5000000000009</v>
      </c>
      <c r="C177" s="20">
        <f>MIN(0.8*B177,$C$5)</f>
        <v>750</v>
      </c>
      <c r="D177" s="24">
        <f>ACOS(MAX(-1,($C$7-C177)/$C$7))</f>
        <v>3.1415926535897931</v>
      </c>
      <c r="E177" s="20">
        <f>$C$7^2*(D177-SIN(D177)*COS(D177))</f>
        <v>441786.46691106464</v>
      </c>
      <c r="F177" s="24">
        <f>E177/$C$9</f>
        <v>1</v>
      </c>
      <c r="G177" s="16">
        <f>IF(E177&gt;0,2*$C$7^3*SIN(D177)^3/(3*E177),0)</f>
        <v>1.4633772056161843E-46</v>
      </c>
      <c r="H177" s="24">
        <f>F177*G177/$C$5</f>
        <v>1.9511696074882456E-49</v>
      </c>
      <c r="I177" s="24" cm="1">
        <f t="array" ref="I177">_xlfn.LET(_xlpm.x,$B177,_xlpm.dep,$H$6:$H$29,_xlpm.e,IF(_xlpm.x&lt;=$C$5,$C$12*(_xlpm.x-_xlpm.dep)/_xlpm.x,$C$13*(_xlpm.x-_xlpm.dep)/(_xlpm.x-3*$C$5/7))/$C$14,_xlpm.s,(_xlpm.e&gt;=1)*1+(_xlpm.e&lt;=-1)*(-1)+(ABS(_xlpm.e)&lt;1)*_xlpm.e,AVERAGE(_xlpm.s))</f>
        <v>0.8158721488574231</v>
      </c>
      <c r="J177" s="24" cm="1">
        <f t="array" ref="J177">_xlfn.LET(_xlpm.x,$B177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4.6501011912679732E-2</v>
      </c>
      <c r="K177" s="24">
        <f>IFERROR(($C$15-F177)/I177,"")</f>
        <v>-1.0592196131528155</v>
      </c>
      <c r="L177" s="24" t="str">
        <f>IF(AND(ISNUMBER(K177),N(K177)&gt;0),H177+K177*J177,"")</f>
        <v/>
      </c>
      <c r="M177" s="24">
        <f>IF(ISNUMBER(L177),ABS(L177-$C$16),1000000000)</f>
        <v>1000000000</v>
      </c>
    </row>
    <row r="178" spans="1:13" x14ac:dyDescent="0.3">
      <c r="A178" s="24">
        <f>A177+0.01</f>
        <v>1.5000000000000011</v>
      </c>
      <c r="B178" s="20">
        <f>A178*$C$5</f>
        <v>1125.0000000000009</v>
      </c>
      <c r="C178" s="20">
        <f>MIN(0.8*B178,$C$5)</f>
        <v>750</v>
      </c>
      <c r="D178" s="24">
        <f>ACOS(MAX(-1,($C$7-C178)/$C$7))</f>
        <v>3.1415926535897931</v>
      </c>
      <c r="E178" s="20">
        <f>$C$7^2*(D178-SIN(D178)*COS(D178))</f>
        <v>441786.46691106464</v>
      </c>
      <c r="F178" s="24">
        <f>E178/$C$9</f>
        <v>1</v>
      </c>
      <c r="G178" s="16">
        <f>IF(E178&gt;0,2*$C$7^3*SIN(D178)^3/(3*E178),0)</f>
        <v>1.4633772056161843E-46</v>
      </c>
      <c r="H178" s="24">
        <f>F178*G178/$C$5</f>
        <v>1.9511696074882456E-49</v>
      </c>
      <c r="I178" s="24" cm="1">
        <f t="array" ref="I178">_xlfn.LET(_xlpm.x,$B178,_xlpm.dep,$H$6:$H$29,_xlpm.e,IF(_xlpm.x&lt;=$C$5,$C$12*(_xlpm.x-_xlpm.dep)/_xlpm.x,$C$13*(_xlpm.x-_xlpm.dep)/(_xlpm.x-3*$C$5/7))/$C$14,_xlpm.s,(_xlpm.e&gt;=1)*1+(_xlpm.e&lt;=-1)*(-1)+(ABS(_xlpm.e)&lt;1)*_xlpm.e,AVERAGE(_xlpm.s))</f>
        <v>0.81712400880142033</v>
      </c>
      <c r="J178" s="24" cm="1">
        <f t="array" ref="J178">_xlfn.LET(_xlpm.x,$B178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4.6149213475000721E-2</v>
      </c>
      <c r="K178" s="24">
        <f>IFERROR(($C$15-F178)/I178,"")</f>
        <v>-1.0575968550508388</v>
      </c>
      <c r="L178" s="24" t="str">
        <f>IF(AND(ISNUMBER(K178),N(K178)&gt;0),H178+K178*J178,"")</f>
        <v/>
      </c>
      <c r="M178" s="24">
        <f>IF(ISNUMBER(L178),ABS(L178-$C$16),1000000000)</f>
        <v>1000000000</v>
      </c>
    </row>
    <row r="179" spans="1:13" x14ac:dyDescent="0.3">
      <c r="A179" s="24">
        <f>A178+0.01</f>
        <v>1.5100000000000011</v>
      </c>
      <c r="B179" s="20">
        <f>A179*$C$5</f>
        <v>1132.5000000000009</v>
      </c>
      <c r="C179" s="20">
        <f>MIN(0.8*B179,$C$5)</f>
        <v>750</v>
      </c>
      <c r="D179" s="24">
        <f>ACOS(MAX(-1,($C$7-C179)/$C$7))</f>
        <v>3.1415926535897931</v>
      </c>
      <c r="E179" s="20">
        <f>$C$7^2*(D179-SIN(D179)*COS(D179))</f>
        <v>441786.46691106464</v>
      </c>
      <c r="F179" s="24">
        <f>E179/$C$9</f>
        <v>1</v>
      </c>
      <c r="G179" s="16">
        <f>IF(E179&gt;0,2*$C$7^3*SIN(D179)^3/(3*E179),0)</f>
        <v>1.4633772056161843E-46</v>
      </c>
      <c r="H179" s="24">
        <f>F179*G179/$C$5</f>
        <v>1.9511696074882456E-49</v>
      </c>
      <c r="I179" s="24" cm="1">
        <f t="array" ref="I179">_xlfn.LET(_xlpm.x,$B179,_xlpm.dep,$H$6:$H$29,_xlpm.e,IF(_xlpm.x&lt;=$C$5,$C$12*(_xlpm.x-_xlpm.dep)/_xlpm.x,$C$13*(_xlpm.x-_xlpm.dep)/(_xlpm.x-3*$C$5/7))/$C$14,_xlpm.s,(_xlpm.e&gt;=1)*1+(_xlpm.e&lt;=-1)*(-1)+(ABS(_xlpm.e)&lt;1)*_xlpm.e,AVERAGE(_xlpm.s))</f>
        <v>0.81835271677815768</v>
      </c>
      <c r="J179" s="24" cm="1">
        <f t="array" ref="J179">_xlfn.LET(_xlpm.x,$B179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4.5803921217146701E-2</v>
      </c>
      <c r="K179" s="24">
        <f>IFERROR(($C$15-F179)/I179,"")</f>
        <v>-1.05600893621666</v>
      </c>
      <c r="L179" s="24" t="str">
        <f>IF(AND(ISNUMBER(K179),N(K179)&gt;0),H179+K179*J179,"")</f>
        <v/>
      </c>
      <c r="M179" s="24">
        <f>IF(ISNUMBER(L179),ABS(L179-$C$16),1000000000)</f>
        <v>1000000000</v>
      </c>
    </row>
    <row r="180" spans="1:13" x14ac:dyDescent="0.3">
      <c r="A180" s="24">
        <f>A179+0.01</f>
        <v>1.5200000000000011</v>
      </c>
      <c r="B180" s="20">
        <f>A180*$C$5</f>
        <v>1140.0000000000009</v>
      </c>
      <c r="C180" s="20">
        <f>MIN(0.8*B180,$C$5)</f>
        <v>750</v>
      </c>
      <c r="D180" s="24">
        <f>ACOS(MAX(-1,($C$7-C180)/$C$7))</f>
        <v>3.1415926535897931</v>
      </c>
      <c r="E180" s="20">
        <f>$C$7^2*(D180-SIN(D180)*COS(D180))</f>
        <v>441786.46691106464</v>
      </c>
      <c r="F180" s="24">
        <f>E180/$C$9</f>
        <v>1</v>
      </c>
      <c r="G180" s="16">
        <f>IF(E180&gt;0,2*$C$7^3*SIN(D180)^3/(3*E180),0)</f>
        <v>1.4633772056161843E-46</v>
      </c>
      <c r="H180" s="24">
        <f>F180*G180/$C$5</f>
        <v>1.9511696074882456E-49</v>
      </c>
      <c r="I180" s="24" cm="1">
        <f t="array" ref="I180">_xlfn.LET(_xlpm.x,$B180,_xlpm.dep,$H$6:$H$29,_xlpm.e,IF(_xlpm.x&lt;=$C$5,$C$12*(_xlpm.x-_xlpm.dep)/_xlpm.x,$C$13*(_xlpm.x-_xlpm.dep)/(_xlpm.x-3*$C$5/7))/$C$14,_xlpm.s,(_xlpm.e&gt;=1)*1+(_xlpm.e&lt;=-1)*(-1)+(ABS(_xlpm.e)&lt;1)*_xlpm.e,AVERAGE(_xlpm.s))</f>
        <v>0.81955890916369822</v>
      </c>
      <c r="J180" s="24" cm="1">
        <f t="array" ref="J180">_xlfn.LET(_xlpm.x,$B180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4.5464956304331887E-2</v>
      </c>
      <c r="K180" s="24">
        <f>IFERROR(($C$15-F180)/I180,"")</f>
        <v>-1.0544547466109035</v>
      </c>
      <c r="L180" s="24" t="str">
        <f>IF(AND(ISNUMBER(K180),N(K180)&gt;0),H180+K180*J180,"")</f>
        <v/>
      </c>
      <c r="M180" s="24">
        <f>IF(ISNUMBER(L180),ABS(L180-$C$16),1000000000)</f>
        <v>1000000000</v>
      </c>
    </row>
    <row r="181" spans="1:13" x14ac:dyDescent="0.3">
      <c r="A181" s="24">
        <f>A180+0.01</f>
        <v>1.5300000000000011</v>
      </c>
      <c r="B181" s="20">
        <f>A181*$C$5</f>
        <v>1147.5000000000009</v>
      </c>
      <c r="C181" s="20">
        <f>MIN(0.8*B181,$C$5)</f>
        <v>750</v>
      </c>
      <c r="D181" s="24">
        <f>ACOS(MAX(-1,($C$7-C181)/$C$7))</f>
        <v>3.1415926535897931</v>
      </c>
      <c r="E181" s="20">
        <f>$C$7^2*(D181-SIN(D181)*COS(D181))</f>
        <v>441786.46691106464</v>
      </c>
      <c r="F181" s="24">
        <f>E181/$C$9</f>
        <v>1</v>
      </c>
      <c r="G181" s="16">
        <f>IF(E181&gt;0,2*$C$7^3*SIN(D181)^3/(3*E181),0)</f>
        <v>1.4633772056161843E-46</v>
      </c>
      <c r="H181" s="24">
        <f>F181*G181/$C$5</f>
        <v>1.9511696074882456E-49</v>
      </c>
      <c r="I181" s="24" cm="1">
        <f t="array" ref="I181">_xlfn.LET(_xlpm.x,$B181,_xlpm.dep,$H$6:$H$29,_xlpm.e,IF(_xlpm.x&lt;=$C$5,$C$12*(_xlpm.x-_xlpm.dep)/_xlpm.x,$C$13*(_xlpm.x-_xlpm.dep)/(_xlpm.x-3*$C$5/7))/$C$14,_xlpm.s,(_xlpm.e&gt;=1)*1+(_xlpm.e&lt;=-1)*(-1)+(ABS(_xlpm.e)&lt;1)*_xlpm.e,AVERAGE(_xlpm.s))</f>
        <v>0.82074319922317152</v>
      </c>
      <c r="J181" s="24" cm="1">
        <f t="array" ref="J181">_xlfn.LET(_xlpm.x,$B181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4.5132146396419028E-2</v>
      </c>
      <c r="K181" s="24">
        <f>IFERROR(($C$15-F181)/I181,"")</f>
        <v>-1.0529332228556563</v>
      </c>
      <c r="L181" s="24" t="str">
        <f>IF(AND(ISNUMBER(K181),N(K181)&gt;0),H181+K181*J181,"")</f>
        <v/>
      </c>
      <c r="M181" s="24">
        <f>IF(ISNUMBER(L181),ABS(L181-$C$16),1000000000)</f>
        <v>1000000000</v>
      </c>
    </row>
    <row r="182" spans="1:13" x14ac:dyDescent="0.3">
      <c r="A182" s="24">
        <f>A181+0.01</f>
        <v>1.5400000000000011</v>
      </c>
      <c r="B182" s="20">
        <f>A182*$C$5</f>
        <v>1155.0000000000009</v>
      </c>
      <c r="C182" s="20">
        <f>MIN(0.8*B182,$C$5)</f>
        <v>750</v>
      </c>
      <c r="D182" s="24">
        <f>ACOS(MAX(-1,($C$7-C182)/$C$7))</f>
        <v>3.1415926535897931</v>
      </c>
      <c r="E182" s="20">
        <f>$C$7^2*(D182-SIN(D182)*COS(D182))</f>
        <v>441786.46691106464</v>
      </c>
      <c r="F182" s="24">
        <f>E182/$C$9</f>
        <v>1</v>
      </c>
      <c r="G182" s="16">
        <f>IF(E182&gt;0,2*$C$7^3*SIN(D182)^3/(3*E182),0)</f>
        <v>1.4633772056161843E-46</v>
      </c>
      <c r="H182" s="24">
        <f>F182*G182/$C$5</f>
        <v>1.9511696074882456E-49</v>
      </c>
      <c r="I182" s="24" cm="1">
        <f t="array" ref="I182">_xlfn.LET(_xlpm.x,$B182,_xlpm.dep,$H$6:$H$29,_xlpm.e,IF(_xlpm.x&lt;=$C$5,$C$12*(_xlpm.x-_xlpm.dep)/_xlpm.x,$C$13*(_xlpm.x-_xlpm.dep)/(_xlpm.x-3*$C$5/7))/$C$14,_xlpm.s,(_xlpm.e&gt;=1)*1+(_xlpm.e&lt;=-1)*(-1)+(ABS(_xlpm.e)&lt;1)*_xlpm.e,AVERAGE(_xlpm.s))</f>
        <v>0.82190617815046974</v>
      </c>
      <c r="J182" s="24" cm="1">
        <f t="array" ref="J182">_xlfn.LET(_xlpm.x,$B182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4.4805325355743664E-2</v>
      </c>
      <c r="K182" s="24">
        <f>IFERROR(($C$15-F182)/I182,"")</f>
        <v>-1.051443345808146</v>
      </c>
      <c r="L182" s="24" t="str">
        <f>IF(AND(ISNUMBER(K182),N(K182)&gt;0),H182+K182*J182,"")</f>
        <v/>
      </c>
      <c r="M182" s="24">
        <f>IF(ISNUMBER(L182),ABS(L182-$C$16),1000000000)</f>
        <v>1000000000</v>
      </c>
    </row>
    <row r="183" spans="1:13" x14ac:dyDescent="0.3">
      <c r="A183" s="24">
        <f>A182+0.01</f>
        <v>1.5500000000000012</v>
      </c>
      <c r="B183" s="20">
        <f>A183*$C$5</f>
        <v>1162.5000000000009</v>
      </c>
      <c r="C183" s="20">
        <f>MIN(0.8*B183,$C$5)</f>
        <v>750</v>
      </c>
      <c r="D183" s="24">
        <f>ACOS(MAX(-1,($C$7-C183)/$C$7))</f>
        <v>3.1415926535897931</v>
      </c>
      <c r="E183" s="20">
        <f>$C$7^2*(D183-SIN(D183)*COS(D183))</f>
        <v>441786.46691106464</v>
      </c>
      <c r="F183" s="24">
        <f>E183/$C$9</f>
        <v>1</v>
      </c>
      <c r="G183" s="16">
        <f>IF(E183&gt;0,2*$C$7^3*SIN(D183)^3/(3*E183),0)</f>
        <v>1.4633772056161843E-46</v>
      </c>
      <c r="H183" s="24">
        <f>F183*G183/$C$5</f>
        <v>1.9511696074882456E-49</v>
      </c>
      <c r="I183" s="24" cm="1">
        <f t="array" ref="I183">_xlfn.LET(_xlpm.x,$B183,_xlpm.dep,$H$6:$H$29,_xlpm.e,IF(_xlpm.x&lt;=$C$5,$C$12*(_xlpm.x-_xlpm.dep)/_xlpm.x,$C$13*(_xlpm.x-_xlpm.dep)/(_xlpm.x-3*$C$5/7))/$C$14,_xlpm.s,(_xlpm.e&gt;=1)*1+(_xlpm.e&lt;=-1)*(-1)+(ABS(_xlpm.e)&lt;1)*_xlpm.e,AVERAGE(_xlpm.s))</f>
        <v>0.8230484160523126</v>
      </c>
      <c r="J183" s="24" cm="1">
        <f t="array" ref="J183">_xlfn.LET(_xlpm.x,$B183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4.448433297057082E-2</v>
      </c>
      <c r="K183" s="24">
        <f>IFERROR(($C$15-F183)/I183,"")</f>
        <v>-1.0499841382842641</v>
      </c>
      <c r="L183" s="24" t="str">
        <f>IF(AND(ISNUMBER(K183),N(K183)&gt;0),H183+K183*J183,"")</f>
        <v/>
      </c>
      <c r="M183" s="24">
        <f>IF(ISNUMBER(L183),ABS(L183-$C$16),1000000000)</f>
        <v>1000000000</v>
      </c>
    </row>
    <row r="184" spans="1:13" x14ac:dyDescent="0.3">
      <c r="A184" s="24">
        <f>A183+0.01</f>
        <v>1.5600000000000012</v>
      </c>
      <c r="B184" s="20">
        <f>A184*$C$5</f>
        <v>1170.0000000000009</v>
      </c>
      <c r="C184" s="20">
        <f>MIN(0.8*B184,$C$5)</f>
        <v>750</v>
      </c>
      <c r="D184" s="24">
        <f>ACOS(MAX(-1,($C$7-C184)/$C$7))</f>
        <v>3.1415926535897931</v>
      </c>
      <c r="E184" s="20">
        <f>$C$7^2*(D184-SIN(D184)*COS(D184))</f>
        <v>441786.46691106464</v>
      </c>
      <c r="F184" s="24">
        <f>E184/$C$9</f>
        <v>1</v>
      </c>
      <c r="G184" s="16">
        <f>IF(E184&gt;0,2*$C$7^3*SIN(D184)^3/(3*E184),0)</f>
        <v>1.4633772056161843E-46</v>
      </c>
      <c r="H184" s="24">
        <f>F184*G184/$C$5</f>
        <v>1.9511696074882456E-49</v>
      </c>
      <c r="I184" s="24" cm="1">
        <f t="array" ref="I184">_xlfn.LET(_xlpm.x,$B184,_xlpm.dep,$H$6:$H$29,_xlpm.e,IF(_xlpm.x&lt;=$C$5,$C$12*(_xlpm.x-_xlpm.dep)/_xlpm.x,$C$13*(_xlpm.x-_xlpm.dep)/(_xlpm.x-3*$C$5/7))/$C$14,_xlpm.s,(_xlpm.e&gt;=1)*1+(_xlpm.e&lt;=-1)*(-1)+(ABS(_xlpm.e)&lt;1)*_xlpm.e,AVERAGE(_xlpm.s))</f>
        <v>0.82417046288013307</v>
      </c>
      <c r="J184" s="24" cm="1">
        <f t="array" ref="J184">_xlfn.LET(_xlpm.x,$B184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4.4169014693216657E-2</v>
      </c>
      <c r="K184" s="24">
        <f>IFERROR(($C$15-F184)/I184,"")</f>
        <v>-1.0485546629212348</v>
      </c>
      <c r="L184" s="24" t="str">
        <f>IF(AND(ISNUMBER(K184),N(K184)&gt;0),H184+K184*J184,"")</f>
        <v/>
      </c>
      <c r="M184" s="24">
        <f>IF(ISNUMBER(L184),ABS(L184-$C$16),1000000000)</f>
        <v>1000000000</v>
      </c>
    </row>
    <row r="185" spans="1:13" x14ac:dyDescent="0.3">
      <c r="A185" s="24">
        <f>A184+0.01</f>
        <v>1.5700000000000012</v>
      </c>
      <c r="B185" s="20">
        <f>A185*$C$5</f>
        <v>1177.5000000000009</v>
      </c>
      <c r="C185" s="20">
        <f>MIN(0.8*B185,$C$5)</f>
        <v>750</v>
      </c>
      <c r="D185" s="24">
        <f>ACOS(MAX(-1,($C$7-C185)/$C$7))</f>
        <v>3.1415926535897931</v>
      </c>
      <c r="E185" s="20">
        <f>$C$7^2*(D185-SIN(D185)*COS(D185))</f>
        <v>441786.46691106464</v>
      </c>
      <c r="F185" s="24">
        <f>E185/$C$9</f>
        <v>1</v>
      </c>
      <c r="G185" s="16">
        <f>IF(E185&gt;0,2*$C$7^3*SIN(D185)^3/(3*E185),0)</f>
        <v>1.4633772056161843E-46</v>
      </c>
      <c r="H185" s="24">
        <f>F185*G185/$C$5</f>
        <v>1.9511696074882456E-49</v>
      </c>
      <c r="I185" s="24" cm="1">
        <f t="array" ref="I185">_xlfn.LET(_xlpm.x,$B185,_xlpm.dep,$H$6:$H$29,_xlpm.e,IF(_xlpm.x&lt;=$C$5,$C$12*(_xlpm.x-_xlpm.dep)/_xlpm.x,$C$13*(_xlpm.x-_xlpm.dep)/(_xlpm.x-3*$C$5/7))/$C$14,_xlpm.s,(_xlpm.e&gt;=1)*1+(_xlpm.e&lt;=-1)*(-1)+(ABS(_xlpm.e)&lt;1)*_xlpm.e,AVERAGE(_xlpm.s))</f>
        <v>0.82527284931297284</v>
      </c>
      <c r="J185" s="24" cm="1">
        <f t="array" ref="J185">_xlfn.LET(_xlpm.x,$B185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4.38592213919363E-2</v>
      </c>
      <c r="K185" s="24">
        <f>IFERROR(($C$15-F185)/I185,"")</f>
        <v>-1.0471540201696192</v>
      </c>
      <c r="L185" s="24" t="str">
        <f>IF(AND(ISNUMBER(K185),N(K185)&gt;0),H185+K185*J185,"")</f>
        <v/>
      </c>
      <c r="M185" s="24">
        <f>IF(ISNUMBER(L185),ABS(L185-$C$16),1000000000)</f>
        <v>1000000000</v>
      </c>
    </row>
    <row r="186" spans="1:13" x14ac:dyDescent="0.3">
      <c r="A186" s="24">
        <f>A185+0.01</f>
        <v>1.5800000000000012</v>
      </c>
      <c r="B186" s="20">
        <f>A186*$C$5</f>
        <v>1185.0000000000009</v>
      </c>
      <c r="C186" s="20">
        <f>MIN(0.8*B186,$C$5)</f>
        <v>750</v>
      </c>
      <c r="D186" s="24">
        <f>ACOS(MAX(-1,($C$7-C186)/$C$7))</f>
        <v>3.1415926535897931</v>
      </c>
      <c r="E186" s="20">
        <f>$C$7^2*(D186-SIN(D186)*COS(D186))</f>
        <v>441786.46691106464</v>
      </c>
      <c r="F186" s="24">
        <f>E186/$C$9</f>
        <v>1</v>
      </c>
      <c r="G186" s="16">
        <f>IF(E186&gt;0,2*$C$7^3*SIN(D186)^3/(3*E186),0)</f>
        <v>1.4633772056161843E-46</v>
      </c>
      <c r="H186" s="24">
        <f>F186*G186/$C$5</f>
        <v>1.9511696074882456E-49</v>
      </c>
      <c r="I186" s="24" cm="1">
        <f t="array" ref="I186">_xlfn.LET(_xlpm.x,$B186,_xlpm.dep,$H$6:$H$29,_xlpm.e,IF(_xlpm.x&lt;=$C$5,$C$12*(_xlpm.x-_xlpm.dep)/_xlpm.x,$C$13*(_xlpm.x-_xlpm.dep)/(_xlpm.x-3*$C$5/7))/$C$14,_xlpm.s,(_xlpm.e&gt;=1)*1+(_xlpm.e&lt;=-1)*(-1)+(ABS(_xlpm.e)&lt;1)*_xlpm.e,AVERAGE(_xlpm.s))</f>
        <v>0.82635608759437373</v>
      </c>
      <c r="J186" s="24" cm="1">
        <f t="array" ref="J186">_xlfn.LET(_xlpm.x,$B186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4.3554809115740216E-2</v>
      </c>
      <c r="K186" s="24">
        <f>IFERROR(($C$15-F186)/I186,"")</f>
        <v>-1.0457813464056096</v>
      </c>
      <c r="L186" s="24" t="str">
        <f>IF(AND(ISNUMBER(K186),N(K186)&gt;0),H186+K186*J186,"")</f>
        <v/>
      </c>
      <c r="M186" s="24">
        <f>IF(ISNUMBER(L186),ABS(L186-$C$16),1000000000)</f>
        <v>1000000000</v>
      </c>
    </row>
    <row r="187" spans="1:13" x14ac:dyDescent="0.3">
      <c r="A187" s="24">
        <f>A186+0.01</f>
        <v>1.5900000000000012</v>
      </c>
      <c r="B187" s="20">
        <f>A187*$C$5</f>
        <v>1192.5000000000009</v>
      </c>
      <c r="C187" s="20">
        <f>MIN(0.8*B187,$C$5)</f>
        <v>750</v>
      </c>
      <c r="D187" s="24">
        <f>ACOS(MAX(-1,($C$7-C187)/$C$7))</f>
        <v>3.1415926535897931</v>
      </c>
      <c r="E187" s="20">
        <f>$C$7^2*(D187-SIN(D187)*COS(D187))</f>
        <v>441786.46691106464</v>
      </c>
      <c r="F187" s="24">
        <f>E187/$C$9</f>
        <v>1</v>
      </c>
      <c r="G187" s="16">
        <f>IF(E187&gt;0,2*$C$7^3*SIN(D187)^3/(3*E187),0)</f>
        <v>1.4633772056161843E-46</v>
      </c>
      <c r="H187" s="24">
        <f>F187*G187/$C$5</f>
        <v>1.9511696074882456E-49</v>
      </c>
      <c r="I187" s="24" cm="1">
        <f t="array" ref="I187">_xlfn.LET(_xlpm.x,$B187,_xlpm.dep,$H$6:$H$29,_xlpm.e,IF(_xlpm.x&lt;=$C$5,$C$12*(_xlpm.x-_xlpm.dep)/_xlpm.x,$C$13*(_xlpm.x-_xlpm.dep)/(_xlpm.x-3*$C$5/7))/$C$14,_xlpm.s,(_xlpm.e&gt;=1)*1+(_xlpm.e&lt;=-1)*(-1)+(ABS(_xlpm.e)&lt;1)*_xlpm.e,AVERAGE(_xlpm.s))</f>
        <v>0.82742067232603356</v>
      </c>
      <c r="J187" s="24" cm="1">
        <f t="array" ref="J187">_xlfn.LET(_xlpm.x,$B187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4.3255638871360538E-2</v>
      </c>
      <c r="K187" s="24">
        <f>IFERROR(($C$15-F187)/I187,"")</f>
        <v>-1.0444358121552888</v>
      </c>
      <c r="L187" s="24" t="str">
        <f>IF(AND(ISNUMBER(K187),N(K187)&gt;0),H187+K187*J187,"")</f>
        <v/>
      </c>
      <c r="M187" s="24">
        <f>IF(ISNUMBER(L187),ABS(L187-$C$16),1000000000)</f>
        <v>1000000000</v>
      </c>
    </row>
    <row r="188" spans="1:13" x14ac:dyDescent="0.3">
      <c r="A188" s="24">
        <f>A187+0.01</f>
        <v>1.6000000000000012</v>
      </c>
      <c r="B188" s="20">
        <f>A188*$C$5</f>
        <v>1200.0000000000009</v>
      </c>
      <c r="C188" s="20">
        <f>MIN(0.8*B188,$C$5)</f>
        <v>750</v>
      </c>
      <c r="D188" s="24">
        <f>ACOS(MAX(-1,($C$7-C188)/$C$7))</f>
        <v>3.1415926535897931</v>
      </c>
      <c r="E188" s="20">
        <f>$C$7^2*(D188-SIN(D188)*COS(D188))</f>
        <v>441786.46691106464</v>
      </c>
      <c r="F188" s="24">
        <f>E188/$C$9</f>
        <v>1</v>
      </c>
      <c r="G188" s="16">
        <f>IF(E188&gt;0,2*$C$7^3*SIN(D188)^3/(3*E188),0)</f>
        <v>1.4633772056161843E-46</v>
      </c>
      <c r="H188" s="24">
        <f>F188*G188/$C$5</f>
        <v>1.9511696074882456E-49</v>
      </c>
      <c r="I188" s="24" cm="1">
        <f t="array" ref="I188">_xlfn.LET(_xlpm.x,$B188,_xlpm.dep,$H$6:$H$29,_xlpm.e,IF(_xlpm.x&lt;=$C$5,$C$12*(_xlpm.x-_xlpm.dep)/_xlpm.x,$C$13*(_xlpm.x-_xlpm.dep)/(_xlpm.x-3*$C$5/7))/$C$14,_xlpm.s,(_xlpm.e&gt;=1)*1+(_xlpm.e&lt;=-1)*(-1)+(ABS(_xlpm.e)&lt;1)*_xlpm.e,AVERAGE(_xlpm.s))</f>
        <v>0.82846708122081125</v>
      </c>
      <c r="J188" s="24" cm="1">
        <f t="array" ref="J188">_xlfn.LET(_xlpm.x,$B188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4.2961576411641007E-2</v>
      </c>
      <c r="K188" s="24">
        <f>IFERROR(($C$15-F188)/I188,"")</f>
        <v>-1.0431166204231885</v>
      </c>
      <c r="L188" s="24" t="str">
        <f>IF(AND(ISNUMBER(K188),N(K188)&gt;0),H188+K188*J188,"")</f>
        <v/>
      </c>
      <c r="M188" s="24">
        <f>IF(ISNUMBER(L188),ABS(L188-$C$16),1000000000)</f>
        <v>1000000000</v>
      </c>
    </row>
    <row r="189" spans="1:13" x14ac:dyDescent="0.3">
      <c r="A189" s="24">
        <f>A188+0.01</f>
        <v>1.6100000000000012</v>
      </c>
      <c r="B189" s="20">
        <f>A189*$C$5</f>
        <v>1207.5000000000009</v>
      </c>
      <c r="C189" s="20">
        <f>MIN(0.8*B189,$C$5)</f>
        <v>750</v>
      </c>
      <c r="D189" s="24">
        <f>ACOS(MAX(-1,($C$7-C189)/$C$7))</f>
        <v>3.1415926535897931</v>
      </c>
      <c r="E189" s="20">
        <f>$C$7^2*(D189-SIN(D189)*COS(D189))</f>
        <v>441786.46691106464</v>
      </c>
      <c r="F189" s="24">
        <f>E189/$C$9</f>
        <v>1</v>
      </c>
      <c r="G189" s="16">
        <f>IF(E189&gt;0,2*$C$7^3*SIN(D189)^3/(3*E189),0)</f>
        <v>1.4633772056161843E-46</v>
      </c>
      <c r="H189" s="24">
        <f>F189*G189/$C$5</f>
        <v>1.9511696074882456E-49</v>
      </c>
      <c r="I189" s="24" cm="1">
        <f t="array" ref="I189">_xlfn.LET(_xlpm.x,$B189,_xlpm.dep,$H$6:$H$29,_xlpm.e,IF(_xlpm.x&lt;=$C$5,$C$12*(_xlpm.x-_xlpm.dep)/_xlpm.x,$C$13*(_xlpm.x-_xlpm.dep)/(_xlpm.x-3*$C$5/7))/$C$14,_xlpm.s,(_xlpm.e&gt;=1)*1+(_xlpm.e&lt;=-1)*(-1)+(ABS(_xlpm.e)&lt;1)*_xlpm.e,AVERAGE(_xlpm.s))</f>
        <v>0.82949577581749123</v>
      </c>
      <c r="J189" s="24" cm="1">
        <f t="array" ref="J189">_xlfn.LET(_xlpm.x,$B189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4.2672492034673687E-2</v>
      </c>
      <c r="K189" s="24">
        <f>IFERROR(($C$15-F189)/I189,"")</f>
        <v>-1.0418230051180608</v>
      </c>
      <c r="L189" s="24" t="str">
        <f>IF(AND(ISNUMBER(K189),N(K189)&gt;0),H189+K189*J189,"")</f>
        <v/>
      </c>
      <c r="M189" s="24">
        <f>IF(ISNUMBER(L189),ABS(L189-$C$16),1000000000)</f>
        <v>1000000000</v>
      </c>
    </row>
    <row r="190" spans="1:13" x14ac:dyDescent="0.3">
      <c r="A190" s="24">
        <f>A189+0.01</f>
        <v>1.6200000000000012</v>
      </c>
      <c r="B190" s="20">
        <f>A190*$C$5</f>
        <v>1215.0000000000009</v>
      </c>
      <c r="C190" s="20">
        <f>MIN(0.8*B190,$C$5)</f>
        <v>750</v>
      </c>
      <c r="D190" s="24">
        <f>ACOS(MAX(-1,($C$7-C190)/$C$7))</f>
        <v>3.1415926535897931</v>
      </c>
      <c r="E190" s="20">
        <f>$C$7^2*(D190-SIN(D190)*COS(D190))</f>
        <v>441786.46691106464</v>
      </c>
      <c r="F190" s="24">
        <f>E190/$C$9</f>
        <v>1</v>
      </c>
      <c r="G190" s="16">
        <f>IF(E190&gt;0,2*$C$7^3*SIN(D190)^3/(3*E190),0)</f>
        <v>1.4633772056161843E-46</v>
      </c>
      <c r="H190" s="24">
        <f>F190*G190/$C$5</f>
        <v>1.9511696074882456E-49</v>
      </c>
      <c r="I190" s="24" cm="1">
        <f t="array" ref="I190">_xlfn.LET(_xlpm.x,$B190,_xlpm.dep,$H$6:$H$29,_xlpm.e,IF(_xlpm.x&lt;=$C$5,$C$12*(_xlpm.x-_xlpm.dep)/_xlpm.x,$C$13*(_xlpm.x-_xlpm.dep)/(_xlpm.x-3*$C$5/7))/$C$14,_xlpm.s,(_xlpm.e&gt;=1)*1+(_xlpm.e&lt;=-1)*(-1)+(ABS(_xlpm.e)&lt;1)*_xlpm.e,AVERAGE(_xlpm.s))</f>
        <v>0.83050720215955076</v>
      </c>
      <c r="J190" s="24" cm="1">
        <f t="array" ref="J190">_xlfn.LET(_xlpm.x,$B190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4.238826039305113E-2</v>
      </c>
      <c r="K190" s="24">
        <f>IFERROR(($C$15-F190)/I190,"")</f>
        <v>-1.0405542295693357</v>
      </c>
      <c r="L190" s="24" t="str">
        <f>IF(AND(ISNUMBER(K190),N(K190)&gt;0),H190+K190*J190,"")</f>
        <v/>
      </c>
      <c r="M190" s="24">
        <f>IF(ISNUMBER(L190),ABS(L190-$C$16),1000000000)</f>
        <v>1000000000</v>
      </c>
    </row>
    <row r="191" spans="1:13" x14ac:dyDescent="0.3">
      <c r="A191" s="24">
        <f>A190+0.01</f>
        <v>1.6300000000000012</v>
      </c>
      <c r="B191" s="20">
        <f>A191*$C$5</f>
        <v>1222.5000000000009</v>
      </c>
      <c r="C191" s="20">
        <f>MIN(0.8*B191,$C$5)</f>
        <v>750</v>
      </c>
      <c r="D191" s="24">
        <f>ACOS(MAX(-1,($C$7-C191)/$C$7))</f>
        <v>3.1415926535897931</v>
      </c>
      <c r="E191" s="20">
        <f>$C$7^2*(D191-SIN(D191)*COS(D191))</f>
        <v>441786.46691106464</v>
      </c>
      <c r="F191" s="24">
        <f>E191/$C$9</f>
        <v>1</v>
      </c>
      <c r="G191" s="16">
        <f>IF(E191&gt;0,2*$C$7^3*SIN(D191)^3/(3*E191),0)</f>
        <v>1.4633772056161843E-46</v>
      </c>
      <c r="H191" s="24">
        <f>F191*G191/$C$5</f>
        <v>1.9511696074882456E-49</v>
      </c>
      <c r="I191" s="24" cm="1">
        <f t="array" ref="I191">_xlfn.LET(_xlpm.x,$B191,_xlpm.dep,$H$6:$H$29,_xlpm.e,IF(_xlpm.x&lt;=$C$5,$C$12*(_xlpm.x-_xlpm.dep)/_xlpm.x,$C$13*(_xlpm.x-_xlpm.dep)/(_xlpm.x-3*$C$5/7))/$C$14,_xlpm.s,(_xlpm.e&gt;=1)*1+(_xlpm.e&lt;=-1)*(-1)+(ABS(_xlpm.e)&lt;1)*_xlpm.e,AVERAGE(_xlpm.s))</f>
        <v>0.83150179144003011</v>
      </c>
      <c r="J191" s="24" cm="1">
        <f t="array" ref="J191">_xlfn.LET(_xlpm.x,$B191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4.2108760312644662E-2</v>
      </c>
      <c r="K191" s="24">
        <f>IFERROR(($C$15-F191)/I191,"")</f>
        <v>-1.0393095851282279</v>
      </c>
      <c r="L191" s="24" t="str">
        <f>IF(AND(ISNUMBER(K191),N(K191)&gt;0),H191+K191*J191,"")</f>
        <v/>
      </c>
      <c r="M191" s="24">
        <f>IF(ISNUMBER(L191),ABS(L191-$C$16),1000000000)</f>
        <v>1000000000</v>
      </c>
    </row>
    <row r="192" spans="1:13" x14ac:dyDescent="0.3">
      <c r="A192" s="24">
        <f>A191+0.01</f>
        <v>1.6400000000000012</v>
      </c>
      <c r="B192" s="20">
        <f>A192*$C$5</f>
        <v>1230.0000000000009</v>
      </c>
      <c r="C192" s="20">
        <f>MIN(0.8*B192,$C$5)</f>
        <v>750</v>
      </c>
      <c r="D192" s="24">
        <f>ACOS(MAX(-1,($C$7-C192)/$C$7))</f>
        <v>3.1415926535897931</v>
      </c>
      <c r="E192" s="20">
        <f>$C$7^2*(D192-SIN(D192)*COS(D192))</f>
        <v>441786.46691106464</v>
      </c>
      <c r="F192" s="24">
        <f>E192/$C$9</f>
        <v>1</v>
      </c>
      <c r="G192" s="16">
        <f>IF(E192&gt;0,2*$C$7^3*SIN(D192)^3/(3*E192),0)</f>
        <v>1.4633772056161843E-46</v>
      </c>
      <c r="H192" s="24">
        <f>F192*G192/$C$5</f>
        <v>1.9511696074882456E-49</v>
      </c>
      <c r="I192" s="24" cm="1">
        <f t="array" ref="I192">_xlfn.LET(_xlpm.x,$B192,_xlpm.dep,$H$6:$H$29,_xlpm.e,IF(_xlpm.x&lt;=$C$5,$C$12*(_xlpm.x-_xlpm.dep)/_xlpm.x,$C$13*(_xlpm.x-_xlpm.dep)/(_xlpm.x-3*$C$5/7))/$C$14,_xlpm.s,(_xlpm.e&gt;=1)*1+(_xlpm.e&lt;=-1)*(-1)+(ABS(_xlpm.e)&lt;1)*_xlpm.e,AVERAGE(_xlpm.s))</f>
        <v>0.83247996061446405</v>
      </c>
      <c r="J192" s="24" cm="1">
        <f t="array" ref="J192">_xlfn.LET(_xlpm.x,$B192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4.1833874620358091E-2</v>
      </c>
      <c r="K192" s="24">
        <f>IFERROR(($C$15-F192)/I192,"")</f>
        <v>-1.0380883898479045</v>
      </c>
      <c r="L192" s="24" t="str">
        <f>IF(AND(ISNUMBER(K192),N(K192)&gt;0),H192+K192*J192,"")</f>
        <v/>
      </c>
      <c r="M192" s="24">
        <f>IF(ISNUMBER(L192),ABS(L192-$C$16),1000000000)</f>
        <v>1000000000</v>
      </c>
    </row>
    <row r="193" spans="1:13" x14ac:dyDescent="0.3">
      <c r="A193" s="24">
        <f>A192+0.01</f>
        <v>1.6500000000000012</v>
      </c>
      <c r="B193" s="20">
        <f>A193*$C$5</f>
        <v>1237.5000000000009</v>
      </c>
      <c r="C193" s="20">
        <f>MIN(0.8*B193,$C$5)</f>
        <v>750</v>
      </c>
      <c r="D193" s="24">
        <f>ACOS(MAX(-1,($C$7-C193)/$C$7))</f>
        <v>3.1415926535897931</v>
      </c>
      <c r="E193" s="20">
        <f>$C$7^2*(D193-SIN(D193)*COS(D193))</f>
        <v>441786.46691106464</v>
      </c>
      <c r="F193" s="24">
        <f>E193/$C$9</f>
        <v>1</v>
      </c>
      <c r="G193" s="16">
        <f>IF(E193&gt;0,2*$C$7^3*SIN(D193)^3/(3*E193),0)</f>
        <v>1.4633772056161843E-46</v>
      </c>
      <c r="H193" s="24">
        <f>F193*G193/$C$5</f>
        <v>1.9511696074882456E-49</v>
      </c>
      <c r="I193" s="24" cm="1">
        <f t="array" ref="I193">_xlfn.LET(_xlpm.x,$B193,_xlpm.dep,$H$6:$H$29,_xlpm.e,IF(_xlpm.x&lt;=$C$5,$C$12*(_xlpm.x-_xlpm.dep)/_xlpm.x,$C$13*(_xlpm.x-_xlpm.dep)/(_xlpm.x-3*$C$5/7))/$C$14,_xlpm.s,(_xlpm.e&gt;=1)*1+(_xlpm.e&lt;=-1)*(-1)+(ABS(_xlpm.e)&lt;1)*_xlpm.e,AVERAGE(_xlpm.s))</f>
        <v>0.83344211298370219</v>
      </c>
      <c r="J193" s="24" cm="1">
        <f t="array" ref="J193">_xlfn.LET(_xlpm.x,$B193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4.1563489980342871E-2</v>
      </c>
      <c r="K193" s="24">
        <f>IFERROR(($C$15-F193)/I193,"")</f>
        <v>-1.0368899872375599</v>
      </c>
      <c r="L193" s="24" t="str">
        <f>IF(AND(ISNUMBER(K193),N(K193)&gt;0),H193+K193*J193,"")</f>
        <v/>
      </c>
      <c r="M193" s="24">
        <f>IF(ISNUMBER(L193),ABS(L193-$C$16),1000000000)</f>
        <v>1000000000</v>
      </c>
    </row>
    <row r="194" spans="1:13" x14ac:dyDescent="0.3">
      <c r="A194" s="24">
        <f>A193+0.01</f>
        <v>1.6600000000000013</v>
      </c>
      <c r="B194" s="20">
        <f>A194*$C$5</f>
        <v>1245.0000000000009</v>
      </c>
      <c r="C194" s="20">
        <f>MIN(0.8*B194,$C$5)</f>
        <v>750</v>
      </c>
      <c r="D194" s="24">
        <f>ACOS(MAX(-1,($C$7-C194)/$C$7))</f>
        <v>3.1415926535897931</v>
      </c>
      <c r="E194" s="20">
        <f>$C$7^2*(D194-SIN(D194)*COS(D194))</f>
        <v>441786.46691106464</v>
      </c>
      <c r="F194" s="24">
        <f>E194/$C$9</f>
        <v>1</v>
      </c>
      <c r="G194" s="16">
        <f>IF(E194&gt;0,2*$C$7^3*SIN(D194)^3/(3*E194),0)</f>
        <v>1.4633772056161843E-46</v>
      </c>
      <c r="H194" s="24">
        <f>F194*G194/$C$5</f>
        <v>1.9511696074882456E-49</v>
      </c>
      <c r="I194" s="24" cm="1">
        <f t="array" ref="I194">_xlfn.LET(_xlpm.x,$B194,_xlpm.dep,$H$6:$H$29,_xlpm.e,IF(_xlpm.x&lt;=$C$5,$C$12*(_xlpm.x-_xlpm.dep)/_xlpm.x,$C$13*(_xlpm.x-_xlpm.dep)/(_xlpm.x-3*$C$5/7))/$C$14,_xlpm.s,(_xlpm.e&gt;=1)*1+(_xlpm.e&lt;=-1)*(-1)+(ABS(_xlpm.e)&lt;1)*_xlpm.e,AVERAGE(_xlpm.s))</f>
        <v>0.83438863874833569</v>
      </c>
      <c r="J194" s="24" cm="1">
        <f t="array" ref="J194">_xlfn.LET(_xlpm.x,$B194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4.1297496738193357E-2</v>
      </c>
      <c r="K194" s="24">
        <f>IFERROR(($C$15-F194)/I194,"")</f>
        <v>-1.0357137450856018</v>
      </c>
      <c r="L194" s="24" t="str">
        <f>IF(AND(ISNUMBER(K194),N(K194)&gt;0),H194+K194*J194,"")</f>
        <v/>
      </c>
      <c r="M194" s="24">
        <f>IF(ISNUMBER(L194),ABS(L194-$C$16),1000000000)</f>
        <v>1000000000</v>
      </c>
    </row>
    <row r="195" spans="1:13" x14ac:dyDescent="0.3">
      <c r="A195" s="24">
        <f>A194+0.01</f>
        <v>1.6700000000000013</v>
      </c>
      <c r="B195" s="20">
        <f>A195*$C$5</f>
        <v>1252.5000000000009</v>
      </c>
      <c r="C195" s="20">
        <f>MIN(0.8*B195,$C$5)</f>
        <v>750</v>
      </c>
      <c r="D195" s="24">
        <f>ACOS(MAX(-1,($C$7-C195)/$C$7))</f>
        <v>3.1415926535897931</v>
      </c>
      <c r="E195" s="20">
        <f>$C$7^2*(D195-SIN(D195)*COS(D195))</f>
        <v>441786.46691106464</v>
      </c>
      <c r="F195" s="24">
        <f>E195/$C$9</f>
        <v>1</v>
      </c>
      <c r="G195" s="16">
        <f>IF(E195&gt;0,2*$C$7^3*SIN(D195)^3/(3*E195),0)</f>
        <v>1.4633772056161843E-46</v>
      </c>
      <c r="H195" s="24">
        <f>F195*G195/$C$5</f>
        <v>1.9511696074882456E-49</v>
      </c>
      <c r="I195" s="24" cm="1">
        <f t="array" ref="I195">_xlfn.LET(_xlpm.x,$B195,_xlpm.dep,$H$6:$H$29,_xlpm.e,IF(_xlpm.x&lt;=$C$5,$C$12*(_xlpm.x-_xlpm.dep)/_xlpm.x,$C$13*(_xlpm.x-_xlpm.dep)/(_xlpm.x-3*$C$5/7))/$C$14,_xlpm.s,(_xlpm.e&gt;=1)*1+(_xlpm.e&lt;=-1)*(-1)+(ABS(_xlpm.e)&lt;1)*_xlpm.e,AVERAGE(_xlpm.s))</f>
        <v>0.83531991553632368</v>
      </c>
      <c r="J195" s="24" cm="1">
        <f t="array" ref="J195">_xlfn.LET(_xlpm.x,$B195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4.1035788772672256E-2</v>
      </c>
      <c r="K195" s="24">
        <f>IFERROR(($C$15-F195)/I195,"")</f>
        <v>-1.034559054347528</v>
      </c>
      <c r="L195" s="24" t="str">
        <f>IF(AND(ISNUMBER(K195),N(K195)&gt;0),H195+K195*J195,"")</f>
        <v/>
      </c>
      <c r="M195" s="24">
        <f>IF(ISNUMBER(L195),ABS(L195-$C$16),1000000000)</f>
        <v>1000000000</v>
      </c>
    </row>
    <row r="196" spans="1:13" x14ac:dyDescent="0.3">
      <c r="A196" s="24">
        <f>A195+0.01</f>
        <v>1.6800000000000013</v>
      </c>
      <c r="B196" s="20">
        <f>A196*$C$5</f>
        <v>1260.0000000000009</v>
      </c>
      <c r="C196" s="20">
        <f>MIN(0.8*B196,$C$5)</f>
        <v>750</v>
      </c>
      <c r="D196" s="24">
        <f>ACOS(MAX(-1,($C$7-C196)/$C$7))</f>
        <v>3.1415926535897931</v>
      </c>
      <c r="E196" s="20">
        <f>$C$7^2*(D196-SIN(D196)*COS(D196))</f>
        <v>441786.46691106464</v>
      </c>
      <c r="F196" s="24">
        <f>E196/$C$9</f>
        <v>1</v>
      </c>
      <c r="G196" s="16">
        <f>IF(E196&gt;0,2*$C$7^3*SIN(D196)^3/(3*E196),0)</f>
        <v>1.4633772056161843E-46</v>
      </c>
      <c r="H196" s="24">
        <f>F196*G196/$C$5</f>
        <v>1.9511696074882456E-49</v>
      </c>
      <c r="I196" s="24" cm="1">
        <f t="array" ref="I196">_xlfn.LET(_xlpm.x,$B196,_xlpm.dep,$H$6:$H$29,_xlpm.e,IF(_xlpm.x&lt;=$C$5,$C$12*(_xlpm.x-_xlpm.dep)/_xlpm.x,$C$13*(_xlpm.x-_xlpm.dep)/(_xlpm.x-3*$C$5/7))/$C$14,_xlpm.s,(_xlpm.e&gt;=1)*1+(_xlpm.e&lt;=-1)*(-1)+(ABS(_xlpm.e)&lt;1)*_xlpm.e,AVERAGE(_xlpm.s))</f>
        <v>0.83623630890532574</v>
      </c>
      <c r="J196" s="24" cm="1">
        <f t="array" ref="J196">_xlfn.LET(_xlpm.x,$B196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4.0778263354545319E-2</v>
      </c>
      <c r="K196" s="24">
        <f>IFERROR(($C$15-F196)/I196,"")</f>
        <v>-1.0334253280943757</v>
      </c>
      <c r="L196" s="24" t="str">
        <f>IF(AND(ISNUMBER(K196),N(K196)&gt;0),H196+K196*J196,"")</f>
        <v/>
      </c>
      <c r="M196" s="24">
        <f>IF(ISNUMBER(L196),ABS(L196-$C$16),1000000000)</f>
        <v>1000000000</v>
      </c>
    </row>
    <row r="197" spans="1:13" x14ac:dyDescent="0.3">
      <c r="A197" s="24">
        <f>A196+0.01</f>
        <v>1.6900000000000013</v>
      </c>
      <c r="B197" s="20">
        <f>A197*$C$5</f>
        <v>1267.5000000000009</v>
      </c>
      <c r="C197" s="20">
        <f>MIN(0.8*B197,$C$5)</f>
        <v>750</v>
      </c>
      <c r="D197" s="24">
        <f>ACOS(MAX(-1,($C$7-C197)/$C$7))</f>
        <v>3.1415926535897931</v>
      </c>
      <c r="E197" s="20">
        <f>$C$7^2*(D197-SIN(D197)*COS(D197))</f>
        <v>441786.46691106464</v>
      </c>
      <c r="F197" s="24">
        <f>E197/$C$9</f>
        <v>1</v>
      </c>
      <c r="G197" s="16">
        <f>IF(E197&gt;0,2*$C$7^3*SIN(D197)^3/(3*E197),0)</f>
        <v>1.4633772056161843E-46</v>
      </c>
      <c r="H197" s="24">
        <f>F197*G197/$C$5</f>
        <v>1.9511696074882456E-49</v>
      </c>
      <c r="I197" s="24" cm="1">
        <f t="array" ref="I197">_xlfn.LET(_xlpm.x,$B197,_xlpm.dep,$H$6:$H$29,_xlpm.e,IF(_xlpm.x&lt;=$C$5,$C$12*(_xlpm.x-_xlpm.dep)/_xlpm.x,$C$13*(_xlpm.x-_xlpm.dep)/(_xlpm.x-3*$C$5/7))/$C$14,_xlpm.s,(_xlpm.e&gt;=1)*1+(_xlpm.e&lt;=-1)*(-1)+(ABS(_xlpm.e)&lt;1)*_xlpm.e,AVERAGE(_xlpm.s))</f>
        <v>0.83713817282113856</v>
      </c>
      <c r="J197" s="24" cm="1">
        <f t="array" ref="J197">_xlfn.LET(_xlpm.x,$B197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4.0524821012130473E-2</v>
      </c>
      <c r="K197" s="24">
        <f>IFERROR(($C$15-F197)/I197,"")</f>
        <v>-1.0323120005179323</v>
      </c>
      <c r="L197" s="24" t="str">
        <f>IF(AND(ISNUMBER(K197),N(K197)&gt;0),H197+K197*J197,"")</f>
        <v/>
      </c>
      <c r="M197" s="24">
        <f>IF(ISNUMBER(L197),ABS(L197-$C$16),1000000000)</f>
        <v>1000000000</v>
      </c>
    </row>
    <row r="198" spans="1:13" x14ac:dyDescent="0.3">
      <c r="A198" s="24">
        <f>A197+0.01</f>
        <v>1.7000000000000013</v>
      </c>
      <c r="B198" s="20">
        <f>A198*$C$5</f>
        <v>1275.0000000000009</v>
      </c>
      <c r="C198" s="20">
        <f>MIN(0.8*B198,$C$5)</f>
        <v>750</v>
      </c>
      <c r="D198" s="24">
        <f>ACOS(MAX(-1,($C$7-C198)/$C$7))</f>
        <v>3.1415926535897931</v>
      </c>
      <c r="E198" s="20">
        <f>$C$7^2*(D198-SIN(D198)*COS(D198))</f>
        <v>441786.46691106464</v>
      </c>
      <c r="F198" s="24">
        <f>E198/$C$9</f>
        <v>1</v>
      </c>
      <c r="G198" s="16">
        <f>IF(E198&gt;0,2*$C$7^3*SIN(D198)^3/(3*E198),0)</f>
        <v>1.4633772056161843E-46</v>
      </c>
      <c r="H198" s="24">
        <f>F198*G198/$C$5</f>
        <v>1.9511696074882456E-49</v>
      </c>
      <c r="I198" s="24" cm="1">
        <f t="array" ref="I198">_xlfn.LET(_xlpm.x,$B198,_xlpm.dep,$H$6:$H$29,_xlpm.e,IF(_xlpm.x&lt;=$C$5,$C$12*(_xlpm.x-_xlpm.dep)/_xlpm.x,$C$13*(_xlpm.x-_xlpm.dep)/(_xlpm.x-3*$C$5/7))/$C$14,_xlpm.s,(_xlpm.e&gt;=1)*1+(_xlpm.e&lt;=-1)*(-1)+(ABS(_xlpm.e)&lt;1)*_xlpm.e,AVERAGE(_xlpm.s))</f>
        <v>0.83802585011355657</v>
      </c>
      <c r="J198" s="24" cm="1">
        <f t="array" ref="J198">_xlfn.LET(_xlpm.x,$B198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4.0275365403191828E-2</v>
      </c>
      <c r="K198" s="24">
        <f>IFERROR(($C$15-F198)/I198,"")</f>
        <v>-1.0312185259891617</v>
      </c>
      <c r="L198" s="24" t="str">
        <f>IF(AND(ISNUMBER(K198),N(K198)&gt;0),H198+K198*J198,"")</f>
        <v/>
      </c>
      <c r="M198" s="24">
        <f>IF(ISNUMBER(L198),ABS(L198-$C$16),1000000000)</f>
        <v>1000000000</v>
      </c>
    </row>
    <row r="199" spans="1:13" x14ac:dyDescent="0.3">
      <c r="A199" s="24">
        <f>A198+0.01</f>
        <v>1.7100000000000013</v>
      </c>
      <c r="B199" s="20">
        <f>A199*$C$5</f>
        <v>1282.5000000000009</v>
      </c>
      <c r="C199" s="20">
        <f>MIN(0.8*B199,$C$5)</f>
        <v>750</v>
      </c>
      <c r="D199" s="24">
        <f>ACOS(MAX(-1,($C$7-C199)/$C$7))</f>
        <v>3.1415926535897931</v>
      </c>
      <c r="E199" s="20">
        <f>$C$7^2*(D199-SIN(D199)*COS(D199))</f>
        <v>441786.46691106464</v>
      </c>
      <c r="F199" s="24">
        <f>E199/$C$9</f>
        <v>1</v>
      </c>
      <c r="G199" s="16">
        <f>IF(E199&gt;0,2*$C$7^3*SIN(D199)^3/(3*E199),0)</f>
        <v>1.4633772056161843E-46</v>
      </c>
      <c r="H199" s="24">
        <f>F199*G199/$C$5</f>
        <v>1.9511696074882456E-49</v>
      </c>
      <c r="I199" s="24" cm="1">
        <f t="array" ref="I199">_xlfn.LET(_xlpm.x,$B199,_xlpm.dep,$H$6:$H$29,_xlpm.e,IF(_xlpm.x&lt;=$C$5,$C$12*(_xlpm.x-_xlpm.dep)/_xlpm.x,$C$13*(_xlpm.x-_xlpm.dep)/(_xlpm.x-3*$C$5/7))/$C$14,_xlpm.s,(_xlpm.e&gt;=1)*1+(_xlpm.e&lt;=-1)*(-1)+(ABS(_xlpm.e)&lt;1)*_xlpm.e,AVERAGE(_xlpm.s))</f>
        <v>0.83889967291088652</v>
      </c>
      <c r="J199" s="24" cm="1">
        <f t="array" ref="J199">_xlfn.LET(_xlpm.x,$B199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4.0029803192831899E-2</v>
      </c>
      <c r="K199" s="24">
        <f>IFERROR(($C$15-F199)/I199,"")</f>
        <v>-1.0301443781665602</v>
      </c>
      <c r="L199" s="24" t="str">
        <f>IF(AND(ISNUMBER(K199),N(K199)&gt;0),H199+K199*J199,"")</f>
        <v/>
      </c>
      <c r="M199" s="24">
        <f>IF(ISNUMBER(L199),ABS(L199-$C$16),1000000000)</f>
        <v>1000000000</v>
      </c>
    </row>
    <row r="200" spans="1:13" x14ac:dyDescent="0.3">
      <c r="A200" s="24">
        <f>A199+0.01</f>
        <v>1.7200000000000013</v>
      </c>
      <c r="B200" s="20">
        <f>A200*$C$5</f>
        <v>1290.0000000000009</v>
      </c>
      <c r="C200" s="20">
        <f>MIN(0.8*B200,$C$5)</f>
        <v>750</v>
      </c>
      <c r="D200" s="24">
        <f>ACOS(MAX(-1,($C$7-C200)/$C$7))</f>
        <v>3.1415926535897931</v>
      </c>
      <c r="E200" s="20">
        <f>$C$7^2*(D200-SIN(D200)*COS(D200))</f>
        <v>441786.46691106464</v>
      </c>
      <c r="F200" s="24">
        <f>E200/$C$9</f>
        <v>1</v>
      </c>
      <c r="G200" s="16">
        <f>IF(E200&gt;0,2*$C$7^3*SIN(D200)^3/(3*E200),0)</f>
        <v>1.4633772056161843E-46</v>
      </c>
      <c r="H200" s="24">
        <f>F200*G200/$C$5</f>
        <v>1.9511696074882456E-49</v>
      </c>
      <c r="I200" s="24" cm="1">
        <f t="array" ref="I200">_xlfn.LET(_xlpm.x,$B200,_xlpm.dep,$H$6:$H$29,_xlpm.e,IF(_xlpm.x&lt;=$C$5,$C$12*(_xlpm.x-_xlpm.dep)/_xlpm.x,$C$13*(_xlpm.x-_xlpm.dep)/(_xlpm.x-3*$C$5/7))/$C$14,_xlpm.s,(_xlpm.e&gt;=1)*1+(_xlpm.e&lt;=-1)*(-1)+(ABS(_xlpm.e)&lt;1)*_xlpm.e,AVERAGE(_xlpm.s))</f>
        <v>0.8397599630542758</v>
      </c>
      <c r="J200" s="24" cm="1">
        <f t="array" ref="J200">_xlfn.LET(_xlpm.x,$B200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3.9788043937057246E-2</v>
      </c>
      <c r="K200" s="24">
        <f>IFERROR(($C$15-F200)/I200,"")</f>
        <v>-1.029089049151372</v>
      </c>
      <c r="L200" s="24" t="str">
        <f>IF(AND(ISNUMBER(K200),N(K200)&gt;0),H200+K200*J200,"")</f>
        <v/>
      </c>
      <c r="M200" s="24">
        <f>IF(ISNUMBER(L200),ABS(L200-$C$16),1000000000)</f>
        <v>1000000000</v>
      </c>
    </row>
    <row r="201" spans="1:13" x14ac:dyDescent="0.3">
      <c r="A201" s="24">
        <f>A200+0.01</f>
        <v>1.7300000000000013</v>
      </c>
      <c r="B201" s="20">
        <f>A201*$C$5</f>
        <v>1297.5000000000009</v>
      </c>
      <c r="C201" s="20">
        <f>MIN(0.8*B201,$C$5)</f>
        <v>750</v>
      </c>
      <c r="D201" s="24">
        <f>ACOS(MAX(-1,($C$7-C201)/$C$7))</f>
        <v>3.1415926535897931</v>
      </c>
      <c r="E201" s="20">
        <f>$C$7^2*(D201-SIN(D201)*COS(D201))</f>
        <v>441786.46691106464</v>
      </c>
      <c r="F201" s="24">
        <f>E201/$C$9</f>
        <v>1</v>
      </c>
      <c r="G201" s="16">
        <f>IF(E201&gt;0,2*$C$7^3*SIN(D201)^3/(3*E201),0)</f>
        <v>1.4633772056161843E-46</v>
      </c>
      <c r="H201" s="24">
        <f>F201*G201/$C$5</f>
        <v>1.9511696074882456E-49</v>
      </c>
      <c r="I201" s="24" cm="1">
        <f t="array" ref="I201">_xlfn.LET(_xlpm.x,$B201,_xlpm.dep,$H$6:$H$29,_xlpm.e,IF(_xlpm.x&lt;=$C$5,$C$12*(_xlpm.x-_xlpm.dep)/_xlpm.x,$C$13*(_xlpm.x-_xlpm.dep)/(_xlpm.x-3*$C$5/7))/$C$14,_xlpm.s,(_xlpm.e&gt;=1)*1+(_xlpm.e&lt;=-1)*(-1)+(ABS(_xlpm.e)&lt;1)*_xlpm.e,AVERAGE(_xlpm.s))</f>
        <v>0.84060703249293667</v>
      </c>
      <c r="J201" s="24" cm="1">
        <f t="array" ref="J201">_xlfn.LET(_xlpm.x,$B201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3.9549999971711561E-2</v>
      </c>
      <c r="K201" s="24">
        <f>IFERROR(($C$15-F201)/I201,"")</f>
        <v>-1.028052048686825</v>
      </c>
      <c r="L201" s="24" t="str">
        <f>IF(AND(ISNUMBER(K201),N(K201)&gt;0),H201+K201*J201,"")</f>
        <v/>
      </c>
      <c r="M201" s="24">
        <f>IF(ISNUMBER(L201),ABS(L201-$C$16),1000000000)</f>
        <v>1000000000</v>
      </c>
    </row>
    <row r="202" spans="1:13" x14ac:dyDescent="0.3">
      <c r="A202" s="24">
        <f>A201+0.01</f>
        <v>1.7400000000000013</v>
      </c>
      <c r="B202" s="20">
        <f>A202*$C$5</f>
        <v>1305.0000000000009</v>
      </c>
      <c r="C202" s="20">
        <f>MIN(0.8*B202,$C$5)</f>
        <v>750</v>
      </c>
      <c r="D202" s="24">
        <f>ACOS(MAX(-1,($C$7-C202)/$C$7))</f>
        <v>3.1415926535897931</v>
      </c>
      <c r="E202" s="20">
        <f>$C$7^2*(D202-SIN(D202)*COS(D202))</f>
        <v>441786.46691106464</v>
      </c>
      <c r="F202" s="24">
        <f>E202/$C$9</f>
        <v>1</v>
      </c>
      <c r="G202" s="16">
        <f>IF(E202&gt;0,2*$C$7^3*SIN(D202)^3/(3*E202),0)</f>
        <v>1.4633772056161843E-46</v>
      </c>
      <c r="H202" s="24">
        <f>F202*G202/$C$5</f>
        <v>1.9511696074882456E-49</v>
      </c>
      <c r="I202" s="24" cm="1">
        <f t="array" ref="I202">_xlfn.LET(_xlpm.x,$B202,_xlpm.dep,$H$6:$H$29,_xlpm.e,IF(_xlpm.x&lt;=$C$5,$C$12*(_xlpm.x-_xlpm.dep)/_xlpm.x,$C$13*(_xlpm.x-_xlpm.dep)/(_xlpm.x-3*$C$5/7))/$C$14,_xlpm.s,(_xlpm.e&gt;=1)*1+(_xlpm.e&lt;=-1)*(-1)+(ABS(_xlpm.e)&lt;1)*_xlpm.e,AVERAGE(_xlpm.s))</f>
        <v>0.84144118366129117</v>
      </c>
      <c r="J202" s="24" cm="1">
        <f t="array" ref="J202">_xlfn.LET(_xlpm.x,$B202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3.9315586306491027E-2</v>
      </c>
      <c r="K202" s="24">
        <f>IFERROR(($C$15-F202)/I202,"")</f>
        <v>-1.0270329033987253</v>
      </c>
      <c r="L202" s="24" t="str">
        <f>IF(AND(ISNUMBER(K202),N(K202)&gt;0),H202+K202*J202,"")</f>
        <v/>
      </c>
      <c r="M202" s="24">
        <f>IF(ISNUMBER(L202),ABS(L202-$C$16),1000000000)</f>
        <v>1000000000</v>
      </c>
    </row>
    <row r="203" spans="1:13" x14ac:dyDescent="0.3">
      <c r="A203" s="24">
        <f>A202+0.01</f>
        <v>1.7500000000000013</v>
      </c>
      <c r="B203" s="20">
        <f>A203*$C$5</f>
        <v>1312.5000000000009</v>
      </c>
      <c r="C203" s="20">
        <f>MIN(0.8*B203,$C$5)</f>
        <v>750</v>
      </c>
      <c r="D203" s="24">
        <f>ACOS(MAX(-1,($C$7-C203)/$C$7))</f>
        <v>3.1415926535897931</v>
      </c>
      <c r="E203" s="20">
        <f>$C$7^2*(D203-SIN(D203)*COS(D203))</f>
        <v>441786.46691106464</v>
      </c>
      <c r="F203" s="24">
        <f>E203/$C$9</f>
        <v>1</v>
      </c>
      <c r="G203" s="16">
        <f>IF(E203&gt;0,2*$C$7^3*SIN(D203)^3/(3*E203),0)</f>
        <v>1.4633772056161843E-46</v>
      </c>
      <c r="H203" s="24">
        <f>F203*G203/$C$5</f>
        <v>1.9511696074882456E-49</v>
      </c>
      <c r="I203" s="24" cm="1">
        <f t="array" ref="I203">_xlfn.LET(_xlpm.x,$B203,_xlpm.dep,$H$6:$H$29,_xlpm.e,IF(_xlpm.x&lt;=$C$5,$C$12*(_xlpm.x-_xlpm.dep)/_xlpm.x,$C$13*(_xlpm.x-_xlpm.dep)/(_xlpm.x-3*$C$5/7))/$C$14,_xlpm.s,(_xlpm.e&gt;=1)*1+(_xlpm.e&lt;=-1)*(-1)+(ABS(_xlpm.e)&lt;1)*_xlpm.e,AVERAGE(_xlpm.s))</f>
        <v>0.84226270983898965</v>
      </c>
      <c r="J203" s="24" cm="1">
        <f t="array" ref="J203">_xlfn.LET(_xlpm.x,$B203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3.9084720523771099E-2</v>
      </c>
      <c r="K203" s="24">
        <f>IFERROR(($C$15-F203)/I203,"")</f>
        <v>-1.0260311560749467</v>
      </c>
      <c r="L203" s="24" t="str">
        <f>IF(AND(ISNUMBER(K203),N(K203)&gt;0),H203+K203*J203,"")</f>
        <v/>
      </c>
      <c r="M203" s="24">
        <f>IF(ISNUMBER(L203),ABS(L203-$C$16),1000000000)</f>
        <v>1000000000</v>
      </c>
    </row>
    <row r="204" spans="1:13" x14ac:dyDescent="0.3">
      <c r="A204" s="24">
        <f>A203+0.01</f>
        <v>1.7600000000000013</v>
      </c>
      <c r="B204" s="20">
        <f>A204*$C$5</f>
        <v>1320.0000000000009</v>
      </c>
      <c r="C204" s="20">
        <f>MIN(0.8*B204,$C$5)</f>
        <v>750</v>
      </c>
      <c r="D204" s="24">
        <f>ACOS(MAX(-1,($C$7-C204)/$C$7))</f>
        <v>3.1415926535897931</v>
      </c>
      <c r="E204" s="20">
        <f>$C$7^2*(D204-SIN(D204)*COS(D204))</f>
        <v>441786.46691106464</v>
      </c>
      <c r="F204" s="24">
        <f>E204/$C$9</f>
        <v>1</v>
      </c>
      <c r="G204" s="16">
        <f>IF(E204&gt;0,2*$C$7^3*SIN(D204)^3/(3*E204),0)</f>
        <v>1.4633772056161843E-46</v>
      </c>
      <c r="H204" s="24">
        <f>F204*G204/$C$5</f>
        <v>1.9511696074882456E-49</v>
      </c>
      <c r="I204" s="24" cm="1">
        <f t="array" ref="I204">_xlfn.LET(_xlpm.x,$B204,_xlpm.dep,$H$6:$H$29,_xlpm.e,IF(_xlpm.x&lt;=$C$5,$C$12*(_xlpm.x-_xlpm.dep)/_xlpm.x,$C$13*(_xlpm.x-_xlpm.dep)/(_xlpm.x-3*$C$5/7))/$C$14,_xlpm.s,(_xlpm.e&gt;=1)*1+(_xlpm.e&lt;=-1)*(-1)+(ABS(_xlpm.e)&lt;1)*_xlpm.e,AVERAGE(_xlpm.s))</f>
        <v>0.84304089883280742</v>
      </c>
      <c r="J204" s="24" cm="1">
        <f t="array" ref="J204">_xlfn.LET(_xlpm.x,$B204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3.885153663843903E-2</v>
      </c>
      <c r="K204" s="24">
        <f>IFERROR(($C$15-F204)/I204,"")</f>
        <v>-1.0250840535629844</v>
      </c>
      <c r="L204" s="24" t="str">
        <f>IF(AND(ISNUMBER(K204),N(K204)&gt;0),H204+K204*J204,"")</f>
        <v/>
      </c>
      <c r="M204" s="24">
        <f>IF(ISNUMBER(L204),ABS(L204-$C$16),1000000000)</f>
        <v>1000000000</v>
      </c>
    </row>
    <row r="205" spans="1:13" x14ac:dyDescent="0.3">
      <c r="A205" s="24">
        <f>A204+0.01</f>
        <v>1.7700000000000014</v>
      </c>
      <c r="B205" s="20">
        <f>A205*$C$5</f>
        <v>1327.5000000000009</v>
      </c>
      <c r="C205" s="20">
        <f>MIN(0.8*B205,$C$5)</f>
        <v>750</v>
      </c>
      <c r="D205" s="24">
        <f>ACOS(MAX(-1,($C$7-C205)/$C$7))</f>
        <v>3.1415926535897931</v>
      </c>
      <c r="E205" s="20">
        <f>$C$7^2*(D205-SIN(D205)*COS(D205))</f>
        <v>441786.46691106464</v>
      </c>
      <c r="F205" s="24">
        <f>E205/$C$9</f>
        <v>1</v>
      </c>
      <c r="G205" s="16">
        <f>IF(E205&gt;0,2*$C$7^3*SIN(D205)^3/(3*E205),0)</f>
        <v>1.4633772056161843E-46</v>
      </c>
      <c r="H205" s="24">
        <f>F205*G205/$C$5</f>
        <v>1.9511696074882456E-49</v>
      </c>
      <c r="I205" s="24" cm="1">
        <f t="array" ref="I205">_xlfn.LET(_xlpm.x,$B205,_xlpm.dep,$H$6:$H$29,_xlpm.e,IF(_xlpm.x&lt;=$C$5,$C$12*(_xlpm.x-_xlpm.dep)/_xlpm.x,$C$13*(_xlpm.x-_xlpm.dep)/(_xlpm.x-3*$C$5/7))/$C$14,_xlpm.s,(_xlpm.e&gt;=1)*1+(_xlpm.e&lt;=-1)*(-1)+(ABS(_xlpm.e)&lt;1)*_xlpm.e,AVERAGE(_xlpm.s))</f>
        <v>0.84378855276412112</v>
      </c>
      <c r="J205" s="24" cm="1">
        <f t="array" ref="J205">_xlfn.LET(_xlpm.x,$B205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3.8618295304625745E-2</v>
      </c>
      <c r="K205" s="24">
        <f>IFERROR(($C$15-F205)/I205,"")</f>
        <v>-1.0241757595122263</v>
      </c>
      <c r="L205" s="24" t="str">
        <f>IF(AND(ISNUMBER(K205),N(K205)&gt;0),H205+K205*J205,"")</f>
        <v/>
      </c>
      <c r="M205" s="24">
        <f>IF(ISNUMBER(L205),ABS(L205-$C$16),1000000000)</f>
        <v>1000000000</v>
      </c>
    </row>
    <row r="206" spans="1:13" x14ac:dyDescent="0.3">
      <c r="A206" s="24">
        <f>A205+0.01</f>
        <v>1.7800000000000014</v>
      </c>
      <c r="B206" s="20">
        <f>A206*$C$5</f>
        <v>1335.0000000000009</v>
      </c>
      <c r="C206" s="20">
        <f>MIN(0.8*B206,$C$5)</f>
        <v>750</v>
      </c>
      <c r="D206" s="24">
        <f>ACOS(MAX(-1,($C$7-C206)/$C$7))</f>
        <v>3.1415926535897931</v>
      </c>
      <c r="E206" s="20">
        <f>$C$7^2*(D206-SIN(D206)*COS(D206))</f>
        <v>441786.46691106464</v>
      </c>
      <c r="F206" s="24">
        <f>E206/$C$9</f>
        <v>1</v>
      </c>
      <c r="G206" s="16">
        <f>IF(E206&gt;0,2*$C$7^3*SIN(D206)^3/(3*E206),0)</f>
        <v>1.4633772056161843E-46</v>
      </c>
      <c r="H206" s="24">
        <f>F206*G206/$C$5</f>
        <v>1.9511696074882456E-49</v>
      </c>
      <c r="I206" s="24" cm="1">
        <f t="array" ref="I206">_xlfn.LET(_xlpm.x,$B206,_xlpm.dep,$H$6:$H$29,_xlpm.e,IF(_xlpm.x&lt;=$C$5,$C$12*(_xlpm.x-_xlpm.dep)/_xlpm.x,$C$13*(_xlpm.x-_xlpm.dep)/(_xlpm.x-3*$C$5/7))/$C$14,_xlpm.s,(_xlpm.e&gt;=1)*1+(_xlpm.e&lt;=-1)*(-1)+(ABS(_xlpm.e)&lt;1)*_xlpm.e,AVERAGE(_xlpm.s))</f>
        <v>0.84452514204951701</v>
      </c>
      <c r="J206" s="24" cm="1">
        <f t="array" ref="J206">_xlfn.LET(_xlpm.x,$B206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3.8388505745308638E-2</v>
      </c>
      <c r="K206" s="24">
        <f>IFERROR(($C$15-F206)/I206,"")</f>
        <v>-1.0232824801375138</v>
      </c>
      <c r="L206" s="24" t="str">
        <f>IF(AND(ISNUMBER(K206),N(K206)&gt;0),H206+K206*J206,"")</f>
        <v/>
      </c>
      <c r="M206" s="24">
        <f>IF(ISNUMBER(L206),ABS(L206-$C$16),1000000000)</f>
        <v>1000000000</v>
      </c>
    </row>
    <row r="207" spans="1:13" x14ac:dyDescent="0.3">
      <c r="A207" s="24">
        <f>A206+0.01</f>
        <v>1.7900000000000014</v>
      </c>
      <c r="B207" s="20">
        <f>A207*$C$5</f>
        <v>1342.5000000000011</v>
      </c>
      <c r="C207" s="20">
        <f>MIN(0.8*B207,$C$5)</f>
        <v>750</v>
      </c>
      <c r="D207" s="24">
        <f>ACOS(MAX(-1,($C$7-C207)/$C$7))</f>
        <v>3.1415926535897931</v>
      </c>
      <c r="E207" s="20">
        <f>$C$7^2*(D207-SIN(D207)*COS(D207))</f>
        <v>441786.46691106464</v>
      </c>
      <c r="F207" s="24">
        <f>E207/$C$9</f>
        <v>1</v>
      </c>
      <c r="G207" s="16">
        <f>IF(E207&gt;0,2*$C$7^3*SIN(D207)^3/(3*E207),0)</f>
        <v>1.4633772056161843E-46</v>
      </c>
      <c r="H207" s="24">
        <f>F207*G207/$C$5</f>
        <v>1.9511696074882456E-49</v>
      </c>
      <c r="I207" s="24" cm="1">
        <f t="array" ref="I207">_xlfn.LET(_xlpm.x,$B207,_xlpm.dep,$H$6:$H$29,_xlpm.e,IF(_xlpm.x&lt;=$C$5,$C$12*(_xlpm.x-_xlpm.dep)/_xlpm.x,$C$13*(_xlpm.x-_xlpm.dep)/(_xlpm.x-3*$C$5/7))/$C$14,_xlpm.s,(_xlpm.e&gt;=1)*1+(_xlpm.e&lt;=-1)*(-1)+(ABS(_xlpm.e)&lt;1)*_xlpm.e,AVERAGE(_xlpm.s))</f>
        <v>0.84525091050595635</v>
      </c>
      <c r="J207" s="24" cm="1">
        <f t="array" ref="J207">_xlfn.LET(_xlpm.x,$B207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3.8162091898300471E-2</v>
      </c>
      <c r="K207" s="24">
        <f>IFERROR(($C$15-F207)/I207,"")</f>
        <v>-1.0224038461876654</v>
      </c>
      <c r="L207" s="24" t="str">
        <f>IF(AND(ISNUMBER(K207),N(K207)&gt;0),H207+K207*J207,"")</f>
        <v/>
      </c>
      <c r="M207" s="24">
        <f>IF(ISNUMBER(L207),ABS(L207-$C$16),1000000000)</f>
        <v>1000000000</v>
      </c>
    </row>
    <row r="208" spans="1:13" x14ac:dyDescent="0.3">
      <c r="A208" s="24">
        <f>A207+0.01</f>
        <v>1.8000000000000014</v>
      </c>
      <c r="B208" s="20">
        <f>A208*$C$5</f>
        <v>1350.0000000000011</v>
      </c>
      <c r="C208" s="20">
        <f>MIN(0.8*B208,$C$5)</f>
        <v>750</v>
      </c>
      <c r="D208" s="24">
        <f>ACOS(MAX(-1,($C$7-C208)/$C$7))</f>
        <v>3.1415926535897931</v>
      </c>
      <c r="E208" s="20">
        <f>$C$7^2*(D208-SIN(D208)*COS(D208))</f>
        <v>441786.46691106464</v>
      </c>
      <c r="F208" s="24">
        <f>E208/$C$9</f>
        <v>1</v>
      </c>
      <c r="G208" s="16">
        <f>IF(E208&gt;0,2*$C$7^3*SIN(D208)^3/(3*E208),0)</f>
        <v>1.4633772056161843E-46</v>
      </c>
      <c r="H208" s="24">
        <f>F208*G208/$C$5</f>
        <v>1.9511696074882456E-49</v>
      </c>
      <c r="I208" s="24" cm="1">
        <f t="array" ref="I208">_xlfn.LET(_xlpm.x,$B208,_xlpm.dep,$H$6:$H$29,_xlpm.e,IF(_xlpm.x&lt;=$C$5,$C$12*(_xlpm.x-_xlpm.dep)/_xlpm.x,$C$13*(_xlpm.x-_xlpm.dep)/(_xlpm.x-3*$C$5/7))/$C$14,_xlpm.s,(_xlpm.e&gt;=1)*1+(_xlpm.e&lt;=-1)*(-1)+(ABS(_xlpm.e)&lt;1)*_xlpm.e,AVERAGE(_xlpm.s))</f>
        <v>0.84596609483907248</v>
      </c>
      <c r="J208" s="24" cm="1">
        <f t="array" ref="J208">_xlfn.LET(_xlpm.x,$B208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3.793897991989454E-2</v>
      </c>
      <c r="K208" s="24">
        <f>IFERROR(($C$15-F208)/I208,"")</f>
        <v>-1.0215395004208883</v>
      </c>
      <c r="L208" s="24" t="str">
        <f>IF(AND(ISNUMBER(K208),N(K208)&gt;0),H208+K208*J208,"")</f>
        <v/>
      </c>
      <c r="M208" s="24">
        <f>IF(ISNUMBER(L208),ABS(L208-$C$16),1000000000)</f>
        <v>1000000000</v>
      </c>
    </row>
    <row r="209" spans="1:13" x14ac:dyDescent="0.3">
      <c r="A209" s="24">
        <f>A208+0.01</f>
        <v>1.8100000000000014</v>
      </c>
      <c r="B209" s="20">
        <f>A209*$C$5</f>
        <v>1357.5000000000011</v>
      </c>
      <c r="C209" s="20">
        <f>MIN(0.8*B209,$C$5)</f>
        <v>750</v>
      </c>
      <c r="D209" s="24">
        <f>ACOS(MAX(-1,($C$7-C209)/$C$7))</f>
        <v>3.1415926535897931</v>
      </c>
      <c r="E209" s="20">
        <f>$C$7^2*(D209-SIN(D209)*COS(D209))</f>
        <v>441786.46691106464</v>
      </c>
      <c r="F209" s="24">
        <f>E209/$C$9</f>
        <v>1</v>
      </c>
      <c r="G209" s="16">
        <f>IF(E209&gt;0,2*$C$7^3*SIN(D209)^3/(3*E209),0)</f>
        <v>1.4633772056161843E-46</v>
      </c>
      <c r="H209" s="24">
        <f>F209*G209/$C$5</f>
        <v>1.9511696074882456E-49</v>
      </c>
      <c r="I209" s="24" cm="1">
        <f t="array" ref="I209">_xlfn.LET(_xlpm.x,$B209,_xlpm.dep,$H$6:$H$29,_xlpm.e,IF(_xlpm.x&lt;=$C$5,$C$12*(_xlpm.x-_xlpm.dep)/_xlpm.x,$C$13*(_xlpm.x-_xlpm.dep)/(_xlpm.x-3*$C$5/7))/$C$14,_xlpm.s,(_xlpm.e&gt;=1)*1+(_xlpm.e&lt;=-1)*(-1)+(ABS(_xlpm.e)&lt;1)*_xlpm.e,AVERAGE(_xlpm.s))</f>
        <v>0.84667092490056162</v>
      </c>
      <c r="J209" s="24" cm="1">
        <f t="array" ref="J209">_xlfn.LET(_xlpm.x,$B209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3.7719098104567896E-2</v>
      </c>
      <c r="K209" s="24">
        <f>IFERROR(($C$15-F209)/I209,"")</f>
        <v>-1.0206890971204801</v>
      </c>
      <c r="L209" s="24" t="str">
        <f>IF(AND(ISNUMBER(K209),N(K209)&gt;0),H209+K209*J209,"")</f>
        <v/>
      </c>
      <c r="M209" s="24">
        <f>IF(ISNUMBER(L209),ABS(L209-$C$16),1000000000)</f>
        <v>1000000000</v>
      </c>
    </row>
    <row r="210" spans="1:13" x14ac:dyDescent="0.3">
      <c r="A210" s="24">
        <f>A209+0.01</f>
        <v>1.8200000000000014</v>
      </c>
      <c r="B210" s="20">
        <f>A210*$C$5</f>
        <v>1365.0000000000011</v>
      </c>
      <c r="C210" s="20">
        <f>MIN(0.8*B210,$C$5)</f>
        <v>750</v>
      </c>
      <c r="D210" s="24">
        <f>ACOS(MAX(-1,($C$7-C210)/$C$7))</f>
        <v>3.1415926535897931</v>
      </c>
      <c r="E210" s="20">
        <f>$C$7^2*(D210-SIN(D210)*COS(D210))</f>
        <v>441786.46691106464</v>
      </c>
      <c r="F210" s="24">
        <f>E210/$C$9</f>
        <v>1</v>
      </c>
      <c r="G210" s="16">
        <f>IF(E210&gt;0,2*$C$7^3*SIN(D210)^3/(3*E210),0)</f>
        <v>1.4633772056161843E-46</v>
      </c>
      <c r="H210" s="24">
        <f>F210*G210/$C$5</f>
        <v>1.9511696074882456E-49</v>
      </c>
      <c r="I210" s="24" cm="1">
        <f t="array" ref="I210">_xlfn.LET(_xlpm.x,$B210,_xlpm.dep,$H$6:$H$29,_xlpm.e,IF(_xlpm.x&lt;=$C$5,$C$12*(_xlpm.x-_xlpm.dep)/_xlpm.x,$C$13*(_xlpm.x-_xlpm.dep)/(_xlpm.x-3*$C$5/7))/$C$14,_xlpm.s,(_xlpm.e&gt;=1)*1+(_xlpm.e&lt;=-1)*(-1)+(ABS(_xlpm.e)&lt;1)*_xlpm.e,AVERAGE(_xlpm.s))</f>
        <v>0.84736562393447257</v>
      </c>
      <c r="J210" s="24" cm="1">
        <f t="array" ref="J210">_xlfn.LET(_xlpm.x,$B210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3.7502376808147372E-2</v>
      </c>
      <c r="K210" s="24">
        <f>IFERROR(($C$15-F210)/I210,"")</f>
        <v>-1.0198523016337802</v>
      </c>
      <c r="L210" s="24" t="str">
        <f>IF(AND(ISNUMBER(K210),N(K210)&gt;0),H210+K210*J210,"")</f>
        <v/>
      </c>
      <c r="M210" s="24">
        <f>IF(ISNUMBER(L210),ABS(L210-$C$16),1000000000)</f>
        <v>1000000000</v>
      </c>
    </row>
    <row r="211" spans="1:13" x14ac:dyDescent="0.3">
      <c r="A211" s="24">
        <f>A210+0.01</f>
        <v>1.8300000000000014</v>
      </c>
      <c r="B211" s="20">
        <f>A211*$C$5</f>
        <v>1372.5000000000011</v>
      </c>
      <c r="C211" s="20">
        <f>MIN(0.8*B211,$C$5)</f>
        <v>750</v>
      </c>
      <c r="D211" s="24">
        <f>ACOS(MAX(-1,($C$7-C211)/$C$7))</f>
        <v>3.1415926535897931</v>
      </c>
      <c r="E211" s="20">
        <f>$C$7^2*(D211-SIN(D211)*COS(D211))</f>
        <v>441786.46691106464</v>
      </c>
      <c r="F211" s="24">
        <f>E211/$C$9</f>
        <v>1</v>
      </c>
      <c r="G211" s="16">
        <f>IF(E211&gt;0,2*$C$7^3*SIN(D211)^3/(3*E211),0)</f>
        <v>1.4633772056161843E-46</v>
      </c>
      <c r="H211" s="24">
        <f>F211*G211/$C$5</f>
        <v>1.9511696074882456E-49</v>
      </c>
      <c r="I211" s="24" cm="1">
        <f t="array" ref="I211">_xlfn.LET(_xlpm.x,$B211,_xlpm.dep,$H$6:$H$29,_xlpm.e,IF(_xlpm.x&lt;=$C$5,$C$12*(_xlpm.x-_xlpm.dep)/_xlpm.x,$C$13*(_xlpm.x-_xlpm.dep)/(_xlpm.x-3*$C$5/7))/$C$14,_xlpm.s,(_xlpm.e&gt;=1)*1+(_xlpm.e&lt;=-1)*(-1)+(ABS(_xlpm.e)&lt;1)*_xlpm.e,AVERAGE(_xlpm.s))</f>
        <v>0.84805040881295568</v>
      </c>
      <c r="J211" s="24" cm="1">
        <f t="array" ref="J211">_xlfn.LET(_xlpm.x,$B211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3.7288748374264991E-2</v>
      </c>
      <c r="K211" s="24">
        <f>IFERROR(($C$15-F211)/I211,"")</f>
        <v>-1.0190287899330752</v>
      </c>
      <c r="L211" s="24" t="str">
        <f>IF(AND(ISNUMBER(K211),N(K211)&gt;0),H211+K211*J211,"")</f>
        <v/>
      </c>
      <c r="M211" s="24">
        <f>IF(ISNUMBER(L211),ABS(L211-$C$16),1000000000)</f>
        <v>1000000000</v>
      </c>
    </row>
    <row r="212" spans="1:13" x14ac:dyDescent="0.3">
      <c r="A212" s="24">
        <f>A211+0.01</f>
        <v>1.8400000000000014</v>
      </c>
      <c r="B212" s="20">
        <f>A212*$C$5</f>
        <v>1380.0000000000011</v>
      </c>
      <c r="C212" s="20">
        <f>MIN(0.8*B212,$C$5)</f>
        <v>750</v>
      </c>
      <c r="D212" s="24">
        <f>ACOS(MAX(-1,($C$7-C212)/$C$7))</f>
        <v>3.1415926535897931</v>
      </c>
      <c r="E212" s="20">
        <f>$C$7^2*(D212-SIN(D212)*COS(D212))</f>
        <v>441786.46691106464</v>
      </c>
      <c r="F212" s="24">
        <f>E212/$C$9</f>
        <v>1</v>
      </c>
      <c r="G212" s="16">
        <f>IF(E212&gt;0,2*$C$7^3*SIN(D212)^3/(3*E212),0)</f>
        <v>1.4633772056161843E-46</v>
      </c>
      <c r="H212" s="24">
        <f>F212*G212/$C$5</f>
        <v>1.9511696074882456E-49</v>
      </c>
      <c r="I212" s="24" cm="1">
        <f t="array" ref="I212">_xlfn.LET(_xlpm.x,$B212,_xlpm.dep,$H$6:$H$29,_xlpm.e,IF(_xlpm.x&lt;=$C$5,$C$12*(_xlpm.x-_xlpm.dep)/_xlpm.x,$C$13*(_xlpm.x-_xlpm.dep)/(_xlpm.x-3*$C$5/7))/$C$14,_xlpm.s,(_xlpm.e&gt;=1)*1+(_xlpm.e&lt;=-1)*(-1)+(ABS(_xlpm.e)&lt;1)*_xlpm.e,AVERAGE(_xlpm.s))</f>
        <v>0.84872549026198707</v>
      </c>
      <c r="J212" s="24" cm="1">
        <f t="array" ref="J212">_xlfn.LET(_xlpm.x,$B212,_xlpm.dep,$H$6:$H$29,_xlpm.zz,$I$6:$I$29,_xlpm.e,IF(_xlpm.x&lt;=$C$5,$C$12*(_xlpm.x-_xlpm.dep)/_xlpm.x,$C$13*(_xlpm.x-_xlpm.dep)/(_xlpm.x-3*$C$5/7))/$C$14,_xlpm.s,(_xlpm.e&gt;=1)*1+(_xlpm.e&lt;=-1)*(-1)+(ABS(_xlpm.e)&lt;1)*_xlpm.e,SUMPRODUCT(_xlpm.s,_xlpm.zz)/COUNT(_xlpm.zz)/$C$5)</f>
        <v>3.7078147063939623E-2</v>
      </c>
      <c r="K212" s="24">
        <f>IFERROR(($C$15-F212)/I212,"")</f>
        <v>-1.0182182481972539</v>
      </c>
      <c r="L212" s="24" t="str">
        <f>IF(AND(ISNUMBER(K212),N(K212)&gt;0),H212+K212*J212,"")</f>
        <v/>
      </c>
      <c r="M212" s="24">
        <f>IF(ISNUMBER(L212),ABS(L212-$C$16),1000000000)</f>
        <v>1000000000</v>
      </c>
    </row>
  </sheetData>
  <mergeCells count="1">
    <mergeCell ref="A2:M2"/>
  </mergeCells>
  <conditionalFormatting sqref="C27">
    <cfRule type="containsText" dxfId="33" priority="1" operator="containsText" text="FUERA DE DOMINIO">
      <formula>NOT(ISERROR(SEARCH("FUERA DE DOMINIO",C27)))</formula>
    </cfRule>
    <cfRule type="containsText" dxfId="32" priority="2" operator="containsText" text="OK">
      <formula>NOT(ISERROR(SEARCH("OK",C27)))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Aceros_DIN</vt:lpstr>
      <vt:lpstr>Balken_DIN</vt:lpstr>
      <vt:lpstr>Balken_2025</vt:lpstr>
      <vt:lpstr>Pfahl_DIN</vt:lpstr>
      <vt:lpstr>Pfahl_2025</vt:lpstr>
      <vt:lpstr>Nomogramm</vt:lpstr>
      <vt:lpstr>Nomogramm_2025</vt:lpstr>
      <vt:lpstr>Viga_DIN</vt:lpstr>
      <vt:lpstr>Viga_2025</vt:lpstr>
      <vt:lpstr>Pilote_DIN</vt:lpstr>
      <vt:lpstr>Pilote_2025</vt:lpstr>
      <vt:lpstr>Nomograma</vt:lpstr>
      <vt:lpstr>Nomograma_2025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Fernando</dc:creator>
  <cp:lastModifiedBy>Cesar Fernando</cp:lastModifiedBy>
  <dcterms:created xsi:type="dcterms:W3CDTF">2026-08-18T14:50:40Z</dcterms:created>
  <dcterms:modified xsi:type="dcterms:W3CDTF">2026-08-20T13:59:46Z</dcterms:modified>
</cp:coreProperties>
</file>